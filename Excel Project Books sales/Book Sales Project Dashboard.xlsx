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ECE42218-4531-4A9D-8B86-F83C051043BB}" xr6:coauthVersionLast="47" xr6:coauthVersionMax="47" xr10:uidLastSave="{00000000-0000-0000-0000-000000000000}"/>
  <bookViews>
    <workbookView xWindow="-110" yWindow="-110" windowWidth="19420" windowHeight="10300" firstSheet="4" activeTab="6" xr2:uid="{00000000-000D-0000-FFFF-FFFF00000000}"/>
  </bookViews>
  <sheets>
    <sheet name="sales" sheetId="9" r:id="rId1"/>
    <sheet name="customers" sheetId="10" r:id="rId2"/>
    <sheet name="product" sheetId="18" r:id="rId3"/>
    <sheet name="Pivot table 1" sheetId="19" r:id="rId4"/>
    <sheet name="Pivot table 2" sheetId="21" r:id="rId5"/>
    <sheet name="Pivot table 3" sheetId="22" r:id="rId6"/>
    <sheet name="Dashboard" sheetId="24" r:id="rId7"/>
  </sheets>
  <definedNames>
    <definedName name="_xlnm._FilterDatabase" localSheetId="1" hidden="1">customers!$G$1:$G$984</definedName>
    <definedName name="_xlnm._FilterDatabase" localSheetId="2" hidden="1">product!$A$1:$E$984</definedName>
    <definedName name="_xlnm._FilterDatabase" localSheetId="0" hidden="1">sales!$B$1:$B$983</definedName>
    <definedName name="NativeTimeline_Sale_Date">#N/A</definedName>
    <definedName name="Slicer_Loyalty_Card">#N/A</definedName>
    <definedName name="Slicer_Membership_Typ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9" l="1"/>
  <c r="N4" i="9"/>
  <c r="N5" i="9"/>
  <c r="N6" i="9"/>
  <c r="N7" i="9"/>
  <c r="N8" i="9"/>
  <c r="N9"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N171" i="9"/>
  <c r="N172" i="9"/>
  <c r="N173" i="9"/>
  <c r="N174" i="9"/>
  <c r="N175" i="9"/>
  <c r="N176" i="9"/>
  <c r="N177" i="9"/>
  <c r="N178" i="9"/>
  <c r="N179" i="9"/>
  <c r="N180" i="9"/>
  <c r="N181" i="9"/>
  <c r="N182" i="9"/>
  <c r="N183" i="9"/>
  <c r="N184" i="9"/>
  <c r="N185" i="9"/>
  <c r="N186" i="9"/>
  <c r="N187" i="9"/>
  <c r="N188" i="9"/>
  <c r="N189" i="9"/>
  <c r="N190" i="9"/>
  <c r="N191" i="9"/>
  <c r="N192" i="9"/>
  <c r="N193" i="9"/>
  <c r="N194" i="9"/>
  <c r="N195" i="9"/>
  <c r="N196" i="9"/>
  <c r="N197" i="9"/>
  <c r="N198" i="9"/>
  <c r="N199" i="9"/>
  <c r="N200" i="9"/>
  <c r="N201" i="9"/>
  <c r="N202" i="9"/>
  <c r="N203" i="9"/>
  <c r="N204" i="9"/>
  <c r="N205" i="9"/>
  <c r="N206" i="9"/>
  <c r="N207" i="9"/>
  <c r="N208" i="9"/>
  <c r="N209" i="9"/>
  <c r="N210" i="9"/>
  <c r="N211" i="9"/>
  <c r="N212" i="9"/>
  <c r="N213" i="9"/>
  <c r="N214" i="9"/>
  <c r="N215" i="9"/>
  <c r="N216" i="9"/>
  <c r="N217" i="9"/>
  <c r="N218" i="9"/>
  <c r="N219" i="9"/>
  <c r="N220" i="9"/>
  <c r="N221" i="9"/>
  <c r="N222" i="9"/>
  <c r="N223" i="9"/>
  <c r="N224" i="9"/>
  <c r="N225" i="9"/>
  <c r="N226" i="9"/>
  <c r="N227" i="9"/>
  <c r="N228" i="9"/>
  <c r="N229" i="9"/>
  <c r="N230" i="9"/>
  <c r="N231" i="9"/>
  <c r="N232" i="9"/>
  <c r="N233" i="9"/>
  <c r="N234" i="9"/>
  <c r="N235" i="9"/>
  <c r="N236" i="9"/>
  <c r="N237" i="9"/>
  <c r="N238" i="9"/>
  <c r="N239" i="9"/>
  <c r="N240" i="9"/>
  <c r="N241" i="9"/>
  <c r="N242" i="9"/>
  <c r="N243" i="9"/>
  <c r="N244" i="9"/>
  <c r="N245" i="9"/>
  <c r="N246" i="9"/>
  <c r="N247" i="9"/>
  <c r="N248" i="9"/>
  <c r="N249" i="9"/>
  <c r="N250" i="9"/>
  <c r="N251" i="9"/>
  <c r="N252" i="9"/>
  <c r="N253" i="9"/>
  <c r="N254" i="9"/>
  <c r="N255" i="9"/>
  <c r="N256" i="9"/>
  <c r="N257" i="9"/>
  <c r="N258" i="9"/>
  <c r="N259" i="9"/>
  <c r="N260" i="9"/>
  <c r="N261" i="9"/>
  <c r="N262" i="9"/>
  <c r="N263" i="9"/>
  <c r="N264" i="9"/>
  <c r="N265" i="9"/>
  <c r="N266" i="9"/>
  <c r="N267" i="9"/>
  <c r="N268" i="9"/>
  <c r="N269" i="9"/>
  <c r="N270" i="9"/>
  <c r="N271" i="9"/>
  <c r="N272" i="9"/>
  <c r="N273" i="9"/>
  <c r="N274" i="9"/>
  <c r="N275" i="9"/>
  <c r="N276" i="9"/>
  <c r="N277" i="9"/>
  <c r="N278" i="9"/>
  <c r="N279" i="9"/>
  <c r="N280" i="9"/>
  <c r="N281" i="9"/>
  <c r="N282" i="9"/>
  <c r="N283" i="9"/>
  <c r="N284" i="9"/>
  <c r="N285" i="9"/>
  <c r="N286" i="9"/>
  <c r="N287" i="9"/>
  <c r="N288" i="9"/>
  <c r="N289" i="9"/>
  <c r="N290" i="9"/>
  <c r="N291" i="9"/>
  <c r="N292" i="9"/>
  <c r="N293" i="9"/>
  <c r="N294" i="9"/>
  <c r="N295" i="9"/>
  <c r="N296" i="9"/>
  <c r="N297" i="9"/>
  <c r="N298" i="9"/>
  <c r="N299" i="9"/>
  <c r="N300" i="9"/>
  <c r="N301" i="9"/>
  <c r="N302" i="9"/>
  <c r="N303" i="9"/>
  <c r="N304" i="9"/>
  <c r="N305" i="9"/>
  <c r="N306" i="9"/>
  <c r="N307" i="9"/>
  <c r="N308" i="9"/>
  <c r="N309" i="9"/>
  <c r="N310" i="9"/>
  <c r="N311" i="9"/>
  <c r="N312" i="9"/>
  <c r="N313" i="9"/>
  <c r="N314" i="9"/>
  <c r="N315" i="9"/>
  <c r="N316" i="9"/>
  <c r="N317" i="9"/>
  <c r="N318" i="9"/>
  <c r="N319" i="9"/>
  <c r="N320" i="9"/>
  <c r="N321" i="9"/>
  <c r="N322" i="9"/>
  <c r="N323" i="9"/>
  <c r="N324" i="9"/>
  <c r="N325" i="9"/>
  <c r="N326" i="9"/>
  <c r="N327" i="9"/>
  <c r="N328" i="9"/>
  <c r="N329" i="9"/>
  <c r="N330" i="9"/>
  <c r="N331" i="9"/>
  <c r="N332" i="9"/>
  <c r="N333" i="9"/>
  <c r="N334" i="9"/>
  <c r="N335" i="9"/>
  <c r="N336" i="9"/>
  <c r="N337" i="9"/>
  <c r="N338" i="9"/>
  <c r="N339" i="9"/>
  <c r="N340" i="9"/>
  <c r="N341" i="9"/>
  <c r="N342" i="9"/>
  <c r="N343" i="9"/>
  <c r="N344" i="9"/>
  <c r="N345" i="9"/>
  <c r="N346" i="9"/>
  <c r="N347" i="9"/>
  <c r="N348" i="9"/>
  <c r="N349" i="9"/>
  <c r="N350" i="9"/>
  <c r="N351" i="9"/>
  <c r="N352" i="9"/>
  <c r="N353" i="9"/>
  <c r="N354" i="9"/>
  <c r="N355" i="9"/>
  <c r="N356" i="9"/>
  <c r="N357" i="9"/>
  <c r="N358" i="9"/>
  <c r="N359" i="9"/>
  <c r="N360" i="9"/>
  <c r="N361" i="9"/>
  <c r="N362" i="9"/>
  <c r="N363" i="9"/>
  <c r="N364" i="9"/>
  <c r="N365" i="9"/>
  <c r="N366" i="9"/>
  <c r="N367" i="9"/>
  <c r="N368" i="9"/>
  <c r="N369" i="9"/>
  <c r="N370" i="9"/>
  <c r="N371" i="9"/>
  <c r="N372" i="9"/>
  <c r="N373" i="9"/>
  <c r="N374" i="9"/>
  <c r="N375" i="9"/>
  <c r="N376" i="9"/>
  <c r="N377" i="9"/>
  <c r="N378" i="9"/>
  <c r="N379" i="9"/>
  <c r="N380" i="9"/>
  <c r="N381" i="9"/>
  <c r="N382" i="9"/>
  <c r="N383" i="9"/>
  <c r="N384" i="9"/>
  <c r="N385" i="9"/>
  <c r="N386" i="9"/>
  <c r="N387" i="9"/>
  <c r="N388" i="9"/>
  <c r="N389" i="9"/>
  <c r="N390" i="9"/>
  <c r="N391" i="9"/>
  <c r="N392" i="9"/>
  <c r="N393" i="9"/>
  <c r="N394" i="9"/>
  <c r="N395" i="9"/>
  <c r="N396" i="9"/>
  <c r="N397" i="9"/>
  <c r="N398" i="9"/>
  <c r="N399" i="9"/>
  <c r="N400" i="9"/>
  <c r="N401" i="9"/>
  <c r="N402" i="9"/>
  <c r="N403" i="9"/>
  <c r="N404" i="9"/>
  <c r="N405" i="9"/>
  <c r="N406" i="9"/>
  <c r="N407" i="9"/>
  <c r="N408" i="9"/>
  <c r="N409" i="9"/>
  <c r="N410" i="9"/>
  <c r="N411" i="9"/>
  <c r="N412" i="9"/>
  <c r="N413" i="9"/>
  <c r="N414" i="9"/>
  <c r="N415" i="9"/>
  <c r="N416" i="9"/>
  <c r="N417" i="9"/>
  <c r="N418" i="9"/>
  <c r="N419" i="9"/>
  <c r="N420" i="9"/>
  <c r="N421" i="9"/>
  <c r="N422" i="9"/>
  <c r="N423" i="9"/>
  <c r="N424" i="9"/>
  <c r="N425" i="9"/>
  <c r="N426" i="9"/>
  <c r="N427" i="9"/>
  <c r="N428" i="9"/>
  <c r="N429" i="9"/>
  <c r="N430" i="9"/>
  <c r="N431" i="9"/>
  <c r="N432" i="9"/>
  <c r="N433" i="9"/>
  <c r="N434" i="9"/>
  <c r="N435" i="9"/>
  <c r="N436" i="9"/>
  <c r="N437" i="9"/>
  <c r="N438" i="9"/>
  <c r="N439" i="9"/>
  <c r="N440" i="9"/>
  <c r="N441" i="9"/>
  <c r="N442" i="9"/>
  <c r="N443" i="9"/>
  <c r="N444" i="9"/>
  <c r="N445" i="9"/>
  <c r="N446" i="9"/>
  <c r="N447" i="9"/>
  <c r="N448" i="9"/>
  <c r="N449" i="9"/>
  <c r="N450" i="9"/>
  <c r="N451" i="9"/>
  <c r="N452" i="9"/>
  <c r="N453" i="9"/>
  <c r="N454" i="9"/>
  <c r="N455" i="9"/>
  <c r="N456" i="9"/>
  <c r="N457" i="9"/>
  <c r="N458" i="9"/>
  <c r="N459" i="9"/>
  <c r="N460" i="9"/>
  <c r="N461" i="9"/>
  <c r="N462" i="9"/>
  <c r="N463" i="9"/>
  <c r="N464" i="9"/>
  <c r="N465" i="9"/>
  <c r="N466" i="9"/>
  <c r="N467" i="9"/>
  <c r="N468" i="9"/>
  <c r="N469" i="9"/>
  <c r="N470" i="9"/>
  <c r="N471" i="9"/>
  <c r="N472" i="9"/>
  <c r="N473" i="9"/>
  <c r="N474" i="9"/>
  <c r="N475" i="9"/>
  <c r="N476" i="9"/>
  <c r="N477" i="9"/>
  <c r="N478" i="9"/>
  <c r="N479" i="9"/>
  <c r="N480" i="9"/>
  <c r="N481" i="9"/>
  <c r="N482" i="9"/>
  <c r="N483" i="9"/>
  <c r="N484" i="9"/>
  <c r="N485" i="9"/>
  <c r="N486" i="9"/>
  <c r="N487" i="9"/>
  <c r="N488" i="9"/>
  <c r="N489" i="9"/>
  <c r="N490" i="9"/>
  <c r="N491" i="9"/>
  <c r="N492" i="9"/>
  <c r="N493" i="9"/>
  <c r="N494" i="9"/>
  <c r="N495" i="9"/>
  <c r="N496" i="9"/>
  <c r="N497" i="9"/>
  <c r="N498" i="9"/>
  <c r="N499" i="9"/>
  <c r="N500" i="9"/>
  <c r="N501" i="9"/>
  <c r="N502" i="9"/>
  <c r="N503" i="9"/>
  <c r="N504" i="9"/>
  <c r="N505" i="9"/>
  <c r="N506" i="9"/>
  <c r="N507" i="9"/>
  <c r="N508" i="9"/>
  <c r="N509" i="9"/>
  <c r="N510" i="9"/>
  <c r="N511" i="9"/>
  <c r="N512" i="9"/>
  <c r="N513" i="9"/>
  <c r="N514" i="9"/>
  <c r="N515" i="9"/>
  <c r="N516" i="9"/>
  <c r="N517" i="9"/>
  <c r="N518" i="9"/>
  <c r="N519" i="9"/>
  <c r="N520" i="9"/>
  <c r="N521" i="9"/>
  <c r="N522" i="9"/>
  <c r="N523" i="9"/>
  <c r="N524" i="9"/>
  <c r="N525" i="9"/>
  <c r="N526" i="9"/>
  <c r="N527" i="9"/>
  <c r="N528" i="9"/>
  <c r="N529" i="9"/>
  <c r="N530" i="9"/>
  <c r="N531" i="9"/>
  <c r="N532" i="9"/>
  <c r="N533" i="9"/>
  <c r="N534" i="9"/>
  <c r="N535" i="9"/>
  <c r="N536" i="9"/>
  <c r="N537" i="9"/>
  <c r="N538" i="9"/>
  <c r="N539" i="9"/>
  <c r="N540" i="9"/>
  <c r="N541" i="9"/>
  <c r="N542" i="9"/>
  <c r="N543" i="9"/>
  <c r="N544" i="9"/>
  <c r="N545" i="9"/>
  <c r="N546" i="9"/>
  <c r="N547" i="9"/>
  <c r="N548" i="9"/>
  <c r="N549" i="9"/>
  <c r="N550" i="9"/>
  <c r="N551" i="9"/>
  <c r="N552" i="9"/>
  <c r="N553" i="9"/>
  <c r="N554" i="9"/>
  <c r="N555" i="9"/>
  <c r="N556" i="9"/>
  <c r="N557" i="9"/>
  <c r="N558" i="9"/>
  <c r="N559" i="9"/>
  <c r="N560" i="9"/>
  <c r="N561" i="9"/>
  <c r="N562" i="9"/>
  <c r="N563" i="9"/>
  <c r="N564" i="9"/>
  <c r="N565" i="9"/>
  <c r="N566" i="9"/>
  <c r="N567" i="9"/>
  <c r="N568" i="9"/>
  <c r="N569" i="9"/>
  <c r="N570" i="9"/>
  <c r="N571" i="9"/>
  <c r="N572" i="9"/>
  <c r="N573" i="9"/>
  <c r="N574" i="9"/>
  <c r="N575" i="9"/>
  <c r="N576" i="9"/>
  <c r="N577" i="9"/>
  <c r="N578" i="9"/>
  <c r="N579" i="9"/>
  <c r="N580" i="9"/>
  <c r="N581" i="9"/>
  <c r="N582" i="9"/>
  <c r="N583" i="9"/>
  <c r="N584" i="9"/>
  <c r="N585" i="9"/>
  <c r="N586" i="9"/>
  <c r="N587" i="9"/>
  <c r="N588" i="9"/>
  <c r="N589" i="9"/>
  <c r="N590" i="9"/>
  <c r="N591" i="9"/>
  <c r="N592" i="9"/>
  <c r="N593" i="9"/>
  <c r="N594" i="9"/>
  <c r="N595" i="9"/>
  <c r="N596" i="9"/>
  <c r="N597" i="9"/>
  <c r="N598" i="9"/>
  <c r="N599" i="9"/>
  <c r="N600" i="9"/>
  <c r="N601" i="9"/>
  <c r="N602" i="9"/>
  <c r="N603" i="9"/>
  <c r="N604" i="9"/>
  <c r="N605" i="9"/>
  <c r="N606" i="9"/>
  <c r="N607" i="9"/>
  <c r="N608" i="9"/>
  <c r="N609" i="9"/>
  <c r="N610" i="9"/>
  <c r="N611" i="9"/>
  <c r="N612" i="9"/>
  <c r="N613" i="9"/>
  <c r="N614" i="9"/>
  <c r="N615" i="9"/>
  <c r="N616" i="9"/>
  <c r="N617" i="9"/>
  <c r="N618" i="9"/>
  <c r="N619" i="9"/>
  <c r="N620" i="9"/>
  <c r="N621" i="9"/>
  <c r="N622" i="9"/>
  <c r="N623" i="9"/>
  <c r="N624" i="9"/>
  <c r="N625" i="9"/>
  <c r="N626" i="9"/>
  <c r="N627" i="9"/>
  <c r="N628" i="9"/>
  <c r="N629" i="9"/>
  <c r="N630" i="9"/>
  <c r="N631" i="9"/>
  <c r="N632" i="9"/>
  <c r="N633" i="9"/>
  <c r="N634" i="9"/>
  <c r="N635" i="9"/>
  <c r="N636" i="9"/>
  <c r="N637" i="9"/>
  <c r="N638" i="9"/>
  <c r="N639" i="9"/>
  <c r="N640" i="9"/>
  <c r="N641" i="9"/>
  <c r="N642" i="9"/>
  <c r="N643" i="9"/>
  <c r="N644" i="9"/>
  <c r="N645" i="9"/>
  <c r="N646" i="9"/>
  <c r="N647" i="9"/>
  <c r="N648" i="9"/>
  <c r="N649" i="9"/>
  <c r="N650" i="9"/>
  <c r="N651" i="9"/>
  <c r="N652" i="9"/>
  <c r="N653" i="9"/>
  <c r="N654" i="9"/>
  <c r="N655" i="9"/>
  <c r="N656" i="9"/>
  <c r="N657" i="9"/>
  <c r="N658" i="9"/>
  <c r="N659" i="9"/>
  <c r="N660" i="9"/>
  <c r="N661" i="9"/>
  <c r="N662" i="9"/>
  <c r="N663" i="9"/>
  <c r="N664" i="9"/>
  <c r="N665" i="9"/>
  <c r="N666" i="9"/>
  <c r="N667" i="9"/>
  <c r="N668" i="9"/>
  <c r="N669" i="9"/>
  <c r="N670" i="9"/>
  <c r="N671" i="9"/>
  <c r="N672" i="9"/>
  <c r="N673" i="9"/>
  <c r="N674" i="9"/>
  <c r="N675" i="9"/>
  <c r="N676" i="9"/>
  <c r="N677" i="9"/>
  <c r="N678" i="9"/>
  <c r="N679" i="9"/>
  <c r="N680" i="9"/>
  <c r="N681" i="9"/>
  <c r="N682" i="9"/>
  <c r="N683" i="9"/>
  <c r="N684" i="9"/>
  <c r="N685" i="9"/>
  <c r="N686" i="9"/>
  <c r="N687" i="9"/>
  <c r="N688" i="9"/>
  <c r="N689" i="9"/>
  <c r="N690" i="9"/>
  <c r="N691" i="9"/>
  <c r="N692" i="9"/>
  <c r="N693" i="9"/>
  <c r="N694" i="9"/>
  <c r="N695" i="9"/>
  <c r="N696" i="9"/>
  <c r="N697" i="9"/>
  <c r="N698" i="9"/>
  <c r="N699" i="9"/>
  <c r="N700" i="9"/>
  <c r="N701" i="9"/>
  <c r="N702" i="9"/>
  <c r="N703" i="9"/>
  <c r="N704" i="9"/>
  <c r="N705" i="9"/>
  <c r="N706" i="9"/>
  <c r="N707" i="9"/>
  <c r="N708" i="9"/>
  <c r="N709" i="9"/>
  <c r="N710" i="9"/>
  <c r="N711" i="9"/>
  <c r="N712" i="9"/>
  <c r="N713" i="9"/>
  <c r="N714" i="9"/>
  <c r="N715" i="9"/>
  <c r="N716" i="9"/>
  <c r="N717" i="9"/>
  <c r="N718" i="9"/>
  <c r="N719" i="9"/>
  <c r="N720" i="9"/>
  <c r="N721" i="9"/>
  <c r="N722" i="9"/>
  <c r="N723" i="9"/>
  <c r="N724" i="9"/>
  <c r="N725" i="9"/>
  <c r="N726" i="9"/>
  <c r="N727" i="9"/>
  <c r="N728" i="9"/>
  <c r="N729" i="9"/>
  <c r="N730" i="9"/>
  <c r="N731" i="9"/>
  <c r="N732" i="9"/>
  <c r="N733" i="9"/>
  <c r="N734" i="9"/>
  <c r="N735" i="9"/>
  <c r="N736" i="9"/>
  <c r="N737" i="9"/>
  <c r="N738" i="9"/>
  <c r="N739" i="9"/>
  <c r="N740" i="9"/>
  <c r="N741" i="9"/>
  <c r="N742" i="9"/>
  <c r="N743" i="9"/>
  <c r="N744" i="9"/>
  <c r="N745" i="9"/>
  <c r="N746" i="9"/>
  <c r="N747" i="9"/>
  <c r="N748" i="9"/>
  <c r="N749" i="9"/>
  <c r="N750" i="9"/>
  <c r="N751" i="9"/>
  <c r="N752" i="9"/>
  <c r="N753" i="9"/>
  <c r="N754" i="9"/>
  <c r="N755" i="9"/>
  <c r="N756" i="9"/>
  <c r="N757" i="9"/>
  <c r="N758" i="9"/>
  <c r="N759" i="9"/>
  <c r="N760" i="9"/>
  <c r="N761" i="9"/>
  <c r="N762" i="9"/>
  <c r="N763" i="9"/>
  <c r="N764" i="9"/>
  <c r="N765" i="9"/>
  <c r="N766" i="9"/>
  <c r="N767" i="9"/>
  <c r="N768" i="9"/>
  <c r="N769" i="9"/>
  <c r="N770" i="9"/>
  <c r="N771" i="9"/>
  <c r="N772" i="9"/>
  <c r="N773" i="9"/>
  <c r="N774" i="9"/>
  <c r="N775" i="9"/>
  <c r="N776" i="9"/>
  <c r="N777" i="9"/>
  <c r="N778" i="9"/>
  <c r="N779" i="9"/>
  <c r="N780" i="9"/>
  <c r="N781" i="9"/>
  <c r="N782" i="9"/>
  <c r="N783" i="9"/>
  <c r="N784" i="9"/>
  <c r="N785" i="9"/>
  <c r="N786" i="9"/>
  <c r="N787" i="9"/>
  <c r="N788" i="9"/>
  <c r="N789" i="9"/>
  <c r="N790" i="9"/>
  <c r="N791" i="9"/>
  <c r="N792" i="9"/>
  <c r="N793" i="9"/>
  <c r="N794" i="9"/>
  <c r="N795" i="9"/>
  <c r="N796" i="9"/>
  <c r="N797" i="9"/>
  <c r="N798" i="9"/>
  <c r="N799" i="9"/>
  <c r="N800" i="9"/>
  <c r="N801" i="9"/>
  <c r="N802" i="9"/>
  <c r="N803" i="9"/>
  <c r="N804" i="9"/>
  <c r="N805" i="9"/>
  <c r="N806" i="9"/>
  <c r="N807" i="9"/>
  <c r="N808" i="9"/>
  <c r="N809" i="9"/>
  <c r="N810" i="9"/>
  <c r="N811" i="9"/>
  <c r="N812" i="9"/>
  <c r="N813" i="9"/>
  <c r="N814" i="9"/>
  <c r="N815" i="9"/>
  <c r="N816" i="9"/>
  <c r="N817" i="9"/>
  <c r="N818" i="9"/>
  <c r="N819" i="9"/>
  <c r="N820" i="9"/>
  <c r="N821" i="9"/>
  <c r="N822" i="9"/>
  <c r="N823" i="9"/>
  <c r="N824" i="9"/>
  <c r="N825" i="9"/>
  <c r="N826" i="9"/>
  <c r="N827" i="9"/>
  <c r="N828" i="9"/>
  <c r="N829" i="9"/>
  <c r="N830" i="9"/>
  <c r="N831" i="9"/>
  <c r="N832" i="9"/>
  <c r="N833" i="9"/>
  <c r="N834" i="9"/>
  <c r="N835" i="9"/>
  <c r="N836" i="9"/>
  <c r="N837" i="9"/>
  <c r="N838" i="9"/>
  <c r="N839" i="9"/>
  <c r="N840" i="9"/>
  <c r="N841" i="9"/>
  <c r="N842" i="9"/>
  <c r="N843" i="9"/>
  <c r="N844" i="9"/>
  <c r="N845" i="9"/>
  <c r="N846" i="9"/>
  <c r="N847" i="9"/>
  <c r="N848" i="9"/>
  <c r="N849" i="9"/>
  <c r="N850" i="9"/>
  <c r="N851" i="9"/>
  <c r="N852" i="9"/>
  <c r="N853" i="9"/>
  <c r="N854" i="9"/>
  <c r="N855" i="9"/>
  <c r="N856" i="9"/>
  <c r="N857" i="9"/>
  <c r="N858" i="9"/>
  <c r="N859" i="9"/>
  <c r="N860" i="9"/>
  <c r="N861" i="9"/>
  <c r="N862" i="9"/>
  <c r="N863" i="9"/>
  <c r="N864" i="9"/>
  <c r="N865" i="9"/>
  <c r="N866" i="9"/>
  <c r="N867" i="9"/>
  <c r="N868" i="9"/>
  <c r="N869" i="9"/>
  <c r="N870" i="9"/>
  <c r="N871" i="9"/>
  <c r="N872" i="9"/>
  <c r="N873" i="9"/>
  <c r="N874" i="9"/>
  <c r="N875" i="9"/>
  <c r="N876" i="9"/>
  <c r="N877" i="9"/>
  <c r="N878" i="9"/>
  <c r="N879" i="9"/>
  <c r="N880" i="9"/>
  <c r="N881" i="9"/>
  <c r="N882" i="9"/>
  <c r="N883" i="9"/>
  <c r="N884" i="9"/>
  <c r="N885" i="9"/>
  <c r="N886" i="9"/>
  <c r="N887" i="9"/>
  <c r="N888" i="9"/>
  <c r="N889" i="9"/>
  <c r="N890" i="9"/>
  <c r="N891" i="9"/>
  <c r="N892" i="9"/>
  <c r="N893" i="9"/>
  <c r="N894" i="9"/>
  <c r="N895" i="9"/>
  <c r="N896" i="9"/>
  <c r="N897" i="9"/>
  <c r="N898" i="9"/>
  <c r="N899" i="9"/>
  <c r="N900" i="9"/>
  <c r="N901" i="9"/>
  <c r="N902" i="9"/>
  <c r="N903" i="9"/>
  <c r="N904" i="9"/>
  <c r="N905" i="9"/>
  <c r="N906" i="9"/>
  <c r="N907" i="9"/>
  <c r="N908" i="9"/>
  <c r="N909" i="9"/>
  <c r="N910" i="9"/>
  <c r="N911" i="9"/>
  <c r="N912" i="9"/>
  <c r="N913" i="9"/>
  <c r="N914" i="9"/>
  <c r="N915" i="9"/>
  <c r="N916" i="9"/>
  <c r="N917" i="9"/>
  <c r="N918" i="9"/>
  <c r="N919" i="9"/>
  <c r="N920" i="9"/>
  <c r="N921" i="9"/>
  <c r="N922" i="9"/>
  <c r="N923" i="9"/>
  <c r="N924" i="9"/>
  <c r="N925" i="9"/>
  <c r="N926" i="9"/>
  <c r="N927" i="9"/>
  <c r="N928" i="9"/>
  <c r="N929" i="9"/>
  <c r="N930" i="9"/>
  <c r="N931" i="9"/>
  <c r="N932" i="9"/>
  <c r="N933" i="9"/>
  <c r="N934" i="9"/>
  <c r="N935" i="9"/>
  <c r="N936" i="9"/>
  <c r="N937" i="9"/>
  <c r="N938" i="9"/>
  <c r="N939" i="9"/>
  <c r="N940" i="9"/>
  <c r="N941" i="9"/>
  <c r="N942" i="9"/>
  <c r="N943" i="9"/>
  <c r="N944" i="9"/>
  <c r="N945" i="9"/>
  <c r="N946" i="9"/>
  <c r="N947" i="9"/>
  <c r="N948" i="9"/>
  <c r="N949" i="9"/>
  <c r="N950" i="9"/>
  <c r="N951" i="9"/>
  <c r="N952" i="9"/>
  <c r="N953" i="9"/>
  <c r="N954" i="9"/>
  <c r="N955" i="9"/>
  <c r="N956" i="9"/>
  <c r="N957" i="9"/>
  <c r="N958" i="9"/>
  <c r="N959" i="9"/>
  <c r="N960" i="9"/>
  <c r="N961" i="9"/>
  <c r="N962" i="9"/>
  <c r="N963" i="9"/>
  <c r="N964" i="9"/>
  <c r="N965" i="9"/>
  <c r="N966" i="9"/>
  <c r="N967" i="9"/>
  <c r="N968" i="9"/>
  <c r="N969" i="9"/>
  <c r="N970" i="9"/>
  <c r="N971" i="9"/>
  <c r="N972" i="9"/>
  <c r="N973" i="9"/>
  <c r="N974" i="9"/>
  <c r="N975" i="9"/>
  <c r="N976" i="9"/>
  <c r="N977" i="9"/>
  <c r="N978" i="9"/>
  <c r="N979" i="9"/>
  <c r="N980" i="9"/>
  <c r="N981" i="9"/>
  <c r="N982" i="9"/>
  <c r="N983" i="9"/>
  <c r="N2" i="9"/>
  <c r="M3" i="9"/>
  <c r="M4" i="9"/>
  <c r="M5" i="9"/>
  <c r="M6" i="9"/>
  <c r="M7" i="9"/>
  <c r="M8" i="9"/>
  <c r="M9" i="9"/>
  <c r="M10" i="9"/>
  <c r="M11" i="9"/>
  <c r="M12" i="9"/>
  <c r="M13" i="9"/>
  <c r="M14" i="9"/>
  <c r="M15" i="9"/>
  <c r="M16" i="9"/>
  <c r="M17" i="9"/>
  <c r="M18" i="9"/>
  <c r="M19" i="9"/>
  <c r="M20" i="9"/>
  <c r="M21" i="9"/>
  <c r="M22" i="9"/>
  <c r="M23" i="9"/>
  <c r="M24" i="9"/>
  <c r="M25" i="9"/>
  <c r="M26" i="9"/>
  <c r="M27" i="9"/>
  <c r="M28" i="9"/>
  <c r="M29" i="9"/>
  <c r="M30" i="9"/>
  <c r="M31" i="9"/>
  <c r="M32" i="9"/>
  <c r="M33" i="9"/>
  <c r="M34" i="9"/>
  <c r="M35" i="9"/>
  <c r="M36" i="9"/>
  <c r="M37" i="9"/>
  <c r="M38" i="9"/>
  <c r="M39" i="9"/>
  <c r="M40" i="9"/>
  <c r="M41" i="9"/>
  <c r="M42" i="9"/>
  <c r="M43" i="9"/>
  <c r="M44" i="9"/>
  <c r="M45" i="9"/>
  <c r="M46" i="9"/>
  <c r="M47" i="9"/>
  <c r="M48" i="9"/>
  <c r="M49" i="9"/>
  <c r="M50" i="9"/>
  <c r="M51" i="9"/>
  <c r="M52" i="9"/>
  <c r="M53" i="9"/>
  <c r="M54" i="9"/>
  <c r="M55" i="9"/>
  <c r="M56" i="9"/>
  <c r="M57" i="9"/>
  <c r="M58" i="9"/>
  <c r="M59" i="9"/>
  <c r="M60" i="9"/>
  <c r="M61" i="9"/>
  <c r="M62" i="9"/>
  <c r="M63" i="9"/>
  <c r="M64" i="9"/>
  <c r="M65" i="9"/>
  <c r="M66" i="9"/>
  <c r="M67" i="9"/>
  <c r="M68" i="9"/>
  <c r="M69" i="9"/>
  <c r="M70" i="9"/>
  <c r="M71" i="9"/>
  <c r="M72" i="9"/>
  <c r="M73" i="9"/>
  <c r="M74" i="9"/>
  <c r="M75" i="9"/>
  <c r="M76" i="9"/>
  <c r="M77" i="9"/>
  <c r="M78" i="9"/>
  <c r="M79" i="9"/>
  <c r="M80" i="9"/>
  <c r="M81" i="9"/>
  <c r="M82" i="9"/>
  <c r="M83" i="9"/>
  <c r="M84" i="9"/>
  <c r="M85" i="9"/>
  <c r="M86" i="9"/>
  <c r="M87" i="9"/>
  <c r="M88" i="9"/>
  <c r="M89" i="9"/>
  <c r="M90" i="9"/>
  <c r="M91" i="9"/>
  <c r="M92" i="9"/>
  <c r="M93" i="9"/>
  <c r="M94" i="9"/>
  <c r="M95" i="9"/>
  <c r="M96" i="9"/>
  <c r="M97" i="9"/>
  <c r="M98" i="9"/>
  <c r="M99" i="9"/>
  <c r="M100" i="9"/>
  <c r="M101" i="9"/>
  <c r="M102" i="9"/>
  <c r="M103" i="9"/>
  <c r="M104" i="9"/>
  <c r="M105" i="9"/>
  <c r="M106" i="9"/>
  <c r="M107" i="9"/>
  <c r="M108" i="9"/>
  <c r="M109" i="9"/>
  <c r="M110" i="9"/>
  <c r="M111" i="9"/>
  <c r="M112" i="9"/>
  <c r="M113" i="9"/>
  <c r="M114" i="9"/>
  <c r="M115" i="9"/>
  <c r="M116" i="9"/>
  <c r="M117" i="9"/>
  <c r="M118" i="9"/>
  <c r="M119" i="9"/>
  <c r="M120" i="9"/>
  <c r="M121" i="9"/>
  <c r="M122" i="9"/>
  <c r="M123" i="9"/>
  <c r="M124" i="9"/>
  <c r="M125" i="9"/>
  <c r="M126" i="9"/>
  <c r="M127" i="9"/>
  <c r="M128" i="9"/>
  <c r="M129" i="9"/>
  <c r="M130" i="9"/>
  <c r="M131" i="9"/>
  <c r="M132" i="9"/>
  <c r="M133" i="9"/>
  <c r="M134" i="9"/>
  <c r="M135" i="9"/>
  <c r="M136" i="9"/>
  <c r="M137" i="9"/>
  <c r="M138" i="9"/>
  <c r="M139" i="9"/>
  <c r="M140" i="9"/>
  <c r="M141" i="9"/>
  <c r="M142" i="9"/>
  <c r="M143" i="9"/>
  <c r="M144" i="9"/>
  <c r="M145" i="9"/>
  <c r="M146" i="9"/>
  <c r="M147" i="9"/>
  <c r="M148" i="9"/>
  <c r="M149" i="9"/>
  <c r="M150" i="9"/>
  <c r="M151" i="9"/>
  <c r="M152" i="9"/>
  <c r="M153" i="9"/>
  <c r="M154" i="9"/>
  <c r="M155" i="9"/>
  <c r="M156" i="9"/>
  <c r="M157" i="9"/>
  <c r="M158" i="9"/>
  <c r="M159" i="9"/>
  <c r="M160" i="9"/>
  <c r="M161" i="9"/>
  <c r="M162" i="9"/>
  <c r="M163" i="9"/>
  <c r="M164" i="9"/>
  <c r="M165" i="9"/>
  <c r="M166" i="9"/>
  <c r="M167" i="9"/>
  <c r="M168" i="9"/>
  <c r="M169" i="9"/>
  <c r="M170" i="9"/>
  <c r="M171" i="9"/>
  <c r="M172" i="9"/>
  <c r="M173" i="9"/>
  <c r="M174" i="9"/>
  <c r="M175" i="9"/>
  <c r="M176" i="9"/>
  <c r="M177" i="9"/>
  <c r="M178" i="9"/>
  <c r="M179" i="9"/>
  <c r="M180" i="9"/>
  <c r="M181" i="9"/>
  <c r="M182" i="9"/>
  <c r="M183" i="9"/>
  <c r="M184" i="9"/>
  <c r="M185" i="9"/>
  <c r="M186" i="9"/>
  <c r="M187" i="9"/>
  <c r="M188" i="9"/>
  <c r="M189" i="9"/>
  <c r="M190" i="9"/>
  <c r="M191" i="9"/>
  <c r="M192" i="9"/>
  <c r="M193" i="9"/>
  <c r="M194" i="9"/>
  <c r="M195" i="9"/>
  <c r="M196" i="9"/>
  <c r="M197" i="9"/>
  <c r="M198" i="9"/>
  <c r="M199" i="9"/>
  <c r="M200" i="9"/>
  <c r="M201" i="9"/>
  <c r="M202" i="9"/>
  <c r="M203" i="9"/>
  <c r="M204" i="9"/>
  <c r="M205" i="9"/>
  <c r="M206" i="9"/>
  <c r="M207" i="9"/>
  <c r="M208" i="9"/>
  <c r="M209" i="9"/>
  <c r="M210" i="9"/>
  <c r="M211" i="9"/>
  <c r="M212" i="9"/>
  <c r="M213" i="9"/>
  <c r="M214" i="9"/>
  <c r="M215" i="9"/>
  <c r="M216" i="9"/>
  <c r="M217" i="9"/>
  <c r="M218" i="9"/>
  <c r="M219" i="9"/>
  <c r="M220" i="9"/>
  <c r="M221" i="9"/>
  <c r="M222" i="9"/>
  <c r="M223" i="9"/>
  <c r="M224" i="9"/>
  <c r="M225" i="9"/>
  <c r="M226" i="9"/>
  <c r="M227" i="9"/>
  <c r="M228" i="9"/>
  <c r="M229" i="9"/>
  <c r="M230" i="9"/>
  <c r="M231" i="9"/>
  <c r="M232" i="9"/>
  <c r="M233" i="9"/>
  <c r="M234" i="9"/>
  <c r="M235" i="9"/>
  <c r="M236" i="9"/>
  <c r="M237" i="9"/>
  <c r="M238" i="9"/>
  <c r="M239" i="9"/>
  <c r="M240" i="9"/>
  <c r="M241" i="9"/>
  <c r="M242" i="9"/>
  <c r="M243" i="9"/>
  <c r="M244" i="9"/>
  <c r="M245" i="9"/>
  <c r="M246" i="9"/>
  <c r="M247" i="9"/>
  <c r="M248" i="9"/>
  <c r="M249" i="9"/>
  <c r="M250" i="9"/>
  <c r="M251" i="9"/>
  <c r="M252" i="9"/>
  <c r="M253" i="9"/>
  <c r="M254" i="9"/>
  <c r="M255" i="9"/>
  <c r="M256" i="9"/>
  <c r="M257" i="9"/>
  <c r="M258" i="9"/>
  <c r="M259" i="9"/>
  <c r="M260" i="9"/>
  <c r="M261" i="9"/>
  <c r="M262" i="9"/>
  <c r="M263" i="9"/>
  <c r="M264" i="9"/>
  <c r="M265" i="9"/>
  <c r="M266" i="9"/>
  <c r="M267" i="9"/>
  <c r="M268" i="9"/>
  <c r="M269" i="9"/>
  <c r="M270" i="9"/>
  <c r="M271" i="9"/>
  <c r="M272" i="9"/>
  <c r="M273" i="9"/>
  <c r="M274" i="9"/>
  <c r="M275" i="9"/>
  <c r="M276" i="9"/>
  <c r="M277" i="9"/>
  <c r="M278" i="9"/>
  <c r="M279" i="9"/>
  <c r="M280" i="9"/>
  <c r="M281" i="9"/>
  <c r="M282" i="9"/>
  <c r="M283" i="9"/>
  <c r="M284" i="9"/>
  <c r="M285" i="9"/>
  <c r="M286" i="9"/>
  <c r="M287" i="9"/>
  <c r="M288" i="9"/>
  <c r="M289" i="9"/>
  <c r="M290" i="9"/>
  <c r="M291" i="9"/>
  <c r="M292" i="9"/>
  <c r="M293" i="9"/>
  <c r="M294" i="9"/>
  <c r="M295" i="9"/>
  <c r="M296" i="9"/>
  <c r="M297" i="9"/>
  <c r="M298" i="9"/>
  <c r="M299" i="9"/>
  <c r="M300" i="9"/>
  <c r="M301" i="9"/>
  <c r="M302" i="9"/>
  <c r="M303" i="9"/>
  <c r="M304" i="9"/>
  <c r="M305" i="9"/>
  <c r="M306" i="9"/>
  <c r="M307" i="9"/>
  <c r="M308" i="9"/>
  <c r="M309" i="9"/>
  <c r="M310" i="9"/>
  <c r="M311" i="9"/>
  <c r="M312" i="9"/>
  <c r="M313" i="9"/>
  <c r="M314" i="9"/>
  <c r="M315" i="9"/>
  <c r="M316" i="9"/>
  <c r="M317" i="9"/>
  <c r="M318" i="9"/>
  <c r="M319" i="9"/>
  <c r="M320" i="9"/>
  <c r="M321" i="9"/>
  <c r="M322" i="9"/>
  <c r="M323" i="9"/>
  <c r="M324" i="9"/>
  <c r="M325" i="9"/>
  <c r="M326" i="9"/>
  <c r="M327" i="9"/>
  <c r="M328" i="9"/>
  <c r="M329" i="9"/>
  <c r="M330" i="9"/>
  <c r="M331" i="9"/>
  <c r="M332" i="9"/>
  <c r="M333" i="9"/>
  <c r="M334" i="9"/>
  <c r="M335" i="9"/>
  <c r="M336" i="9"/>
  <c r="M337" i="9"/>
  <c r="M338" i="9"/>
  <c r="M339" i="9"/>
  <c r="M340" i="9"/>
  <c r="M341" i="9"/>
  <c r="M342" i="9"/>
  <c r="M343" i="9"/>
  <c r="M344" i="9"/>
  <c r="M345" i="9"/>
  <c r="M346" i="9"/>
  <c r="M347" i="9"/>
  <c r="M348" i="9"/>
  <c r="M349" i="9"/>
  <c r="M350" i="9"/>
  <c r="M351" i="9"/>
  <c r="M352" i="9"/>
  <c r="M353" i="9"/>
  <c r="M354" i="9"/>
  <c r="M355" i="9"/>
  <c r="M356" i="9"/>
  <c r="M357" i="9"/>
  <c r="M358" i="9"/>
  <c r="M359" i="9"/>
  <c r="M360" i="9"/>
  <c r="M361" i="9"/>
  <c r="M362" i="9"/>
  <c r="M363" i="9"/>
  <c r="M364" i="9"/>
  <c r="M365" i="9"/>
  <c r="M366" i="9"/>
  <c r="M367" i="9"/>
  <c r="M368" i="9"/>
  <c r="M369" i="9"/>
  <c r="M370" i="9"/>
  <c r="M371" i="9"/>
  <c r="M372" i="9"/>
  <c r="M373" i="9"/>
  <c r="M374" i="9"/>
  <c r="M375" i="9"/>
  <c r="M376" i="9"/>
  <c r="M377" i="9"/>
  <c r="M378" i="9"/>
  <c r="M379" i="9"/>
  <c r="M380" i="9"/>
  <c r="M381" i="9"/>
  <c r="M382" i="9"/>
  <c r="M383" i="9"/>
  <c r="M384" i="9"/>
  <c r="M385" i="9"/>
  <c r="M386" i="9"/>
  <c r="M387" i="9"/>
  <c r="M388" i="9"/>
  <c r="M389" i="9"/>
  <c r="M390" i="9"/>
  <c r="M391" i="9"/>
  <c r="M392" i="9"/>
  <c r="M393" i="9"/>
  <c r="M394" i="9"/>
  <c r="M395" i="9"/>
  <c r="M396" i="9"/>
  <c r="M397" i="9"/>
  <c r="M398" i="9"/>
  <c r="M399" i="9"/>
  <c r="M400" i="9"/>
  <c r="M401" i="9"/>
  <c r="M402" i="9"/>
  <c r="M403" i="9"/>
  <c r="M404" i="9"/>
  <c r="M405" i="9"/>
  <c r="M406" i="9"/>
  <c r="M407" i="9"/>
  <c r="M408" i="9"/>
  <c r="M409" i="9"/>
  <c r="M410" i="9"/>
  <c r="M411" i="9"/>
  <c r="M412" i="9"/>
  <c r="M413" i="9"/>
  <c r="M414" i="9"/>
  <c r="M415" i="9"/>
  <c r="M416" i="9"/>
  <c r="M417" i="9"/>
  <c r="M418" i="9"/>
  <c r="M419" i="9"/>
  <c r="M420" i="9"/>
  <c r="M421" i="9"/>
  <c r="M422" i="9"/>
  <c r="M423" i="9"/>
  <c r="M424" i="9"/>
  <c r="M425" i="9"/>
  <c r="M426" i="9"/>
  <c r="M427" i="9"/>
  <c r="M428" i="9"/>
  <c r="M429" i="9"/>
  <c r="M430" i="9"/>
  <c r="M431" i="9"/>
  <c r="M432" i="9"/>
  <c r="M433" i="9"/>
  <c r="M434" i="9"/>
  <c r="M435" i="9"/>
  <c r="M436" i="9"/>
  <c r="M437" i="9"/>
  <c r="M438" i="9"/>
  <c r="M439" i="9"/>
  <c r="M440" i="9"/>
  <c r="M441" i="9"/>
  <c r="M442" i="9"/>
  <c r="M443" i="9"/>
  <c r="M444" i="9"/>
  <c r="M445" i="9"/>
  <c r="M446" i="9"/>
  <c r="M447" i="9"/>
  <c r="M448" i="9"/>
  <c r="M449" i="9"/>
  <c r="M450" i="9"/>
  <c r="M451" i="9"/>
  <c r="M452" i="9"/>
  <c r="M453" i="9"/>
  <c r="M454" i="9"/>
  <c r="M455" i="9"/>
  <c r="M456" i="9"/>
  <c r="M457" i="9"/>
  <c r="M458" i="9"/>
  <c r="M459" i="9"/>
  <c r="M460" i="9"/>
  <c r="M461" i="9"/>
  <c r="M462" i="9"/>
  <c r="M463" i="9"/>
  <c r="M464" i="9"/>
  <c r="M465" i="9"/>
  <c r="M466" i="9"/>
  <c r="M467" i="9"/>
  <c r="M468" i="9"/>
  <c r="M469" i="9"/>
  <c r="M470" i="9"/>
  <c r="M471" i="9"/>
  <c r="M472" i="9"/>
  <c r="M473" i="9"/>
  <c r="M474" i="9"/>
  <c r="M475" i="9"/>
  <c r="M476" i="9"/>
  <c r="M477" i="9"/>
  <c r="M478" i="9"/>
  <c r="M479" i="9"/>
  <c r="M480" i="9"/>
  <c r="M481" i="9"/>
  <c r="M482" i="9"/>
  <c r="M483" i="9"/>
  <c r="M484" i="9"/>
  <c r="M485" i="9"/>
  <c r="M486" i="9"/>
  <c r="M487" i="9"/>
  <c r="M488" i="9"/>
  <c r="M489" i="9"/>
  <c r="M490" i="9"/>
  <c r="M491" i="9"/>
  <c r="M492" i="9"/>
  <c r="M493" i="9"/>
  <c r="M494" i="9"/>
  <c r="M495" i="9"/>
  <c r="M496" i="9"/>
  <c r="M497" i="9"/>
  <c r="M498" i="9"/>
  <c r="M499" i="9"/>
  <c r="M500" i="9"/>
  <c r="M501" i="9"/>
  <c r="M502" i="9"/>
  <c r="M503" i="9"/>
  <c r="M504" i="9"/>
  <c r="M505" i="9"/>
  <c r="M506" i="9"/>
  <c r="M507" i="9"/>
  <c r="M508" i="9"/>
  <c r="M509" i="9"/>
  <c r="M510" i="9"/>
  <c r="M511" i="9"/>
  <c r="M512" i="9"/>
  <c r="M513" i="9"/>
  <c r="M514" i="9"/>
  <c r="M515" i="9"/>
  <c r="M516" i="9"/>
  <c r="M517" i="9"/>
  <c r="M518" i="9"/>
  <c r="M519" i="9"/>
  <c r="M520" i="9"/>
  <c r="M521" i="9"/>
  <c r="M522" i="9"/>
  <c r="M523" i="9"/>
  <c r="M524" i="9"/>
  <c r="M525" i="9"/>
  <c r="M526" i="9"/>
  <c r="M527" i="9"/>
  <c r="M528" i="9"/>
  <c r="M529" i="9"/>
  <c r="M530" i="9"/>
  <c r="M531" i="9"/>
  <c r="M532" i="9"/>
  <c r="M533" i="9"/>
  <c r="M534" i="9"/>
  <c r="M535" i="9"/>
  <c r="M536" i="9"/>
  <c r="M537" i="9"/>
  <c r="M538" i="9"/>
  <c r="M539" i="9"/>
  <c r="M540" i="9"/>
  <c r="M541" i="9"/>
  <c r="M542" i="9"/>
  <c r="M543" i="9"/>
  <c r="M544" i="9"/>
  <c r="M545" i="9"/>
  <c r="M546" i="9"/>
  <c r="M547" i="9"/>
  <c r="M548" i="9"/>
  <c r="M549" i="9"/>
  <c r="M550" i="9"/>
  <c r="M551" i="9"/>
  <c r="M552" i="9"/>
  <c r="M553" i="9"/>
  <c r="M554" i="9"/>
  <c r="M555" i="9"/>
  <c r="M556" i="9"/>
  <c r="M557" i="9"/>
  <c r="M558" i="9"/>
  <c r="M559" i="9"/>
  <c r="M560" i="9"/>
  <c r="M561" i="9"/>
  <c r="M562" i="9"/>
  <c r="M563" i="9"/>
  <c r="M564" i="9"/>
  <c r="M565" i="9"/>
  <c r="M566" i="9"/>
  <c r="M567" i="9"/>
  <c r="M568" i="9"/>
  <c r="M569" i="9"/>
  <c r="M570" i="9"/>
  <c r="M571" i="9"/>
  <c r="M572" i="9"/>
  <c r="M573" i="9"/>
  <c r="M574" i="9"/>
  <c r="M575" i="9"/>
  <c r="M576" i="9"/>
  <c r="M577" i="9"/>
  <c r="M578" i="9"/>
  <c r="M579" i="9"/>
  <c r="M580" i="9"/>
  <c r="M581" i="9"/>
  <c r="M582" i="9"/>
  <c r="M583" i="9"/>
  <c r="M584" i="9"/>
  <c r="M585" i="9"/>
  <c r="M586" i="9"/>
  <c r="M587" i="9"/>
  <c r="M588" i="9"/>
  <c r="M589" i="9"/>
  <c r="M590" i="9"/>
  <c r="M591" i="9"/>
  <c r="M592" i="9"/>
  <c r="M593" i="9"/>
  <c r="M594" i="9"/>
  <c r="M595" i="9"/>
  <c r="M596" i="9"/>
  <c r="M597" i="9"/>
  <c r="M598" i="9"/>
  <c r="M599" i="9"/>
  <c r="M600" i="9"/>
  <c r="M601" i="9"/>
  <c r="M602" i="9"/>
  <c r="M603" i="9"/>
  <c r="M604" i="9"/>
  <c r="M605" i="9"/>
  <c r="M606" i="9"/>
  <c r="M607" i="9"/>
  <c r="M608" i="9"/>
  <c r="M609" i="9"/>
  <c r="M610" i="9"/>
  <c r="M611" i="9"/>
  <c r="M612" i="9"/>
  <c r="M613" i="9"/>
  <c r="M614" i="9"/>
  <c r="M615" i="9"/>
  <c r="M616" i="9"/>
  <c r="M617" i="9"/>
  <c r="M618" i="9"/>
  <c r="M619" i="9"/>
  <c r="M620" i="9"/>
  <c r="M621" i="9"/>
  <c r="M622" i="9"/>
  <c r="M623" i="9"/>
  <c r="M624" i="9"/>
  <c r="M625" i="9"/>
  <c r="M626" i="9"/>
  <c r="M627" i="9"/>
  <c r="M628" i="9"/>
  <c r="M629" i="9"/>
  <c r="M630" i="9"/>
  <c r="M631" i="9"/>
  <c r="M632" i="9"/>
  <c r="M633" i="9"/>
  <c r="M634" i="9"/>
  <c r="M635" i="9"/>
  <c r="M636" i="9"/>
  <c r="M637" i="9"/>
  <c r="M638" i="9"/>
  <c r="M639" i="9"/>
  <c r="M640" i="9"/>
  <c r="M641" i="9"/>
  <c r="M642" i="9"/>
  <c r="M643" i="9"/>
  <c r="M644" i="9"/>
  <c r="M645" i="9"/>
  <c r="M646" i="9"/>
  <c r="M647" i="9"/>
  <c r="M648" i="9"/>
  <c r="M649" i="9"/>
  <c r="M650" i="9"/>
  <c r="M651" i="9"/>
  <c r="M652" i="9"/>
  <c r="M653" i="9"/>
  <c r="M654" i="9"/>
  <c r="M655" i="9"/>
  <c r="M656" i="9"/>
  <c r="M657" i="9"/>
  <c r="M658" i="9"/>
  <c r="M659" i="9"/>
  <c r="M660" i="9"/>
  <c r="M661" i="9"/>
  <c r="M662" i="9"/>
  <c r="M663" i="9"/>
  <c r="M664" i="9"/>
  <c r="M665" i="9"/>
  <c r="M666" i="9"/>
  <c r="M667" i="9"/>
  <c r="M668" i="9"/>
  <c r="M669" i="9"/>
  <c r="M670" i="9"/>
  <c r="M671" i="9"/>
  <c r="M672" i="9"/>
  <c r="M673" i="9"/>
  <c r="M674" i="9"/>
  <c r="M675" i="9"/>
  <c r="M676" i="9"/>
  <c r="M677" i="9"/>
  <c r="M678" i="9"/>
  <c r="M679" i="9"/>
  <c r="M680" i="9"/>
  <c r="M681" i="9"/>
  <c r="M682" i="9"/>
  <c r="M683" i="9"/>
  <c r="M684" i="9"/>
  <c r="M685" i="9"/>
  <c r="M686" i="9"/>
  <c r="M687" i="9"/>
  <c r="M688" i="9"/>
  <c r="M689" i="9"/>
  <c r="M690" i="9"/>
  <c r="M691" i="9"/>
  <c r="M692" i="9"/>
  <c r="M693" i="9"/>
  <c r="M694" i="9"/>
  <c r="M695" i="9"/>
  <c r="M696" i="9"/>
  <c r="M697" i="9"/>
  <c r="M698" i="9"/>
  <c r="M699" i="9"/>
  <c r="M700" i="9"/>
  <c r="M701" i="9"/>
  <c r="M702" i="9"/>
  <c r="M703" i="9"/>
  <c r="M704" i="9"/>
  <c r="M705" i="9"/>
  <c r="M706" i="9"/>
  <c r="M707" i="9"/>
  <c r="M708" i="9"/>
  <c r="M709" i="9"/>
  <c r="M710" i="9"/>
  <c r="M711" i="9"/>
  <c r="M712" i="9"/>
  <c r="M713" i="9"/>
  <c r="M714" i="9"/>
  <c r="M715" i="9"/>
  <c r="M716" i="9"/>
  <c r="M717" i="9"/>
  <c r="M718" i="9"/>
  <c r="M719" i="9"/>
  <c r="M720" i="9"/>
  <c r="M721" i="9"/>
  <c r="M722" i="9"/>
  <c r="M723" i="9"/>
  <c r="M724" i="9"/>
  <c r="M725" i="9"/>
  <c r="M726" i="9"/>
  <c r="M727" i="9"/>
  <c r="M728" i="9"/>
  <c r="M729" i="9"/>
  <c r="M730" i="9"/>
  <c r="M731" i="9"/>
  <c r="M732" i="9"/>
  <c r="M733" i="9"/>
  <c r="M734" i="9"/>
  <c r="M735" i="9"/>
  <c r="M736" i="9"/>
  <c r="M737" i="9"/>
  <c r="M738" i="9"/>
  <c r="M739" i="9"/>
  <c r="M740" i="9"/>
  <c r="M741" i="9"/>
  <c r="M742" i="9"/>
  <c r="M743" i="9"/>
  <c r="M744" i="9"/>
  <c r="M745" i="9"/>
  <c r="M746" i="9"/>
  <c r="M747" i="9"/>
  <c r="M748" i="9"/>
  <c r="M749" i="9"/>
  <c r="M750" i="9"/>
  <c r="M751" i="9"/>
  <c r="M752" i="9"/>
  <c r="M753" i="9"/>
  <c r="M754" i="9"/>
  <c r="M755" i="9"/>
  <c r="M756" i="9"/>
  <c r="M757" i="9"/>
  <c r="M758" i="9"/>
  <c r="M759" i="9"/>
  <c r="M760" i="9"/>
  <c r="M761" i="9"/>
  <c r="M762" i="9"/>
  <c r="M763" i="9"/>
  <c r="M764" i="9"/>
  <c r="M765" i="9"/>
  <c r="M766" i="9"/>
  <c r="M767" i="9"/>
  <c r="M768" i="9"/>
  <c r="M769" i="9"/>
  <c r="M770" i="9"/>
  <c r="M771" i="9"/>
  <c r="M772" i="9"/>
  <c r="M773" i="9"/>
  <c r="M774" i="9"/>
  <c r="M775" i="9"/>
  <c r="M776" i="9"/>
  <c r="M777" i="9"/>
  <c r="M778" i="9"/>
  <c r="M779" i="9"/>
  <c r="M780" i="9"/>
  <c r="M781" i="9"/>
  <c r="M782" i="9"/>
  <c r="M783" i="9"/>
  <c r="M784" i="9"/>
  <c r="M785" i="9"/>
  <c r="M786" i="9"/>
  <c r="M787" i="9"/>
  <c r="M788" i="9"/>
  <c r="M789" i="9"/>
  <c r="M790" i="9"/>
  <c r="M791" i="9"/>
  <c r="M792" i="9"/>
  <c r="M793" i="9"/>
  <c r="M794" i="9"/>
  <c r="M795" i="9"/>
  <c r="M796" i="9"/>
  <c r="M797" i="9"/>
  <c r="M798" i="9"/>
  <c r="M799" i="9"/>
  <c r="M800" i="9"/>
  <c r="M801" i="9"/>
  <c r="M802" i="9"/>
  <c r="M803" i="9"/>
  <c r="M804" i="9"/>
  <c r="M805" i="9"/>
  <c r="M806" i="9"/>
  <c r="M807" i="9"/>
  <c r="M808" i="9"/>
  <c r="M809" i="9"/>
  <c r="M810" i="9"/>
  <c r="M811" i="9"/>
  <c r="M812" i="9"/>
  <c r="M813" i="9"/>
  <c r="M814" i="9"/>
  <c r="M815" i="9"/>
  <c r="M816" i="9"/>
  <c r="M817" i="9"/>
  <c r="M818" i="9"/>
  <c r="M819" i="9"/>
  <c r="M820" i="9"/>
  <c r="M821" i="9"/>
  <c r="M822" i="9"/>
  <c r="M823" i="9"/>
  <c r="M824" i="9"/>
  <c r="M825" i="9"/>
  <c r="M826" i="9"/>
  <c r="M827" i="9"/>
  <c r="M828" i="9"/>
  <c r="M829" i="9"/>
  <c r="M830" i="9"/>
  <c r="M831" i="9"/>
  <c r="M832" i="9"/>
  <c r="M833" i="9"/>
  <c r="M834" i="9"/>
  <c r="M835" i="9"/>
  <c r="M836" i="9"/>
  <c r="M837" i="9"/>
  <c r="M838" i="9"/>
  <c r="M839" i="9"/>
  <c r="M840" i="9"/>
  <c r="M841" i="9"/>
  <c r="M842" i="9"/>
  <c r="M843" i="9"/>
  <c r="M844" i="9"/>
  <c r="M845" i="9"/>
  <c r="M846" i="9"/>
  <c r="M847" i="9"/>
  <c r="M848" i="9"/>
  <c r="M849" i="9"/>
  <c r="M850" i="9"/>
  <c r="M851" i="9"/>
  <c r="M852" i="9"/>
  <c r="M853" i="9"/>
  <c r="M854" i="9"/>
  <c r="M855" i="9"/>
  <c r="M856" i="9"/>
  <c r="M857" i="9"/>
  <c r="M858" i="9"/>
  <c r="M859" i="9"/>
  <c r="M860" i="9"/>
  <c r="M861" i="9"/>
  <c r="M862" i="9"/>
  <c r="M863" i="9"/>
  <c r="M864" i="9"/>
  <c r="M865" i="9"/>
  <c r="M866" i="9"/>
  <c r="M867" i="9"/>
  <c r="M868" i="9"/>
  <c r="M869" i="9"/>
  <c r="M870" i="9"/>
  <c r="M871" i="9"/>
  <c r="M872" i="9"/>
  <c r="M873" i="9"/>
  <c r="M874" i="9"/>
  <c r="M875" i="9"/>
  <c r="M876" i="9"/>
  <c r="M877" i="9"/>
  <c r="M878" i="9"/>
  <c r="M879" i="9"/>
  <c r="M880" i="9"/>
  <c r="M881" i="9"/>
  <c r="M882" i="9"/>
  <c r="M883" i="9"/>
  <c r="M884" i="9"/>
  <c r="M885" i="9"/>
  <c r="M886" i="9"/>
  <c r="M887" i="9"/>
  <c r="M888" i="9"/>
  <c r="M889" i="9"/>
  <c r="M890" i="9"/>
  <c r="M891" i="9"/>
  <c r="M892" i="9"/>
  <c r="M893" i="9"/>
  <c r="M894" i="9"/>
  <c r="M895" i="9"/>
  <c r="M896" i="9"/>
  <c r="M897" i="9"/>
  <c r="M898" i="9"/>
  <c r="M899" i="9"/>
  <c r="M900" i="9"/>
  <c r="M901" i="9"/>
  <c r="M902" i="9"/>
  <c r="M903" i="9"/>
  <c r="M904" i="9"/>
  <c r="M905" i="9"/>
  <c r="M906" i="9"/>
  <c r="M907" i="9"/>
  <c r="M908" i="9"/>
  <c r="M909" i="9"/>
  <c r="M910" i="9"/>
  <c r="M911" i="9"/>
  <c r="M912" i="9"/>
  <c r="M913" i="9"/>
  <c r="M914" i="9"/>
  <c r="M915" i="9"/>
  <c r="M916" i="9"/>
  <c r="M917" i="9"/>
  <c r="M918" i="9"/>
  <c r="M919" i="9"/>
  <c r="M920" i="9"/>
  <c r="M921" i="9"/>
  <c r="M922" i="9"/>
  <c r="M923" i="9"/>
  <c r="M924" i="9"/>
  <c r="M925" i="9"/>
  <c r="M926" i="9"/>
  <c r="M927" i="9"/>
  <c r="M928" i="9"/>
  <c r="M929" i="9"/>
  <c r="M930" i="9"/>
  <c r="M931" i="9"/>
  <c r="M932" i="9"/>
  <c r="M933" i="9"/>
  <c r="M934" i="9"/>
  <c r="M935" i="9"/>
  <c r="M936" i="9"/>
  <c r="M937" i="9"/>
  <c r="M938" i="9"/>
  <c r="M939" i="9"/>
  <c r="M940" i="9"/>
  <c r="M941" i="9"/>
  <c r="M942" i="9"/>
  <c r="M943" i="9"/>
  <c r="M944" i="9"/>
  <c r="M945" i="9"/>
  <c r="M946" i="9"/>
  <c r="M947" i="9"/>
  <c r="M948" i="9"/>
  <c r="M949" i="9"/>
  <c r="M950" i="9"/>
  <c r="M951" i="9"/>
  <c r="M952" i="9"/>
  <c r="M953" i="9"/>
  <c r="M954" i="9"/>
  <c r="M955" i="9"/>
  <c r="M956" i="9"/>
  <c r="M957" i="9"/>
  <c r="M958" i="9"/>
  <c r="M959" i="9"/>
  <c r="M960" i="9"/>
  <c r="M961" i="9"/>
  <c r="M962" i="9"/>
  <c r="M963" i="9"/>
  <c r="M964" i="9"/>
  <c r="M965" i="9"/>
  <c r="M966" i="9"/>
  <c r="M967" i="9"/>
  <c r="M968" i="9"/>
  <c r="M969" i="9"/>
  <c r="M970" i="9"/>
  <c r="M971" i="9"/>
  <c r="M972" i="9"/>
  <c r="M973" i="9"/>
  <c r="M974" i="9"/>
  <c r="M975" i="9"/>
  <c r="M976" i="9"/>
  <c r="M977" i="9"/>
  <c r="M978" i="9"/>
  <c r="M979" i="9"/>
  <c r="M980" i="9"/>
  <c r="M981" i="9"/>
  <c r="M982" i="9"/>
  <c r="M983" i="9"/>
  <c r="M2" i="9"/>
  <c r="L2" i="9"/>
  <c r="L3"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144" i="9"/>
  <c r="L145" i="9"/>
  <c r="L146" i="9"/>
  <c r="L147" i="9"/>
  <c r="L148" i="9"/>
  <c r="L149" i="9"/>
  <c r="L150" i="9"/>
  <c r="L151" i="9"/>
  <c r="L152" i="9"/>
  <c r="L153" i="9"/>
  <c r="L154" i="9"/>
  <c r="L155" i="9"/>
  <c r="L156" i="9"/>
  <c r="L157" i="9"/>
  <c r="L158" i="9"/>
  <c r="L159" i="9"/>
  <c r="L160" i="9"/>
  <c r="L161" i="9"/>
  <c r="L162" i="9"/>
  <c r="L163" i="9"/>
  <c r="L164" i="9"/>
  <c r="L165" i="9"/>
  <c r="L166" i="9"/>
  <c r="L167" i="9"/>
  <c r="L168" i="9"/>
  <c r="L169" i="9"/>
  <c r="L170" i="9"/>
  <c r="L171" i="9"/>
  <c r="L172" i="9"/>
  <c r="L173" i="9"/>
  <c r="L174" i="9"/>
  <c r="L175" i="9"/>
  <c r="L176" i="9"/>
  <c r="L177" i="9"/>
  <c r="L178" i="9"/>
  <c r="L179" i="9"/>
  <c r="L180" i="9"/>
  <c r="L181" i="9"/>
  <c r="L182" i="9"/>
  <c r="L183" i="9"/>
  <c r="L184" i="9"/>
  <c r="L185" i="9"/>
  <c r="L186" i="9"/>
  <c r="L187" i="9"/>
  <c r="L188" i="9"/>
  <c r="L189" i="9"/>
  <c r="L190" i="9"/>
  <c r="L191" i="9"/>
  <c r="L192" i="9"/>
  <c r="L193" i="9"/>
  <c r="L194" i="9"/>
  <c r="L195" i="9"/>
  <c r="L196" i="9"/>
  <c r="L197" i="9"/>
  <c r="L198" i="9"/>
  <c r="L199" i="9"/>
  <c r="L200" i="9"/>
  <c r="L201" i="9"/>
  <c r="L202" i="9"/>
  <c r="L203" i="9"/>
  <c r="L204" i="9"/>
  <c r="L205" i="9"/>
  <c r="L206" i="9"/>
  <c r="L207" i="9"/>
  <c r="L208" i="9"/>
  <c r="L209" i="9"/>
  <c r="L210" i="9"/>
  <c r="L211" i="9"/>
  <c r="L212" i="9"/>
  <c r="L213" i="9"/>
  <c r="L214" i="9"/>
  <c r="L215" i="9"/>
  <c r="L216" i="9"/>
  <c r="L217" i="9"/>
  <c r="L218" i="9"/>
  <c r="L219" i="9"/>
  <c r="L220" i="9"/>
  <c r="L221" i="9"/>
  <c r="L222" i="9"/>
  <c r="L223" i="9"/>
  <c r="L224" i="9"/>
  <c r="L225" i="9"/>
  <c r="L226" i="9"/>
  <c r="L227" i="9"/>
  <c r="L228" i="9"/>
  <c r="L229" i="9"/>
  <c r="L230" i="9"/>
  <c r="L231" i="9"/>
  <c r="L232" i="9"/>
  <c r="L233" i="9"/>
  <c r="L234" i="9"/>
  <c r="L235" i="9"/>
  <c r="L236" i="9"/>
  <c r="L237" i="9"/>
  <c r="L238" i="9"/>
  <c r="L239" i="9"/>
  <c r="L240" i="9"/>
  <c r="L241" i="9"/>
  <c r="L242" i="9"/>
  <c r="L243" i="9"/>
  <c r="L244" i="9"/>
  <c r="L245" i="9"/>
  <c r="L246" i="9"/>
  <c r="L247" i="9"/>
  <c r="L248" i="9"/>
  <c r="L249" i="9"/>
  <c r="L250" i="9"/>
  <c r="L251" i="9"/>
  <c r="L252" i="9"/>
  <c r="L253" i="9"/>
  <c r="L254" i="9"/>
  <c r="L255" i="9"/>
  <c r="L256" i="9"/>
  <c r="L257" i="9"/>
  <c r="L258" i="9"/>
  <c r="L259" i="9"/>
  <c r="L260" i="9"/>
  <c r="L261" i="9"/>
  <c r="L262" i="9"/>
  <c r="L263" i="9"/>
  <c r="L264" i="9"/>
  <c r="L265" i="9"/>
  <c r="L266" i="9"/>
  <c r="L267" i="9"/>
  <c r="L268" i="9"/>
  <c r="L269" i="9"/>
  <c r="L270" i="9"/>
  <c r="L271" i="9"/>
  <c r="L272" i="9"/>
  <c r="L273" i="9"/>
  <c r="L274" i="9"/>
  <c r="L275" i="9"/>
  <c r="L276" i="9"/>
  <c r="L277" i="9"/>
  <c r="L278" i="9"/>
  <c r="L279" i="9"/>
  <c r="L280" i="9"/>
  <c r="L281" i="9"/>
  <c r="L282" i="9"/>
  <c r="L283" i="9"/>
  <c r="L284" i="9"/>
  <c r="L285" i="9"/>
  <c r="L286" i="9"/>
  <c r="L287" i="9"/>
  <c r="L288" i="9"/>
  <c r="L289" i="9"/>
  <c r="L290" i="9"/>
  <c r="L291" i="9"/>
  <c r="L292" i="9"/>
  <c r="L293" i="9"/>
  <c r="L294" i="9"/>
  <c r="L295" i="9"/>
  <c r="L296" i="9"/>
  <c r="L297" i="9"/>
  <c r="L298" i="9"/>
  <c r="L299" i="9"/>
  <c r="L300" i="9"/>
  <c r="L301" i="9"/>
  <c r="L302" i="9"/>
  <c r="L303" i="9"/>
  <c r="L304" i="9"/>
  <c r="L305" i="9"/>
  <c r="L306" i="9"/>
  <c r="L307" i="9"/>
  <c r="L308" i="9"/>
  <c r="L309" i="9"/>
  <c r="L310" i="9"/>
  <c r="L311" i="9"/>
  <c r="L312" i="9"/>
  <c r="L313" i="9"/>
  <c r="L314" i="9"/>
  <c r="L315" i="9"/>
  <c r="L316" i="9"/>
  <c r="L317" i="9"/>
  <c r="L318" i="9"/>
  <c r="L319" i="9"/>
  <c r="L320" i="9"/>
  <c r="L321" i="9"/>
  <c r="L322" i="9"/>
  <c r="L323" i="9"/>
  <c r="L324" i="9"/>
  <c r="L325" i="9"/>
  <c r="L326" i="9"/>
  <c r="L327" i="9"/>
  <c r="L328" i="9"/>
  <c r="L329" i="9"/>
  <c r="L330" i="9"/>
  <c r="L331" i="9"/>
  <c r="L332" i="9"/>
  <c r="L333" i="9"/>
  <c r="L334" i="9"/>
  <c r="L335" i="9"/>
  <c r="L336" i="9"/>
  <c r="L337" i="9"/>
  <c r="L338" i="9"/>
  <c r="L339" i="9"/>
  <c r="L340" i="9"/>
  <c r="L341" i="9"/>
  <c r="L342" i="9"/>
  <c r="L343" i="9"/>
  <c r="L344" i="9"/>
  <c r="L345" i="9"/>
  <c r="L346" i="9"/>
  <c r="L347" i="9"/>
  <c r="L348" i="9"/>
  <c r="L349" i="9"/>
  <c r="L350" i="9"/>
  <c r="L351" i="9"/>
  <c r="L352" i="9"/>
  <c r="L353" i="9"/>
  <c r="L354" i="9"/>
  <c r="L355" i="9"/>
  <c r="L356" i="9"/>
  <c r="L357" i="9"/>
  <c r="L358" i="9"/>
  <c r="L359" i="9"/>
  <c r="L360" i="9"/>
  <c r="L361" i="9"/>
  <c r="L362" i="9"/>
  <c r="L363" i="9"/>
  <c r="L364" i="9"/>
  <c r="L365" i="9"/>
  <c r="L366" i="9"/>
  <c r="L367" i="9"/>
  <c r="L368" i="9"/>
  <c r="L369" i="9"/>
  <c r="L370" i="9"/>
  <c r="L371" i="9"/>
  <c r="L372" i="9"/>
  <c r="L373" i="9"/>
  <c r="L374" i="9"/>
  <c r="L375" i="9"/>
  <c r="L376" i="9"/>
  <c r="L377" i="9"/>
  <c r="L378" i="9"/>
  <c r="L379" i="9"/>
  <c r="L380" i="9"/>
  <c r="L381" i="9"/>
  <c r="L382" i="9"/>
  <c r="L383" i="9"/>
  <c r="L384" i="9"/>
  <c r="L385" i="9"/>
  <c r="L386" i="9"/>
  <c r="L387" i="9"/>
  <c r="L388" i="9"/>
  <c r="L389" i="9"/>
  <c r="L390" i="9"/>
  <c r="L391" i="9"/>
  <c r="L392" i="9"/>
  <c r="L393" i="9"/>
  <c r="L394" i="9"/>
  <c r="L395" i="9"/>
  <c r="L396" i="9"/>
  <c r="L397" i="9"/>
  <c r="L398" i="9"/>
  <c r="L399" i="9"/>
  <c r="L400" i="9"/>
  <c r="L401" i="9"/>
  <c r="L402" i="9"/>
  <c r="L403" i="9"/>
  <c r="L404" i="9"/>
  <c r="L405" i="9"/>
  <c r="L406" i="9"/>
  <c r="L407" i="9"/>
  <c r="L408" i="9"/>
  <c r="L409" i="9"/>
  <c r="L410" i="9"/>
  <c r="L411" i="9"/>
  <c r="L412" i="9"/>
  <c r="L413" i="9"/>
  <c r="L414" i="9"/>
  <c r="L415" i="9"/>
  <c r="L416" i="9"/>
  <c r="L417" i="9"/>
  <c r="L418" i="9"/>
  <c r="L419" i="9"/>
  <c r="L420" i="9"/>
  <c r="L421" i="9"/>
  <c r="L422" i="9"/>
  <c r="L423" i="9"/>
  <c r="L424" i="9"/>
  <c r="L425" i="9"/>
  <c r="L426" i="9"/>
  <c r="L427" i="9"/>
  <c r="L428" i="9"/>
  <c r="L429" i="9"/>
  <c r="L430" i="9"/>
  <c r="L431" i="9"/>
  <c r="L432" i="9"/>
  <c r="L433" i="9"/>
  <c r="L434" i="9"/>
  <c r="L435" i="9"/>
  <c r="L436" i="9"/>
  <c r="L437" i="9"/>
  <c r="L438" i="9"/>
  <c r="L439" i="9"/>
  <c r="L440" i="9"/>
  <c r="L441" i="9"/>
  <c r="L442" i="9"/>
  <c r="L443" i="9"/>
  <c r="L444" i="9"/>
  <c r="L445" i="9"/>
  <c r="L446" i="9"/>
  <c r="L447" i="9"/>
  <c r="L448" i="9"/>
  <c r="L449" i="9"/>
  <c r="L450" i="9"/>
  <c r="L451" i="9"/>
  <c r="L452" i="9"/>
  <c r="L453" i="9"/>
  <c r="L454" i="9"/>
  <c r="L455" i="9"/>
  <c r="L456" i="9"/>
  <c r="L457" i="9"/>
  <c r="L458" i="9"/>
  <c r="L459" i="9"/>
  <c r="L460" i="9"/>
  <c r="L461" i="9"/>
  <c r="L462" i="9"/>
  <c r="L463" i="9"/>
  <c r="L464" i="9"/>
  <c r="L465" i="9"/>
  <c r="L466" i="9"/>
  <c r="L467" i="9"/>
  <c r="L468" i="9"/>
  <c r="L469" i="9"/>
  <c r="L470" i="9"/>
  <c r="L471" i="9"/>
  <c r="L472" i="9"/>
  <c r="L473" i="9"/>
  <c r="L474" i="9"/>
  <c r="L475" i="9"/>
  <c r="L476" i="9"/>
  <c r="L477" i="9"/>
  <c r="L478" i="9"/>
  <c r="L479" i="9"/>
  <c r="L480" i="9"/>
  <c r="L481" i="9"/>
  <c r="L482" i="9"/>
  <c r="L483" i="9"/>
  <c r="L484" i="9"/>
  <c r="L485" i="9"/>
  <c r="L486" i="9"/>
  <c r="L487" i="9"/>
  <c r="L488" i="9"/>
  <c r="L489" i="9"/>
  <c r="L490" i="9"/>
  <c r="L491" i="9"/>
  <c r="L492" i="9"/>
  <c r="L493" i="9"/>
  <c r="L494" i="9"/>
  <c r="L495" i="9"/>
  <c r="L496" i="9"/>
  <c r="L497" i="9"/>
  <c r="L498" i="9"/>
  <c r="L499" i="9"/>
  <c r="L500" i="9"/>
  <c r="L501" i="9"/>
  <c r="L502" i="9"/>
  <c r="L503" i="9"/>
  <c r="L504" i="9"/>
  <c r="L505" i="9"/>
  <c r="L506" i="9"/>
  <c r="L507" i="9"/>
  <c r="L508" i="9"/>
  <c r="L509" i="9"/>
  <c r="L510" i="9"/>
  <c r="L511" i="9"/>
  <c r="L512" i="9"/>
  <c r="L513" i="9"/>
  <c r="L514" i="9"/>
  <c r="L515" i="9"/>
  <c r="L516" i="9"/>
  <c r="L517" i="9"/>
  <c r="L518" i="9"/>
  <c r="L519" i="9"/>
  <c r="L520" i="9"/>
  <c r="L521" i="9"/>
  <c r="L522" i="9"/>
  <c r="L523" i="9"/>
  <c r="L524" i="9"/>
  <c r="L525" i="9"/>
  <c r="L526" i="9"/>
  <c r="L527" i="9"/>
  <c r="L528" i="9"/>
  <c r="L529" i="9"/>
  <c r="L530" i="9"/>
  <c r="L531" i="9"/>
  <c r="L532" i="9"/>
  <c r="L533" i="9"/>
  <c r="L534" i="9"/>
  <c r="L535" i="9"/>
  <c r="L536" i="9"/>
  <c r="L537" i="9"/>
  <c r="L538" i="9"/>
  <c r="L539" i="9"/>
  <c r="L540" i="9"/>
  <c r="L541" i="9"/>
  <c r="L542" i="9"/>
  <c r="L543" i="9"/>
  <c r="L544" i="9"/>
  <c r="L545" i="9"/>
  <c r="L546" i="9"/>
  <c r="L547" i="9"/>
  <c r="L548" i="9"/>
  <c r="L549" i="9"/>
  <c r="L550" i="9"/>
  <c r="L551" i="9"/>
  <c r="L552" i="9"/>
  <c r="L553" i="9"/>
  <c r="L554" i="9"/>
  <c r="L555" i="9"/>
  <c r="L556" i="9"/>
  <c r="L557" i="9"/>
  <c r="L558" i="9"/>
  <c r="L559" i="9"/>
  <c r="L560" i="9"/>
  <c r="L561" i="9"/>
  <c r="L562" i="9"/>
  <c r="L563" i="9"/>
  <c r="L564" i="9"/>
  <c r="L565" i="9"/>
  <c r="L566" i="9"/>
  <c r="L567" i="9"/>
  <c r="L568" i="9"/>
  <c r="L569" i="9"/>
  <c r="L570" i="9"/>
  <c r="L571" i="9"/>
  <c r="L572" i="9"/>
  <c r="L573" i="9"/>
  <c r="L574" i="9"/>
  <c r="L575" i="9"/>
  <c r="L576" i="9"/>
  <c r="L577" i="9"/>
  <c r="L578" i="9"/>
  <c r="L579" i="9"/>
  <c r="L580" i="9"/>
  <c r="L581" i="9"/>
  <c r="L582" i="9"/>
  <c r="L583" i="9"/>
  <c r="L584" i="9"/>
  <c r="L585" i="9"/>
  <c r="L586" i="9"/>
  <c r="L587" i="9"/>
  <c r="L588" i="9"/>
  <c r="L589" i="9"/>
  <c r="L590" i="9"/>
  <c r="L591" i="9"/>
  <c r="L592" i="9"/>
  <c r="L593" i="9"/>
  <c r="L594" i="9"/>
  <c r="L595" i="9"/>
  <c r="L596" i="9"/>
  <c r="L597" i="9"/>
  <c r="L598" i="9"/>
  <c r="L599" i="9"/>
  <c r="L600" i="9"/>
  <c r="L601" i="9"/>
  <c r="L602" i="9"/>
  <c r="L603" i="9"/>
  <c r="L604" i="9"/>
  <c r="L605" i="9"/>
  <c r="L606" i="9"/>
  <c r="L607" i="9"/>
  <c r="L608" i="9"/>
  <c r="L609" i="9"/>
  <c r="L610" i="9"/>
  <c r="L611" i="9"/>
  <c r="L612" i="9"/>
  <c r="L613" i="9"/>
  <c r="L614" i="9"/>
  <c r="L615" i="9"/>
  <c r="L616" i="9"/>
  <c r="L617" i="9"/>
  <c r="L618" i="9"/>
  <c r="L619" i="9"/>
  <c r="L620" i="9"/>
  <c r="L621" i="9"/>
  <c r="L622" i="9"/>
  <c r="L623" i="9"/>
  <c r="L624" i="9"/>
  <c r="L625" i="9"/>
  <c r="L626" i="9"/>
  <c r="L627" i="9"/>
  <c r="L628" i="9"/>
  <c r="L629" i="9"/>
  <c r="L630" i="9"/>
  <c r="L631" i="9"/>
  <c r="L632" i="9"/>
  <c r="L633" i="9"/>
  <c r="L634" i="9"/>
  <c r="L635" i="9"/>
  <c r="L636" i="9"/>
  <c r="L637" i="9"/>
  <c r="L638" i="9"/>
  <c r="L639" i="9"/>
  <c r="L640" i="9"/>
  <c r="L641" i="9"/>
  <c r="L642" i="9"/>
  <c r="L643" i="9"/>
  <c r="L644" i="9"/>
  <c r="L645" i="9"/>
  <c r="L646" i="9"/>
  <c r="L647" i="9"/>
  <c r="L648" i="9"/>
  <c r="L649" i="9"/>
  <c r="L650" i="9"/>
  <c r="L651" i="9"/>
  <c r="L652" i="9"/>
  <c r="L653" i="9"/>
  <c r="L654" i="9"/>
  <c r="L655" i="9"/>
  <c r="L656" i="9"/>
  <c r="L657" i="9"/>
  <c r="L658" i="9"/>
  <c r="L659" i="9"/>
  <c r="L660" i="9"/>
  <c r="L661" i="9"/>
  <c r="L662" i="9"/>
  <c r="L663" i="9"/>
  <c r="L664" i="9"/>
  <c r="L665" i="9"/>
  <c r="L666" i="9"/>
  <c r="L667" i="9"/>
  <c r="L668" i="9"/>
  <c r="L669" i="9"/>
  <c r="L670" i="9"/>
  <c r="L671" i="9"/>
  <c r="L672" i="9"/>
  <c r="L673" i="9"/>
  <c r="L674" i="9"/>
  <c r="L675" i="9"/>
  <c r="L676" i="9"/>
  <c r="L677" i="9"/>
  <c r="L678" i="9"/>
  <c r="L679" i="9"/>
  <c r="L680" i="9"/>
  <c r="L681" i="9"/>
  <c r="L682" i="9"/>
  <c r="L683" i="9"/>
  <c r="L684" i="9"/>
  <c r="L685" i="9"/>
  <c r="L686" i="9"/>
  <c r="L687" i="9"/>
  <c r="L688" i="9"/>
  <c r="L689" i="9"/>
  <c r="L690" i="9"/>
  <c r="L691" i="9"/>
  <c r="L692" i="9"/>
  <c r="L693" i="9"/>
  <c r="L694" i="9"/>
  <c r="L695" i="9"/>
  <c r="L696" i="9"/>
  <c r="L697" i="9"/>
  <c r="L698" i="9"/>
  <c r="L699" i="9"/>
  <c r="L700" i="9"/>
  <c r="L701" i="9"/>
  <c r="L702" i="9"/>
  <c r="L703" i="9"/>
  <c r="L704" i="9"/>
  <c r="L705" i="9"/>
  <c r="L706" i="9"/>
  <c r="L707" i="9"/>
  <c r="L708" i="9"/>
  <c r="L709" i="9"/>
  <c r="L710" i="9"/>
  <c r="L711" i="9"/>
  <c r="L712" i="9"/>
  <c r="L713" i="9"/>
  <c r="L714" i="9"/>
  <c r="L715" i="9"/>
  <c r="L716" i="9"/>
  <c r="L717" i="9"/>
  <c r="L718" i="9"/>
  <c r="L719" i="9"/>
  <c r="L720" i="9"/>
  <c r="L721" i="9"/>
  <c r="L722" i="9"/>
  <c r="L723" i="9"/>
  <c r="L724" i="9"/>
  <c r="L725" i="9"/>
  <c r="L726" i="9"/>
  <c r="L727" i="9"/>
  <c r="L728" i="9"/>
  <c r="L729" i="9"/>
  <c r="L730" i="9"/>
  <c r="L731" i="9"/>
  <c r="L732" i="9"/>
  <c r="L733" i="9"/>
  <c r="L734" i="9"/>
  <c r="L735" i="9"/>
  <c r="L736" i="9"/>
  <c r="L737" i="9"/>
  <c r="L738" i="9"/>
  <c r="L739" i="9"/>
  <c r="L740" i="9"/>
  <c r="L741" i="9"/>
  <c r="L742" i="9"/>
  <c r="L743" i="9"/>
  <c r="L744" i="9"/>
  <c r="L745" i="9"/>
  <c r="L746" i="9"/>
  <c r="L747" i="9"/>
  <c r="L748" i="9"/>
  <c r="L749" i="9"/>
  <c r="L750" i="9"/>
  <c r="L751" i="9"/>
  <c r="L752" i="9"/>
  <c r="L753" i="9"/>
  <c r="L754" i="9"/>
  <c r="L755" i="9"/>
  <c r="L756" i="9"/>
  <c r="L757" i="9"/>
  <c r="L758" i="9"/>
  <c r="L759" i="9"/>
  <c r="L760" i="9"/>
  <c r="L761" i="9"/>
  <c r="L762" i="9"/>
  <c r="L763" i="9"/>
  <c r="L764" i="9"/>
  <c r="L765" i="9"/>
  <c r="L766" i="9"/>
  <c r="L767" i="9"/>
  <c r="L768" i="9"/>
  <c r="L769" i="9"/>
  <c r="L770" i="9"/>
  <c r="L771" i="9"/>
  <c r="L772" i="9"/>
  <c r="L773" i="9"/>
  <c r="L774" i="9"/>
  <c r="L775" i="9"/>
  <c r="L776" i="9"/>
  <c r="L777" i="9"/>
  <c r="L778" i="9"/>
  <c r="L779" i="9"/>
  <c r="L780" i="9"/>
  <c r="L781" i="9"/>
  <c r="L782" i="9"/>
  <c r="L783" i="9"/>
  <c r="L784" i="9"/>
  <c r="L785" i="9"/>
  <c r="L786" i="9"/>
  <c r="L787" i="9"/>
  <c r="L788" i="9"/>
  <c r="L789" i="9"/>
  <c r="L790" i="9"/>
  <c r="L791" i="9"/>
  <c r="L792" i="9"/>
  <c r="L793" i="9"/>
  <c r="L794" i="9"/>
  <c r="L795" i="9"/>
  <c r="L796" i="9"/>
  <c r="L797" i="9"/>
  <c r="L798" i="9"/>
  <c r="L799" i="9"/>
  <c r="L800" i="9"/>
  <c r="L801" i="9"/>
  <c r="L802" i="9"/>
  <c r="L803" i="9"/>
  <c r="L804" i="9"/>
  <c r="L805" i="9"/>
  <c r="L806" i="9"/>
  <c r="L807" i="9"/>
  <c r="L808" i="9"/>
  <c r="L809" i="9"/>
  <c r="L810" i="9"/>
  <c r="L811" i="9"/>
  <c r="L812" i="9"/>
  <c r="L813" i="9"/>
  <c r="L814" i="9"/>
  <c r="L815" i="9"/>
  <c r="L816" i="9"/>
  <c r="L817" i="9"/>
  <c r="L818" i="9"/>
  <c r="L819" i="9"/>
  <c r="L820" i="9"/>
  <c r="L821" i="9"/>
  <c r="L822" i="9"/>
  <c r="L823" i="9"/>
  <c r="L824" i="9"/>
  <c r="L825" i="9"/>
  <c r="L826" i="9"/>
  <c r="L827" i="9"/>
  <c r="L828" i="9"/>
  <c r="L829" i="9"/>
  <c r="L830" i="9"/>
  <c r="L831" i="9"/>
  <c r="L832" i="9"/>
  <c r="L833" i="9"/>
  <c r="L834" i="9"/>
  <c r="L835" i="9"/>
  <c r="L836" i="9"/>
  <c r="L837" i="9"/>
  <c r="L838" i="9"/>
  <c r="L839" i="9"/>
  <c r="L840" i="9"/>
  <c r="L841" i="9"/>
  <c r="L842" i="9"/>
  <c r="L843" i="9"/>
  <c r="L844" i="9"/>
  <c r="L845" i="9"/>
  <c r="L846" i="9"/>
  <c r="L847" i="9"/>
  <c r="L848" i="9"/>
  <c r="L849" i="9"/>
  <c r="L850" i="9"/>
  <c r="L851" i="9"/>
  <c r="L852" i="9"/>
  <c r="L853" i="9"/>
  <c r="L854" i="9"/>
  <c r="L855" i="9"/>
  <c r="L856" i="9"/>
  <c r="L857" i="9"/>
  <c r="L858" i="9"/>
  <c r="L859" i="9"/>
  <c r="L860" i="9"/>
  <c r="L861" i="9"/>
  <c r="L862" i="9"/>
  <c r="L863" i="9"/>
  <c r="L864" i="9"/>
  <c r="L865" i="9"/>
  <c r="L866" i="9"/>
  <c r="L867" i="9"/>
  <c r="L868" i="9"/>
  <c r="L869" i="9"/>
  <c r="L870" i="9"/>
  <c r="L871" i="9"/>
  <c r="L872" i="9"/>
  <c r="L873" i="9"/>
  <c r="L874" i="9"/>
  <c r="L875" i="9"/>
  <c r="L876" i="9"/>
  <c r="L877" i="9"/>
  <c r="L878" i="9"/>
  <c r="L879" i="9"/>
  <c r="L880" i="9"/>
  <c r="L881" i="9"/>
  <c r="L882" i="9"/>
  <c r="L883" i="9"/>
  <c r="L884" i="9"/>
  <c r="L885" i="9"/>
  <c r="L886" i="9"/>
  <c r="L887" i="9"/>
  <c r="L888" i="9"/>
  <c r="L889" i="9"/>
  <c r="L890" i="9"/>
  <c r="L891" i="9"/>
  <c r="L892" i="9"/>
  <c r="L893" i="9"/>
  <c r="L894" i="9"/>
  <c r="L895" i="9"/>
  <c r="L896" i="9"/>
  <c r="L897" i="9"/>
  <c r="L898" i="9"/>
  <c r="L899" i="9"/>
  <c r="L900" i="9"/>
  <c r="L901" i="9"/>
  <c r="L902" i="9"/>
  <c r="L903" i="9"/>
  <c r="L904" i="9"/>
  <c r="L905" i="9"/>
  <c r="L906" i="9"/>
  <c r="L907" i="9"/>
  <c r="L908" i="9"/>
  <c r="L909" i="9"/>
  <c r="L910" i="9"/>
  <c r="L911" i="9"/>
  <c r="L912" i="9"/>
  <c r="L913" i="9"/>
  <c r="L914" i="9"/>
  <c r="L915" i="9"/>
  <c r="L916" i="9"/>
  <c r="L917" i="9"/>
  <c r="L918" i="9"/>
  <c r="L919" i="9"/>
  <c r="L920" i="9"/>
  <c r="L921" i="9"/>
  <c r="L922" i="9"/>
  <c r="L923" i="9"/>
  <c r="L924" i="9"/>
  <c r="L925" i="9"/>
  <c r="L926" i="9"/>
  <c r="L927" i="9"/>
  <c r="L928" i="9"/>
  <c r="L929" i="9"/>
  <c r="L930" i="9"/>
  <c r="L931" i="9"/>
  <c r="L932" i="9"/>
  <c r="L933" i="9"/>
  <c r="L934" i="9"/>
  <c r="L935" i="9"/>
  <c r="L936" i="9"/>
  <c r="L937" i="9"/>
  <c r="L938" i="9"/>
  <c r="L939" i="9"/>
  <c r="L940" i="9"/>
  <c r="L941" i="9"/>
  <c r="L942" i="9"/>
  <c r="L943" i="9"/>
  <c r="L944" i="9"/>
  <c r="L945" i="9"/>
  <c r="L946" i="9"/>
  <c r="L947" i="9"/>
  <c r="L948" i="9"/>
  <c r="L949" i="9"/>
  <c r="L950" i="9"/>
  <c r="L951" i="9"/>
  <c r="L952" i="9"/>
  <c r="L953" i="9"/>
  <c r="L954" i="9"/>
  <c r="L955" i="9"/>
  <c r="L956" i="9"/>
  <c r="L957" i="9"/>
  <c r="L958" i="9"/>
  <c r="L959" i="9"/>
  <c r="L960" i="9"/>
  <c r="L961" i="9"/>
  <c r="L962" i="9"/>
  <c r="L963" i="9"/>
  <c r="L964" i="9"/>
  <c r="L965" i="9"/>
  <c r="L966" i="9"/>
  <c r="L967" i="9"/>
  <c r="L968" i="9"/>
  <c r="L969" i="9"/>
  <c r="L970" i="9"/>
  <c r="L971" i="9"/>
  <c r="L972" i="9"/>
  <c r="L973" i="9"/>
  <c r="L974" i="9"/>
  <c r="L975" i="9"/>
  <c r="L976" i="9"/>
  <c r="L977" i="9"/>
  <c r="L978" i="9"/>
  <c r="L979" i="9"/>
  <c r="L980" i="9"/>
  <c r="L981" i="9"/>
  <c r="L982" i="9"/>
  <c r="L983" i="9"/>
  <c r="J2" i="9"/>
  <c r="K2" i="9" s="1"/>
  <c r="J3" i="9"/>
  <c r="K3" i="9" s="1"/>
  <c r="J4" i="9"/>
  <c r="K4" i="9" s="1"/>
  <c r="J5" i="9"/>
  <c r="K5" i="9" s="1"/>
  <c r="J6" i="9"/>
  <c r="K6" i="9" s="1"/>
  <c r="J7" i="9"/>
  <c r="K7" i="9" s="1"/>
  <c r="J8" i="9"/>
  <c r="K8" i="9" s="1"/>
  <c r="J9" i="9"/>
  <c r="K9" i="9" s="1"/>
  <c r="J10" i="9"/>
  <c r="K10" i="9" s="1"/>
  <c r="J11" i="9"/>
  <c r="K11" i="9" s="1"/>
  <c r="J12" i="9"/>
  <c r="K12" i="9" s="1"/>
  <c r="J13" i="9"/>
  <c r="K13" i="9" s="1"/>
  <c r="J14" i="9"/>
  <c r="K14" i="9" s="1"/>
  <c r="J15" i="9"/>
  <c r="K15" i="9" s="1"/>
  <c r="J16" i="9"/>
  <c r="K16" i="9" s="1"/>
  <c r="J17" i="9"/>
  <c r="K17" i="9" s="1"/>
  <c r="J18" i="9"/>
  <c r="K18" i="9" s="1"/>
  <c r="J19" i="9"/>
  <c r="K19" i="9" s="1"/>
  <c r="J20" i="9"/>
  <c r="K20" i="9" s="1"/>
  <c r="J21" i="9"/>
  <c r="K21" i="9" s="1"/>
  <c r="J22" i="9"/>
  <c r="K22" i="9" s="1"/>
  <c r="J23" i="9"/>
  <c r="K23" i="9" s="1"/>
  <c r="J24" i="9"/>
  <c r="K24" i="9" s="1"/>
  <c r="J25" i="9"/>
  <c r="K25" i="9" s="1"/>
  <c r="J26" i="9"/>
  <c r="K26" i="9" s="1"/>
  <c r="J27" i="9"/>
  <c r="K27" i="9" s="1"/>
  <c r="J28" i="9"/>
  <c r="K28" i="9" s="1"/>
  <c r="J29" i="9"/>
  <c r="K29" i="9" s="1"/>
  <c r="J30" i="9"/>
  <c r="K30" i="9" s="1"/>
  <c r="J31" i="9"/>
  <c r="K31" i="9" s="1"/>
  <c r="J32" i="9"/>
  <c r="K32" i="9" s="1"/>
  <c r="J33" i="9"/>
  <c r="K33" i="9" s="1"/>
  <c r="J34" i="9"/>
  <c r="K34" i="9" s="1"/>
  <c r="J35" i="9"/>
  <c r="K35" i="9" s="1"/>
  <c r="J36" i="9"/>
  <c r="K36" i="9" s="1"/>
  <c r="J37" i="9"/>
  <c r="K37" i="9" s="1"/>
  <c r="J38" i="9"/>
  <c r="K38" i="9" s="1"/>
  <c r="J39" i="9"/>
  <c r="K39" i="9" s="1"/>
  <c r="J40" i="9"/>
  <c r="K40" i="9" s="1"/>
  <c r="J41" i="9"/>
  <c r="K41" i="9" s="1"/>
  <c r="J42" i="9"/>
  <c r="K42" i="9" s="1"/>
  <c r="J43" i="9"/>
  <c r="K43" i="9" s="1"/>
  <c r="J44" i="9"/>
  <c r="K44" i="9" s="1"/>
  <c r="J45" i="9"/>
  <c r="K45" i="9" s="1"/>
  <c r="J46" i="9"/>
  <c r="K46" i="9" s="1"/>
  <c r="J47" i="9"/>
  <c r="K47" i="9" s="1"/>
  <c r="J48" i="9"/>
  <c r="K48" i="9" s="1"/>
  <c r="J49" i="9"/>
  <c r="K49" i="9" s="1"/>
  <c r="J50" i="9"/>
  <c r="K50" i="9" s="1"/>
  <c r="J51" i="9"/>
  <c r="K51" i="9" s="1"/>
  <c r="J52" i="9"/>
  <c r="K52" i="9" s="1"/>
  <c r="J53" i="9"/>
  <c r="K53" i="9" s="1"/>
  <c r="J54" i="9"/>
  <c r="K54" i="9" s="1"/>
  <c r="J55" i="9"/>
  <c r="K55" i="9" s="1"/>
  <c r="J56" i="9"/>
  <c r="K56" i="9" s="1"/>
  <c r="J57" i="9"/>
  <c r="K57" i="9" s="1"/>
  <c r="J58" i="9"/>
  <c r="K58" i="9" s="1"/>
  <c r="J59" i="9"/>
  <c r="K59" i="9" s="1"/>
  <c r="J60" i="9"/>
  <c r="K60" i="9" s="1"/>
  <c r="J61" i="9"/>
  <c r="K61" i="9" s="1"/>
  <c r="J62" i="9"/>
  <c r="K62" i="9" s="1"/>
  <c r="J63" i="9"/>
  <c r="K63" i="9" s="1"/>
  <c r="J64" i="9"/>
  <c r="K64" i="9" s="1"/>
  <c r="J65" i="9"/>
  <c r="K65" i="9" s="1"/>
  <c r="J66" i="9"/>
  <c r="K66" i="9" s="1"/>
  <c r="J67" i="9"/>
  <c r="K67" i="9" s="1"/>
  <c r="J68" i="9"/>
  <c r="K68" i="9" s="1"/>
  <c r="J69" i="9"/>
  <c r="K69" i="9" s="1"/>
  <c r="J70" i="9"/>
  <c r="K70" i="9" s="1"/>
  <c r="J71" i="9"/>
  <c r="K71" i="9" s="1"/>
  <c r="J72" i="9"/>
  <c r="K72" i="9" s="1"/>
  <c r="J73" i="9"/>
  <c r="K73" i="9" s="1"/>
  <c r="J74" i="9"/>
  <c r="K74" i="9" s="1"/>
  <c r="J75" i="9"/>
  <c r="K75" i="9" s="1"/>
  <c r="J76" i="9"/>
  <c r="K76" i="9" s="1"/>
  <c r="J77" i="9"/>
  <c r="K77" i="9" s="1"/>
  <c r="J78" i="9"/>
  <c r="K78" i="9" s="1"/>
  <c r="J79" i="9"/>
  <c r="K79" i="9" s="1"/>
  <c r="J80" i="9"/>
  <c r="K80" i="9" s="1"/>
  <c r="J81" i="9"/>
  <c r="K81" i="9" s="1"/>
  <c r="J82" i="9"/>
  <c r="K82" i="9" s="1"/>
  <c r="J83" i="9"/>
  <c r="K83" i="9" s="1"/>
  <c r="J84" i="9"/>
  <c r="K84" i="9" s="1"/>
  <c r="J85" i="9"/>
  <c r="K85" i="9" s="1"/>
  <c r="J86" i="9"/>
  <c r="K86" i="9" s="1"/>
  <c r="J87" i="9"/>
  <c r="K87" i="9" s="1"/>
  <c r="J88" i="9"/>
  <c r="K88" i="9" s="1"/>
  <c r="J89" i="9"/>
  <c r="K89" i="9" s="1"/>
  <c r="J90" i="9"/>
  <c r="K90" i="9" s="1"/>
  <c r="J91" i="9"/>
  <c r="K91" i="9" s="1"/>
  <c r="J92" i="9"/>
  <c r="K92" i="9" s="1"/>
  <c r="J93" i="9"/>
  <c r="K93" i="9" s="1"/>
  <c r="J94" i="9"/>
  <c r="K94" i="9" s="1"/>
  <c r="J95" i="9"/>
  <c r="K95" i="9" s="1"/>
  <c r="J96" i="9"/>
  <c r="K96" i="9" s="1"/>
  <c r="J97" i="9"/>
  <c r="K97" i="9" s="1"/>
  <c r="J98" i="9"/>
  <c r="K98" i="9" s="1"/>
  <c r="J99" i="9"/>
  <c r="K99" i="9" s="1"/>
  <c r="J100" i="9"/>
  <c r="K100" i="9" s="1"/>
  <c r="J101" i="9"/>
  <c r="K101" i="9" s="1"/>
  <c r="J102" i="9"/>
  <c r="K102" i="9" s="1"/>
  <c r="J103" i="9"/>
  <c r="K103" i="9" s="1"/>
  <c r="J104" i="9"/>
  <c r="K104" i="9" s="1"/>
  <c r="J105" i="9"/>
  <c r="K105" i="9" s="1"/>
  <c r="J106" i="9"/>
  <c r="K106" i="9" s="1"/>
  <c r="J107" i="9"/>
  <c r="K107" i="9" s="1"/>
  <c r="J108" i="9"/>
  <c r="K108" i="9" s="1"/>
  <c r="J109" i="9"/>
  <c r="K109" i="9" s="1"/>
  <c r="J110" i="9"/>
  <c r="K110" i="9" s="1"/>
  <c r="J111" i="9"/>
  <c r="K111" i="9" s="1"/>
  <c r="J112" i="9"/>
  <c r="K112" i="9" s="1"/>
  <c r="J113" i="9"/>
  <c r="K113" i="9" s="1"/>
  <c r="J114" i="9"/>
  <c r="K114" i="9" s="1"/>
  <c r="J115" i="9"/>
  <c r="K115" i="9" s="1"/>
  <c r="J116" i="9"/>
  <c r="K116" i="9" s="1"/>
  <c r="J117" i="9"/>
  <c r="K117" i="9" s="1"/>
  <c r="J118" i="9"/>
  <c r="K118" i="9" s="1"/>
  <c r="J119" i="9"/>
  <c r="K119" i="9" s="1"/>
  <c r="J120" i="9"/>
  <c r="K120" i="9" s="1"/>
  <c r="J121" i="9"/>
  <c r="K121" i="9" s="1"/>
  <c r="J122" i="9"/>
  <c r="K122" i="9" s="1"/>
  <c r="J123" i="9"/>
  <c r="K123" i="9" s="1"/>
  <c r="J124" i="9"/>
  <c r="K124" i="9" s="1"/>
  <c r="J125" i="9"/>
  <c r="K125" i="9" s="1"/>
  <c r="J126" i="9"/>
  <c r="K126" i="9" s="1"/>
  <c r="J127" i="9"/>
  <c r="K127" i="9" s="1"/>
  <c r="J128" i="9"/>
  <c r="K128" i="9" s="1"/>
  <c r="J129" i="9"/>
  <c r="K129" i="9" s="1"/>
  <c r="J130" i="9"/>
  <c r="K130" i="9" s="1"/>
  <c r="J131" i="9"/>
  <c r="K131" i="9" s="1"/>
  <c r="J132" i="9"/>
  <c r="K132" i="9" s="1"/>
  <c r="J133" i="9"/>
  <c r="K133" i="9" s="1"/>
  <c r="J134" i="9"/>
  <c r="K134" i="9" s="1"/>
  <c r="J135" i="9"/>
  <c r="K135" i="9" s="1"/>
  <c r="J136" i="9"/>
  <c r="K136" i="9" s="1"/>
  <c r="J137" i="9"/>
  <c r="K137" i="9" s="1"/>
  <c r="J138" i="9"/>
  <c r="K138" i="9" s="1"/>
  <c r="J139" i="9"/>
  <c r="K139" i="9" s="1"/>
  <c r="J140" i="9"/>
  <c r="K140" i="9" s="1"/>
  <c r="J141" i="9"/>
  <c r="K141" i="9" s="1"/>
  <c r="J142" i="9"/>
  <c r="K142" i="9" s="1"/>
  <c r="J143" i="9"/>
  <c r="K143" i="9" s="1"/>
  <c r="J144" i="9"/>
  <c r="K144" i="9" s="1"/>
  <c r="J145" i="9"/>
  <c r="K145" i="9" s="1"/>
  <c r="J146" i="9"/>
  <c r="K146" i="9" s="1"/>
  <c r="J147" i="9"/>
  <c r="K147" i="9" s="1"/>
  <c r="J148" i="9"/>
  <c r="K148" i="9" s="1"/>
  <c r="J149" i="9"/>
  <c r="K149" i="9" s="1"/>
  <c r="J150" i="9"/>
  <c r="K150" i="9" s="1"/>
  <c r="J151" i="9"/>
  <c r="K151" i="9" s="1"/>
  <c r="J152" i="9"/>
  <c r="K152" i="9" s="1"/>
  <c r="J153" i="9"/>
  <c r="K153" i="9" s="1"/>
  <c r="J154" i="9"/>
  <c r="K154" i="9" s="1"/>
  <c r="J155" i="9"/>
  <c r="K155" i="9" s="1"/>
  <c r="J156" i="9"/>
  <c r="K156" i="9" s="1"/>
  <c r="J157" i="9"/>
  <c r="K157" i="9" s="1"/>
  <c r="J158" i="9"/>
  <c r="K158" i="9" s="1"/>
  <c r="J159" i="9"/>
  <c r="K159" i="9" s="1"/>
  <c r="J160" i="9"/>
  <c r="K160" i="9" s="1"/>
  <c r="J161" i="9"/>
  <c r="K161" i="9" s="1"/>
  <c r="J162" i="9"/>
  <c r="K162" i="9" s="1"/>
  <c r="J163" i="9"/>
  <c r="K163" i="9" s="1"/>
  <c r="J164" i="9"/>
  <c r="K164" i="9" s="1"/>
  <c r="J165" i="9"/>
  <c r="K165" i="9" s="1"/>
  <c r="J166" i="9"/>
  <c r="K166" i="9" s="1"/>
  <c r="J167" i="9"/>
  <c r="K167" i="9" s="1"/>
  <c r="J168" i="9"/>
  <c r="K168" i="9" s="1"/>
  <c r="J169" i="9"/>
  <c r="K169" i="9" s="1"/>
  <c r="J170" i="9"/>
  <c r="K170" i="9" s="1"/>
  <c r="J171" i="9"/>
  <c r="K171" i="9" s="1"/>
  <c r="J172" i="9"/>
  <c r="K172" i="9" s="1"/>
  <c r="J173" i="9"/>
  <c r="K173" i="9" s="1"/>
  <c r="J174" i="9"/>
  <c r="K174" i="9" s="1"/>
  <c r="J175" i="9"/>
  <c r="K175" i="9" s="1"/>
  <c r="J176" i="9"/>
  <c r="K176" i="9" s="1"/>
  <c r="J177" i="9"/>
  <c r="K177" i="9" s="1"/>
  <c r="J178" i="9"/>
  <c r="K178" i="9" s="1"/>
  <c r="J179" i="9"/>
  <c r="K179" i="9" s="1"/>
  <c r="J180" i="9"/>
  <c r="K180" i="9" s="1"/>
  <c r="J181" i="9"/>
  <c r="K181" i="9" s="1"/>
  <c r="J182" i="9"/>
  <c r="K182" i="9" s="1"/>
  <c r="J183" i="9"/>
  <c r="K183" i="9" s="1"/>
  <c r="J184" i="9"/>
  <c r="K184" i="9" s="1"/>
  <c r="J185" i="9"/>
  <c r="K185" i="9" s="1"/>
  <c r="J186" i="9"/>
  <c r="K186" i="9" s="1"/>
  <c r="J187" i="9"/>
  <c r="K187" i="9" s="1"/>
  <c r="J188" i="9"/>
  <c r="K188" i="9" s="1"/>
  <c r="J189" i="9"/>
  <c r="K189" i="9" s="1"/>
  <c r="J190" i="9"/>
  <c r="K190" i="9" s="1"/>
  <c r="J191" i="9"/>
  <c r="K191" i="9" s="1"/>
  <c r="J192" i="9"/>
  <c r="K192" i="9" s="1"/>
  <c r="J193" i="9"/>
  <c r="K193" i="9" s="1"/>
  <c r="J194" i="9"/>
  <c r="K194" i="9" s="1"/>
  <c r="J195" i="9"/>
  <c r="K195" i="9" s="1"/>
  <c r="J196" i="9"/>
  <c r="K196" i="9" s="1"/>
  <c r="J197" i="9"/>
  <c r="K197" i="9" s="1"/>
  <c r="J198" i="9"/>
  <c r="K198" i="9" s="1"/>
  <c r="J199" i="9"/>
  <c r="K199" i="9" s="1"/>
  <c r="J200" i="9"/>
  <c r="K200" i="9" s="1"/>
  <c r="J201" i="9"/>
  <c r="K201" i="9" s="1"/>
  <c r="J202" i="9"/>
  <c r="K202" i="9" s="1"/>
  <c r="J203" i="9"/>
  <c r="K203" i="9" s="1"/>
  <c r="J204" i="9"/>
  <c r="K204" i="9" s="1"/>
  <c r="J205" i="9"/>
  <c r="K205" i="9" s="1"/>
  <c r="J206" i="9"/>
  <c r="K206" i="9" s="1"/>
  <c r="J207" i="9"/>
  <c r="K207" i="9" s="1"/>
  <c r="J208" i="9"/>
  <c r="K208" i="9" s="1"/>
  <c r="J209" i="9"/>
  <c r="K209" i="9" s="1"/>
  <c r="J210" i="9"/>
  <c r="K210" i="9" s="1"/>
  <c r="J211" i="9"/>
  <c r="K211" i="9" s="1"/>
  <c r="J212" i="9"/>
  <c r="K212" i="9" s="1"/>
  <c r="J213" i="9"/>
  <c r="K213" i="9" s="1"/>
  <c r="J214" i="9"/>
  <c r="K214" i="9" s="1"/>
  <c r="J215" i="9"/>
  <c r="K215" i="9" s="1"/>
  <c r="J216" i="9"/>
  <c r="K216" i="9" s="1"/>
  <c r="J217" i="9"/>
  <c r="K217" i="9" s="1"/>
  <c r="J218" i="9"/>
  <c r="K218" i="9" s="1"/>
  <c r="J219" i="9"/>
  <c r="K219" i="9" s="1"/>
  <c r="J220" i="9"/>
  <c r="K220" i="9" s="1"/>
  <c r="J221" i="9"/>
  <c r="K221" i="9" s="1"/>
  <c r="J222" i="9"/>
  <c r="K222" i="9" s="1"/>
  <c r="J223" i="9"/>
  <c r="K223" i="9" s="1"/>
  <c r="J224" i="9"/>
  <c r="K224" i="9" s="1"/>
  <c r="J225" i="9"/>
  <c r="K225" i="9" s="1"/>
  <c r="J226" i="9"/>
  <c r="K226" i="9" s="1"/>
  <c r="J227" i="9"/>
  <c r="K227" i="9" s="1"/>
  <c r="J228" i="9"/>
  <c r="K228" i="9" s="1"/>
  <c r="J229" i="9"/>
  <c r="K229" i="9" s="1"/>
  <c r="J230" i="9"/>
  <c r="K230" i="9" s="1"/>
  <c r="J231" i="9"/>
  <c r="K231" i="9" s="1"/>
  <c r="J232" i="9"/>
  <c r="K232" i="9" s="1"/>
  <c r="J233" i="9"/>
  <c r="K233" i="9" s="1"/>
  <c r="J234" i="9"/>
  <c r="K234" i="9" s="1"/>
  <c r="J235" i="9"/>
  <c r="K235" i="9" s="1"/>
  <c r="J236" i="9"/>
  <c r="K236" i="9" s="1"/>
  <c r="J237" i="9"/>
  <c r="K237" i="9" s="1"/>
  <c r="J238" i="9"/>
  <c r="K238" i="9" s="1"/>
  <c r="J239" i="9"/>
  <c r="K239" i="9" s="1"/>
  <c r="J240" i="9"/>
  <c r="K240" i="9" s="1"/>
  <c r="J241" i="9"/>
  <c r="K241" i="9" s="1"/>
  <c r="J242" i="9"/>
  <c r="K242" i="9" s="1"/>
  <c r="J243" i="9"/>
  <c r="K243" i="9" s="1"/>
  <c r="J244" i="9"/>
  <c r="K244" i="9" s="1"/>
  <c r="J245" i="9"/>
  <c r="K245" i="9" s="1"/>
  <c r="J246" i="9"/>
  <c r="K246" i="9" s="1"/>
  <c r="J247" i="9"/>
  <c r="K247" i="9" s="1"/>
  <c r="J248" i="9"/>
  <c r="K248" i="9" s="1"/>
  <c r="J249" i="9"/>
  <c r="K249" i="9" s="1"/>
  <c r="J250" i="9"/>
  <c r="K250" i="9" s="1"/>
  <c r="J251" i="9"/>
  <c r="K251" i="9" s="1"/>
  <c r="J252" i="9"/>
  <c r="K252" i="9" s="1"/>
  <c r="J253" i="9"/>
  <c r="K253" i="9" s="1"/>
  <c r="J254" i="9"/>
  <c r="K254" i="9" s="1"/>
  <c r="J255" i="9"/>
  <c r="K255" i="9" s="1"/>
  <c r="J256" i="9"/>
  <c r="K256" i="9" s="1"/>
  <c r="J257" i="9"/>
  <c r="K257" i="9" s="1"/>
  <c r="J258" i="9"/>
  <c r="K258" i="9" s="1"/>
  <c r="J259" i="9"/>
  <c r="K259" i="9" s="1"/>
  <c r="J260" i="9"/>
  <c r="K260" i="9" s="1"/>
  <c r="J261" i="9"/>
  <c r="K261" i="9" s="1"/>
  <c r="J262" i="9"/>
  <c r="K262" i="9" s="1"/>
  <c r="J263" i="9"/>
  <c r="K263" i="9" s="1"/>
  <c r="J264" i="9"/>
  <c r="K264" i="9" s="1"/>
  <c r="J265" i="9"/>
  <c r="K265" i="9" s="1"/>
  <c r="J266" i="9"/>
  <c r="K266" i="9" s="1"/>
  <c r="J267" i="9"/>
  <c r="K267" i="9" s="1"/>
  <c r="J268" i="9"/>
  <c r="K268" i="9" s="1"/>
  <c r="J269" i="9"/>
  <c r="K269" i="9" s="1"/>
  <c r="J270" i="9"/>
  <c r="K270" i="9" s="1"/>
  <c r="J271" i="9"/>
  <c r="K271" i="9" s="1"/>
  <c r="J272" i="9"/>
  <c r="K272" i="9" s="1"/>
  <c r="J273" i="9"/>
  <c r="K273" i="9" s="1"/>
  <c r="J274" i="9"/>
  <c r="K274" i="9" s="1"/>
  <c r="J275" i="9"/>
  <c r="K275" i="9" s="1"/>
  <c r="J276" i="9"/>
  <c r="K276" i="9" s="1"/>
  <c r="J277" i="9"/>
  <c r="K277" i="9" s="1"/>
  <c r="J278" i="9"/>
  <c r="K278" i="9" s="1"/>
  <c r="J279" i="9"/>
  <c r="K279" i="9" s="1"/>
  <c r="J280" i="9"/>
  <c r="K280" i="9" s="1"/>
  <c r="J281" i="9"/>
  <c r="K281" i="9" s="1"/>
  <c r="J282" i="9"/>
  <c r="K282" i="9" s="1"/>
  <c r="J283" i="9"/>
  <c r="K283" i="9" s="1"/>
  <c r="J284" i="9"/>
  <c r="K284" i="9" s="1"/>
  <c r="J285" i="9"/>
  <c r="K285" i="9" s="1"/>
  <c r="J286" i="9"/>
  <c r="K286" i="9" s="1"/>
  <c r="J287" i="9"/>
  <c r="K287" i="9" s="1"/>
  <c r="J288" i="9"/>
  <c r="K288" i="9" s="1"/>
  <c r="J289" i="9"/>
  <c r="K289" i="9" s="1"/>
  <c r="J290" i="9"/>
  <c r="K290" i="9" s="1"/>
  <c r="J291" i="9"/>
  <c r="K291" i="9" s="1"/>
  <c r="J292" i="9"/>
  <c r="K292" i="9" s="1"/>
  <c r="J293" i="9"/>
  <c r="K293" i="9" s="1"/>
  <c r="J294" i="9"/>
  <c r="K294" i="9" s="1"/>
  <c r="J295" i="9"/>
  <c r="K295" i="9" s="1"/>
  <c r="J296" i="9"/>
  <c r="K296" i="9" s="1"/>
  <c r="J297" i="9"/>
  <c r="K297" i="9" s="1"/>
  <c r="J298" i="9"/>
  <c r="K298" i="9" s="1"/>
  <c r="J299" i="9"/>
  <c r="K299" i="9" s="1"/>
  <c r="J300" i="9"/>
  <c r="K300" i="9" s="1"/>
  <c r="J301" i="9"/>
  <c r="K301" i="9" s="1"/>
  <c r="J302" i="9"/>
  <c r="K302" i="9" s="1"/>
  <c r="J303" i="9"/>
  <c r="K303" i="9" s="1"/>
  <c r="J304" i="9"/>
  <c r="K304" i="9" s="1"/>
  <c r="J305" i="9"/>
  <c r="K305" i="9" s="1"/>
  <c r="J306" i="9"/>
  <c r="K306" i="9" s="1"/>
  <c r="J307" i="9"/>
  <c r="K307" i="9" s="1"/>
  <c r="J308" i="9"/>
  <c r="K308" i="9" s="1"/>
  <c r="J309" i="9"/>
  <c r="K309" i="9" s="1"/>
  <c r="J310" i="9"/>
  <c r="K310" i="9" s="1"/>
  <c r="J311" i="9"/>
  <c r="K311" i="9" s="1"/>
  <c r="J312" i="9"/>
  <c r="K312" i="9" s="1"/>
  <c r="J313" i="9"/>
  <c r="K313" i="9" s="1"/>
  <c r="J314" i="9"/>
  <c r="K314" i="9" s="1"/>
  <c r="J315" i="9"/>
  <c r="K315" i="9" s="1"/>
  <c r="J316" i="9"/>
  <c r="K316" i="9" s="1"/>
  <c r="J317" i="9"/>
  <c r="K317" i="9" s="1"/>
  <c r="J318" i="9"/>
  <c r="K318" i="9" s="1"/>
  <c r="J319" i="9"/>
  <c r="K319" i="9" s="1"/>
  <c r="J320" i="9"/>
  <c r="K320" i="9" s="1"/>
  <c r="J321" i="9"/>
  <c r="K321" i="9" s="1"/>
  <c r="J322" i="9"/>
  <c r="K322" i="9" s="1"/>
  <c r="J323" i="9"/>
  <c r="K323" i="9" s="1"/>
  <c r="J324" i="9"/>
  <c r="K324" i="9" s="1"/>
  <c r="J325" i="9"/>
  <c r="K325" i="9" s="1"/>
  <c r="J326" i="9"/>
  <c r="K326" i="9" s="1"/>
  <c r="J327" i="9"/>
  <c r="K327" i="9" s="1"/>
  <c r="J328" i="9"/>
  <c r="K328" i="9" s="1"/>
  <c r="J329" i="9"/>
  <c r="K329" i="9" s="1"/>
  <c r="J330" i="9"/>
  <c r="K330" i="9" s="1"/>
  <c r="J331" i="9"/>
  <c r="K331" i="9" s="1"/>
  <c r="J332" i="9"/>
  <c r="K332" i="9" s="1"/>
  <c r="J333" i="9"/>
  <c r="K333" i="9" s="1"/>
  <c r="J334" i="9"/>
  <c r="K334" i="9" s="1"/>
  <c r="J335" i="9"/>
  <c r="K335" i="9" s="1"/>
  <c r="J336" i="9"/>
  <c r="K336" i="9" s="1"/>
  <c r="J337" i="9"/>
  <c r="K337" i="9" s="1"/>
  <c r="J338" i="9"/>
  <c r="K338" i="9" s="1"/>
  <c r="J339" i="9"/>
  <c r="K339" i="9" s="1"/>
  <c r="J340" i="9"/>
  <c r="K340" i="9" s="1"/>
  <c r="J341" i="9"/>
  <c r="K341" i="9" s="1"/>
  <c r="J342" i="9"/>
  <c r="K342" i="9" s="1"/>
  <c r="J343" i="9"/>
  <c r="K343" i="9" s="1"/>
  <c r="J344" i="9"/>
  <c r="K344" i="9" s="1"/>
  <c r="J345" i="9"/>
  <c r="K345" i="9" s="1"/>
  <c r="J346" i="9"/>
  <c r="K346" i="9" s="1"/>
  <c r="J347" i="9"/>
  <c r="K347" i="9" s="1"/>
  <c r="J348" i="9"/>
  <c r="K348" i="9" s="1"/>
  <c r="J349" i="9"/>
  <c r="K349" i="9" s="1"/>
  <c r="J350" i="9"/>
  <c r="K350" i="9" s="1"/>
  <c r="J351" i="9"/>
  <c r="K351" i="9" s="1"/>
  <c r="J352" i="9"/>
  <c r="K352" i="9" s="1"/>
  <c r="J353" i="9"/>
  <c r="K353" i="9" s="1"/>
  <c r="J354" i="9"/>
  <c r="K354" i="9" s="1"/>
  <c r="J355" i="9"/>
  <c r="K355" i="9" s="1"/>
  <c r="J356" i="9"/>
  <c r="K356" i="9" s="1"/>
  <c r="J357" i="9"/>
  <c r="K357" i="9" s="1"/>
  <c r="J358" i="9"/>
  <c r="K358" i="9" s="1"/>
  <c r="J359" i="9"/>
  <c r="K359" i="9" s="1"/>
  <c r="J360" i="9"/>
  <c r="K360" i="9" s="1"/>
  <c r="J361" i="9"/>
  <c r="K361" i="9" s="1"/>
  <c r="J362" i="9"/>
  <c r="K362" i="9" s="1"/>
  <c r="J363" i="9"/>
  <c r="K363" i="9" s="1"/>
  <c r="J364" i="9"/>
  <c r="K364" i="9" s="1"/>
  <c r="J365" i="9"/>
  <c r="K365" i="9" s="1"/>
  <c r="J366" i="9"/>
  <c r="K366" i="9" s="1"/>
  <c r="J367" i="9"/>
  <c r="K367" i="9" s="1"/>
  <c r="J368" i="9"/>
  <c r="K368" i="9" s="1"/>
  <c r="J369" i="9"/>
  <c r="K369" i="9" s="1"/>
  <c r="J370" i="9"/>
  <c r="K370" i="9" s="1"/>
  <c r="J371" i="9"/>
  <c r="K371" i="9" s="1"/>
  <c r="J372" i="9"/>
  <c r="K372" i="9" s="1"/>
  <c r="J373" i="9"/>
  <c r="K373" i="9" s="1"/>
  <c r="J374" i="9"/>
  <c r="K374" i="9" s="1"/>
  <c r="J375" i="9"/>
  <c r="K375" i="9" s="1"/>
  <c r="J376" i="9"/>
  <c r="K376" i="9" s="1"/>
  <c r="J377" i="9"/>
  <c r="K377" i="9" s="1"/>
  <c r="J378" i="9"/>
  <c r="K378" i="9" s="1"/>
  <c r="J379" i="9"/>
  <c r="K379" i="9" s="1"/>
  <c r="J380" i="9"/>
  <c r="K380" i="9" s="1"/>
  <c r="J381" i="9"/>
  <c r="K381" i="9" s="1"/>
  <c r="J382" i="9"/>
  <c r="K382" i="9" s="1"/>
  <c r="J383" i="9"/>
  <c r="K383" i="9" s="1"/>
  <c r="J384" i="9"/>
  <c r="K384" i="9" s="1"/>
  <c r="J385" i="9"/>
  <c r="K385" i="9" s="1"/>
  <c r="J386" i="9"/>
  <c r="K386" i="9" s="1"/>
  <c r="J387" i="9"/>
  <c r="K387" i="9" s="1"/>
  <c r="J388" i="9"/>
  <c r="K388" i="9" s="1"/>
  <c r="J389" i="9"/>
  <c r="K389" i="9" s="1"/>
  <c r="J390" i="9"/>
  <c r="K390" i="9" s="1"/>
  <c r="J391" i="9"/>
  <c r="K391" i="9" s="1"/>
  <c r="J392" i="9"/>
  <c r="K392" i="9" s="1"/>
  <c r="J393" i="9"/>
  <c r="K393" i="9" s="1"/>
  <c r="J394" i="9"/>
  <c r="K394" i="9" s="1"/>
  <c r="J395" i="9"/>
  <c r="K395" i="9" s="1"/>
  <c r="J396" i="9"/>
  <c r="K396" i="9" s="1"/>
  <c r="J397" i="9"/>
  <c r="K397" i="9" s="1"/>
  <c r="J398" i="9"/>
  <c r="K398" i="9" s="1"/>
  <c r="J399" i="9"/>
  <c r="K399" i="9" s="1"/>
  <c r="J400" i="9"/>
  <c r="K400" i="9" s="1"/>
  <c r="J401" i="9"/>
  <c r="K401" i="9" s="1"/>
  <c r="J402" i="9"/>
  <c r="K402" i="9" s="1"/>
  <c r="J403" i="9"/>
  <c r="K403" i="9" s="1"/>
  <c r="J404" i="9"/>
  <c r="K404" i="9" s="1"/>
  <c r="J405" i="9"/>
  <c r="K405" i="9" s="1"/>
  <c r="J406" i="9"/>
  <c r="K406" i="9" s="1"/>
  <c r="J407" i="9"/>
  <c r="K407" i="9" s="1"/>
  <c r="J408" i="9"/>
  <c r="K408" i="9" s="1"/>
  <c r="J409" i="9"/>
  <c r="K409" i="9" s="1"/>
  <c r="J410" i="9"/>
  <c r="K410" i="9" s="1"/>
  <c r="J411" i="9"/>
  <c r="K411" i="9" s="1"/>
  <c r="J412" i="9"/>
  <c r="K412" i="9" s="1"/>
  <c r="J413" i="9"/>
  <c r="K413" i="9" s="1"/>
  <c r="J414" i="9"/>
  <c r="K414" i="9" s="1"/>
  <c r="J415" i="9"/>
  <c r="K415" i="9" s="1"/>
  <c r="J416" i="9"/>
  <c r="K416" i="9" s="1"/>
  <c r="J417" i="9"/>
  <c r="K417" i="9" s="1"/>
  <c r="J418" i="9"/>
  <c r="K418" i="9" s="1"/>
  <c r="J419" i="9"/>
  <c r="K419" i="9" s="1"/>
  <c r="J420" i="9"/>
  <c r="K420" i="9" s="1"/>
  <c r="J421" i="9"/>
  <c r="K421" i="9" s="1"/>
  <c r="J422" i="9"/>
  <c r="K422" i="9" s="1"/>
  <c r="J423" i="9"/>
  <c r="K423" i="9" s="1"/>
  <c r="J424" i="9"/>
  <c r="K424" i="9" s="1"/>
  <c r="J425" i="9"/>
  <c r="K425" i="9" s="1"/>
  <c r="J426" i="9"/>
  <c r="K426" i="9" s="1"/>
  <c r="J427" i="9"/>
  <c r="K427" i="9" s="1"/>
  <c r="J428" i="9"/>
  <c r="K428" i="9" s="1"/>
  <c r="J429" i="9"/>
  <c r="K429" i="9" s="1"/>
  <c r="J430" i="9"/>
  <c r="K430" i="9" s="1"/>
  <c r="J431" i="9"/>
  <c r="K431" i="9" s="1"/>
  <c r="J432" i="9"/>
  <c r="K432" i="9" s="1"/>
  <c r="J433" i="9"/>
  <c r="K433" i="9" s="1"/>
  <c r="J434" i="9"/>
  <c r="K434" i="9" s="1"/>
  <c r="J435" i="9"/>
  <c r="K435" i="9" s="1"/>
  <c r="J436" i="9"/>
  <c r="K436" i="9" s="1"/>
  <c r="J437" i="9"/>
  <c r="K437" i="9" s="1"/>
  <c r="J438" i="9"/>
  <c r="K438" i="9" s="1"/>
  <c r="J439" i="9"/>
  <c r="K439" i="9" s="1"/>
  <c r="J440" i="9"/>
  <c r="K440" i="9" s="1"/>
  <c r="J441" i="9"/>
  <c r="K441" i="9" s="1"/>
  <c r="J442" i="9"/>
  <c r="K442" i="9" s="1"/>
  <c r="J443" i="9"/>
  <c r="K443" i="9" s="1"/>
  <c r="J444" i="9"/>
  <c r="K444" i="9" s="1"/>
  <c r="J445" i="9"/>
  <c r="K445" i="9" s="1"/>
  <c r="J446" i="9"/>
  <c r="K446" i="9" s="1"/>
  <c r="J447" i="9"/>
  <c r="K447" i="9" s="1"/>
  <c r="J448" i="9"/>
  <c r="K448" i="9" s="1"/>
  <c r="J449" i="9"/>
  <c r="K449" i="9" s="1"/>
  <c r="J450" i="9"/>
  <c r="K450" i="9" s="1"/>
  <c r="J451" i="9"/>
  <c r="K451" i="9" s="1"/>
  <c r="J452" i="9"/>
  <c r="K452" i="9" s="1"/>
  <c r="J453" i="9"/>
  <c r="K453" i="9" s="1"/>
  <c r="J454" i="9"/>
  <c r="K454" i="9" s="1"/>
  <c r="J455" i="9"/>
  <c r="K455" i="9" s="1"/>
  <c r="J456" i="9"/>
  <c r="K456" i="9" s="1"/>
  <c r="J457" i="9"/>
  <c r="K457" i="9" s="1"/>
  <c r="J458" i="9"/>
  <c r="K458" i="9" s="1"/>
  <c r="J459" i="9"/>
  <c r="K459" i="9" s="1"/>
  <c r="J460" i="9"/>
  <c r="K460" i="9" s="1"/>
  <c r="J461" i="9"/>
  <c r="K461" i="9" s="1"/>
  <c r="J462" i="9"/>
  <c r="K462" i="9" s="1"/>
  <c r="J463" i="9"/>
  <c r="K463" i="9" s="1"/>
  <c r="J464" i="9"/>
  <c r="K464" i="9" s="1"/>
  <c r="J465" i="9"/>
  <c r="K465" i="9" s="1"/>
  <c r="J466" i="9"/>
  <c r="K466" i="9" s="1"/>
  <c r="J467" i="9"/>
  <c r="K467" i="9" s="1"/>
  <c r="J468" i="9"/>
  <c r="K468" i="9" s="1"/>
  <c r="J469" i="9"/>
  <c r="K469" i="9" s="1"/>
  <c r="J470" i="9"/>
  <c r="K470" i="9" s="1"/>
  <c r="J471" i="9"/>
  <c r="K471" i="9" s="1"/>
  <c r="J472" i="9"/>
  <c r="K472" i="9" s="1"/>
  <c r="J473" i="9"/>
  <c r="K473" i="9" s="1"/>
  <c r="J474" i="9"/>
  <c r="K474" i="9" s="1"/>
  <c r="J475" i="9"/>
  <c r="K475" i="9" s="1"/>
  <c r="J476" i="9"/>
  <c r="K476" i="9" s="1"/>
  <c r="J477" i="9"/>
  <c r="K477" i="9" s="1"/>
  <c r="J478" i="9"/>
  <c r="K478" i="9" s="1"/>
  <c r="J479" i="9"/>
  <c r="K479" i="9" s="1"/>
  <c r="J480" i="9"/>
  <c r="K480" i="9" s="1"/>
  <c r="J481" i="9"/>
  <c r="K481" i="9" s="1"/>
  <c r="J482" i="9"/>
  <c r="K482" i="9" s="1"/>
  <c r="J483" i="9"/>
  <c r="K483" i="9" s="1"/>
  <c r="J484" i="9"/>
  <c r="K484" i="9" s="1"/>
  <c r="J485" i="9"/>
  <c r="K485" i="9" s="1"/>
  <c r="J486" i="9"/>
  <c r="K486" i="9" s="1"/>
  <c r="J487" i="9"/>
  <c r="K487" i="9" s="1"/>
  <c r="J488" i="9"/>
  <c r="K488" i="9" s="1"/>
  <c r="J489" i="9"/>
  <c r="K489" i="9" s="1"/>
  <c r="J490" i="9"/>
  <c r="K490" i="9" s="1"/>
  <c r="J491" i="9"/>
  <c r="K491" i="9" s="1"/>
  <c r="J492" i="9"/>
  <c r="K492" i="9" s="1"/>
  <c r="J493" i="9"/>
  <c r="K493" i="9" s="1"/>
  <c r="J494" i="9"/>
  <c r="K494" i="9" s="1"/>
  <c r="J495" i="9"/>
  <c r="K495" i="9" s="1"/>
  <c r="J496" i="9"/>
  <c r="K496" i="9" s="1"/>
  <c r="J497" i="9"/>
  <c r="K497" i="9" s="1"/>
  <c r="J498" i="9"/>
  <c r="K498" i="9" s="1"/>
  <c r="J499" i="9"/>
  <c r="K499" i="9" s="1"/>
  <c r="J500" i="9"/>
  <c r="K500" i="9" s="1"/>
  <c r="J501" i="9"/>
  <c r="K501" i="9" s="1"/>
  <c r="J502" i="9"/>
  <c r="K502" i="9" s="1"/>
  <c r="J503" i="9"/>
  <c r="K503" i="9" s="1"/>
  <c r="J504" i="9"/>
  <c r="K504" i="9" s="1"/>
  <c r="J505" i="9"/>
  <c r="K505" i="9" s="1"/>
  <c r="J506" i="9"/>
  <c r="K506" i="9" s="1"/>
  <c r="J507" i="9"/>
  <c r="K507" i="9" s="1"/>
  <c r="J508" i="9"/>
  <c r="K508" i="9" s="1"/>
  <c r="J509" i="9"/>
  <c r="K509" i="9" s="1"/>
  <c r="J510" i="9"/>
  <c r="K510" i="9" s="1"/>
  <c r="J511" i="9"/>
  <c r="K511" i="9" s="1"/>
  <c r="J512" i="9"/>
  <c r="K512" i="9" s="1"/>
  <c r="J513" i="9"/>
  <c r="K513" i="9" s="1"/>
  <c r="J514" i="9"/>
  <c r="K514" i="9" s="1"/>
  <c r="J515" i="9"/>
  <c r="K515" i="9" s="1"/>
  <c r="J516" i="9"/>
  <c r="K516" i="9" s="1"/>
  <c r="J517" i="9"/>
  <c r="K517" i="9" s="1"/>
  <c r="J518" i="9"/>
  <c r="K518" i="9" s="1"/>
  <c r="J519" i="9"/>
  <c r="K519" i="9" s="1"/>
  <c r="J520" i="9"/>
  <c r="K520" i="9" s="1"/>
  <c r="J521" i="9"/>
  <c r="K521" i="9" s="1"/>
  <c r="J522" i="9"/>
  <c r="K522" i="9" s="1"/>
  <c r="J523" i="9"/>
  <c r="K523" i="9" s="1"/>
  <c r="J524" i="9"/>
  <c r="K524" i="9" s="1"/>
  <c r="J525" i="9"/>
  <c r="K525" i="9" s="1"/>
  <c r="J526" i="9"/>
  <c r="K526" i="9" s="1"/>
  <c r="J527" i="9"/>
  <c r="K527" i="9" s="1"/>
  <c r="J528" i="9"/>
  <c r="K528" i="9" s="1"/>
  <c r="J529" i="9"/>
  <c r="K529" i="9" s="1"/>
  <c r="J530" i="9"/>
  <c r="K530" i="9" s="1"/>
  <c r="J531" i="9"/>
  <c r="K531" i="9" s="1"/>
  <c r="J532" i="9"/>
  <c r="K532" i="9" s="1"/>
  <c r="J533" i="9"/>
  <c r="K533" i="9" s="1"/>
  <c r="J534" i="9"/>
  <c r="K534" i="9" s="1"/>
  <c r="J535" i="9"/>
  <c r="K535" i="9" s="1"/>
  <c r="J536" i="9"/>
  <c r="K536" i="9" s="1"/>
  <c r="J537" i="9"/>
  <c r="K537" i="9" s="1"/>
  <c r="J538" i="9"/>
  <c r="K538" i="9" s="1"/>
  <c r="J539" i="9"/>
  <c r="K539" i="9" s="1"/>
  <c r="J540" i="9"/>
  <c r="K540" i="9" s="1"/>
  <c r="J541" i="9"/>
  <c r="K541" i="9" s="1"/>
  <c r="J542" i="9"/>
  <c r="K542" i="9" s="1"/>
  <c r="J543" i="9"/>
  <c r="K543" i="9" s="1"/>
  <c r="J544" i="9"/>
  <c r="K544" i="9" s="1"/>
  <c r="J545" i="9"/>
  <c r="K545" i="9" s="1"/>
  <c r="J546" i="9"/>
  <c r="K546" i="9" s="1"/>
  <c r="J547" i="9"/>
  <c r="K547" i="9" s="1"/>
  <c r="J548" i="9"/>
  <c r="K548" i="9" s="1"/>
  <c r="J549" i="9"/>
  <c r="K549" i="9" s="1"/>
  <c r="J550" i="9"/>
  <c r="K550" i="9" s="1"/>
  <c r="J551" i="9"/>
  <c r="K551" i="9" s="1"/>
  <c r="J552" i="9"/>
  <c r="K552" i="9" s="1"/>
  <c r="J553" i="9"/>
  <c r="K553" i="9" s="1"/>
  <c r="J554" i="9"/>
  <c r="K554" i="9" s="1"/>
  <c r="J555" i="9"/>
  <c r="K555" i="9" s="1"/>
  <c r="J556" i="9"/>
  <c r="K556" i="9" s="1"/>
  <c r="J557" i="9"/>
  <c r="K557" i="9" s="1"/>
  <c r="J558" i="9"/>
  <c r="K558" i="9" s="1"/>
  <c r="J559" i="9"/>
  <c r="K559" i="9" s="1"/>
  <c r="J560" i="9"/>
  <c r="K560" i="9" s="1"/>
  <c r="J561" i="9"/>
  <c r="K561" i="9" s="1"/>
  <c r="J562" i="9"/>
  <c r="K562" i="9" s="1"/>
  <c r="J563" i="9"/>
  <c r="K563" i="9" s="1"/>
  <c r="J564" i="9"/>
  <c r="K564" i="9" s="1"/>
  <c r="J565" i="9"/>
  <c r="K565" i="9" s="1"/>
  <c r="J566" i="9"/>
  <c r="K566" i="9" s="1"/>
  <c r="J567" i="9"/>
  <c r="K567" i="9" s="1"/>
  <c r="J568" i="9"/>
  <c r="K568" i="9" s="1"/>
  <c r="J569" i="9"/>
  <c r="K569" i="9" s="1"/>
  <c r="J570" i="9"/>
  <c r="K570" i="9" s="1"/>
  <c r="J571" i="9"/>
  <c r="K571" i="9" s="1"/>
  <c r="J572" i="9"/>
  <c r="K572" i="9" s="1"/>
  <c r="J573" i="9"/>
  <c r="K573" i="9" s="1"/>
  <c r="J574" i="9"/>
  <c r="K574" i="9" s="1"/>
  <c r="J575" i="9"/>
  <c r="K575" i="9" s="1"/>
  <c r="J576" i="9"/>
  <c r="K576" i="9" s="1"/>
  <c r="J577" i="9"/>
  <c r="K577" i="9" s="1"/>
  <c r="J578" i="9"/>
  <c r="K578" i="9" s="1"/>
  <c r="J579" i="9"/>
  <c r="K579" i="9" s="1"/>
  <c r="J580" i="9"/>
  <c r="K580" i="9" s="1"/>
  <c r="J581" i="9"/>
  <c r="K581" i="9" s="1"/>
  <c r="J582" i="9"/>
  <c r="K582" i="9" s="1"/>
  <c r="J583" i="9"/>
  <c r="K583" i="9" s="1"/>
  <c r="J584" i="9"/>
  <c r="K584" i="9" s="1"/>
  <c r="J585" i="9"/>
  <c r="K585" i="9" s="1"/>
  <c r="J586" i="9"/>
  <c r="K586" i="9" s="1"/>
  <c r="J587" i="9"/>
  <c r="K587" i="9" s="1"/>
  <c r="J588" i="9"/>
  <c r="K588" i="9" s="1"/>
  <c r="J589" i="9"/>
  <c r="K589" i="9" s="1"/>
  <c r="J590" i="9"/>
  <c r="K590" i="9" s="1"/>
  <c r="J591" i="9"/>
  <c r="K591" i="9" s="1"/>
  <c r="J592" i="9"/>
  <c r="K592" i="9" s="1"/>
  <c r="J593" i="9"/>
  <c r="K593" i="9" s="1"/>
  <c r="J594" i="9"/>
  <c r="K594" i="9" s="1"/>
  <c r="J595" i="9"/>
  <c r="K595" i="9" s="1"/>
  <c r="J596" i="9"/>
  <c r="K596" i="9" s="1"/>
  <c r="J597" i="9"/>
  <c r="K597" i="9" s="1"/>
  <c r="J598" i="9"/>
  <c r="K598" i="9" s="1"/>
  <c r="J599" i="9"/>
  <c r="K599" i="9" s="1"/>
  <c r="J600" i="9"/>
  <c r="K600" i="9" s="1"/>
  <c r="J601" i="9"/>
  <c r="K601" i="9" s="1"/>
  <c r="J602" i="9"/>
  <c r="K602" i="9" s="1"/>
  <c r="J603" i="9"/>
  <c r="K603" i="9" s="1"/>
  <c r="J604" i="9"/>
  <c r="K604" i="9" s="1"/>
  <c r="J605" i="9"/>
  <c r="K605" i="9" s="1"/>
  <c r="J606" i="9"/>
  <c r="K606" i="9" s="1"/>
  <c r="J607" i="9"/>
  <c r="K607" i="9" s="1"/>
  <c r="J608" i="9"/>
  <c r="K608" i="9" s="1"/>
  <c r="J609" i="9"/>
  <c r="K609" i="9" s="1"/>
  <c r="J610" i="9"/>
  <c r="K610" i="9" s="1"/>
  <c r="J611" i="9"/>
  <c r="K611" i="9" s="1"/>
  <c r="J612" i="9"/>
  <c r="K612" i="9" s="1"/>
  <c r="J613" i="9"/>
  <c r="K613" i="9" s="1"/>
  <c r="J614" i="9"/>
  <c r="K614" i="9" s="1"/>
  <c r="J615" i="9"/>
  <c r="K615" i="9" s="1"/>
  <c r="J616" i="9"/>
  <c r="K616" i="9" s="1"/>
  <c r="J617" i="9"/>
  <c r="K617" i="9" s="1"/>
  <c r="J618" i="9"/>
  <c r="K618" i="9" s="1"/>
  <c r="J619" i="9"/>
  <c r="K619" i="9" s="1"/>
  <c r="J620" i="9"/>
  <c r="K620" i="9" s="1"/>
  <c r="J621" i="9"/>
  <c r="K621" i="9" s="1"/>
  <c r="J622" i="9"/>
  <c r="K622" i="9" s="1"/>
  <c r="J623" i="9"/>
  <c r="K623" i="9" s="1"/>
  <c r="J624" i="9"/>
  <c r="K624" i="9" s="1"/>
  <c r="J625" i="9"/>
  <c r="K625" i="9" s="1"/>
  <c r="J626" i="9"/>
  <c r="K626" i="9" s="1"/>
  <c r="J627" i="9"/>
  <c r="K627" i="9" s="1"/>
  <c r="J628" i="9"/>
  <c r="K628" i="9" s="1"/>
  <c r="J629" i="9"/>
  <c r="K629" i="9" s="1"/>
  <c r="J630" i="9"/>
  <c r="K630" i="9" s="1"/>
  <c r="J631" i="9"/>
  <c r="K631" i="9" s="1"/>
  <c r="J632" i="9"/>
  <c r="K632" i="9" s="1"/>
  <c r="J633" i="9"/>
  <c r="K633" i="9" s="1"/>
  <c r="J634" i="9"/>
  <c r="K634" i="9" s="1"/>
  <c r="J635" i="9"/>
  <c r="K635" i="9" s="1"/>
  <c r="J636" i="9"/>
  <c r="K636" i="9" s="1"/>
  <c r="J637" i="9"/>
  <c r="K637" i="9" s="1"/>
  <c r="J638" i="9"/>
  <c r="K638" i="9" s="1"/>
  <c r="J639" i="9"/>
  <c r="K639" i="9" s="1"/>
  <c r="J640" i="9"/>
  <c r="K640" i="9" s="1"/>
  <c r="J641" i="9"/>
  <c r="K641" i="9" s="1"/>
  <c r="J642" i="9"/>
  <c r="K642" i="9" s="1"/>
  <c r="J643" i="9"/>
  <c r="K643" i="9" s="1"/>
  <c r="J644" i="9"/>
  <c r="K644" i="9" s="1"/>
  <c r="J645" i="9"/>
  <c r="K645" i="9" s="1"/>
  <c r="J646" i="9"/>
  <c r="K646" i="9" s="1"/>
  <c r="J647" i="9"/>
  <c r="K647" i="9" s="1"/>
  <c r="J648" i="9"/>
  <c r="K648" i="9" s="1"/>
  <c r="J649" i="9"/>
  <c r="K649" i="9" s="1"/>
  <c r="J650" i="9"/>
  <c r="K650" i="9" s="1"/>
  <c r="J651" i="9"/>
  <c r="K651" i="9" s="1"/>
  <c r="J652" i="9"/>
  <c r="K652" i="9" s="1"/>
  <c r="J653" i="9"/>
  <c r="K653" i="9" s="1"/>
  <c r="J654" i="9"/>
  <c r="K654" i="9" s="1"/>
  <c r="J655" i="9"/>
  <c r="K655" i="9" s="1"/>
  <c r="J656" i="9"/>
  <c r="K656" i="9" s="1"/>
  <c r="J657" i="9"/>
  <c r="K657" i="9" s="1"/>
  <c r="J658" i="9"/>
  <c r="K658" i="9" s="1"/>
  <c r="J659" i="9"/>
  <c r="K659" i="9" s="1"/>
  <c r="J660" i="9"/>
  <c r="K660" i="9" s="1"/>
  <c r="J661" i="9"/>
  <c r="K661" i="9" s="1"/>
  <c r="J662" i="9"/>
  <c r="K662" i="9" s="1"/>
  <c r="J663" i="9"/>
  <c r="K663" i="9" s="1"/>
  <c r="J664" i="9"/>
  <c r="K664" i="9" s="1"/>
  <c r="J665" i="9"/>
  <c r="K665" i="9" s="1"/>
  <c r="J666" i="9"/>
  <c r="K666" i="9" s="1"/>
  <c r="J667" i="9"/>
  <c r="K667" i="9" s="1"/>
  <c r="J668" i="9"/>
  <c r="K668" i="9" s="1"/>
  <c r="J669" i="9"/>
  <c r="K669" i="9" s="1"/>
  <c r="J670" i="9"/>
  <c r="K670" i="9" s="1"/>
  <c r="J671" i="9"/>
  <c r="K671" i="9" s="1"/>
  <c r="J672" i="9"/>
  <c r="K672" i="9" s="1"/>
  <c r="J673" i="9"/>
  <c r="K673" i="9" s="1"/>
  <c r="J674" i="9"/>
  <c r="K674" i="9" s="1"/>
  <c r="J675" i="9"/>
  <c r="K675" i="9" s="1"/>
  <c r="J676" i="9"/>
  <c r="K676" i="9" s="1"/>
  <c r="J677" i="9"/>
  <c r="K677" i="9" s="1"/>
  <c r="J678" i="9"/>
  <c r="K678" i="9" s="1"/>
  <c r="J679" i="9"/>
  <c r="K679" i="9" s="1"/>
  <c r="J680" i="9"/>
  <c r="K680" i="9" s="1"/>
  <c r="J681" i="9"/>
  <c r="K681" i="9" s="1"/>
  <c r="J682" i="9"/>
  <c r="K682" i="9" s="1"/>
  <c r="J683" i="9"/>
  <c r="K683" i="9" s="1"/>
  <c r="J684" i="9"/>
  <c r="K684" i="9" s="1"/>
  <c r="J685" i="9"/>
  <c r="K685" i="9" s="1"/>
  <c r="J686" i="9"/>
  <c r="K686" i="9" s="1"/>
  <c r="J687" i="9"/>
  <c r="K687" i="9" s="1"/>
  <c r="J688" i="9"/>
  <c r="K688" i="9" s="1"/>
  <c r="J689" i="9"/>
  <c r="K689" i="9" s="1"/>
  <c r="J690" i="9"/>
  <c r="K690" i="9" s="1"/>
  <c r="J691" i="9"/>
  <c r="K691" i="9" s="1"/>
  <c r="J692" i="9"/>
  <c r="K692" i="9" s="1"/>
  <c r="J693" i="9"/>
  <c r="K693" i="9" s="1"/>
  <c r="J694" i="9"/>
  <c r="K694" i="9" s="1"/>
  <c r="J695" i="9"/>
  <c r="K695" i="9" s="1"/>
  <c r="J696" i="9"/>
  <c r="K696" i="9" s="1"/>
  <c r="J697" i="9"/>
  <c r="K697" i="9" s="1"/>
  <c r="J698" i="9"/>
  <c r="K698" i="9" s="1"/>
  <c r="J699" i="9"/>
  <c r="K699" i="9" s="1"/>
  <c r="J700" i="9"/>
  <c r="K700" i="9" s="1"/>
  <c r="J701" i="9"/>
  <c r="K701" i="9" s="1"/>
  <c r="J702" i="9"/>
  <c r="K702" i="9" s="1"/>
  <c r="J703" i="9"/>
  <c r="K703" i="9" s="1"/>
  <c r="J704" i="9"/>
  <c r="K704" i="9" s="1"/>
  <c r="J705" i="9"/>
  <c r="K705" i="9" s="1"/>
  <c r="J706" i="9"/>
  <c r="K706" i="9" s="1"/>
  <c r="J707" i="9"/>
  <c r="K707" i="9" s="1"/>
  <c r="J708" i="9"/>
  <c r="K708" i="9" s="1"/>
  <c r="J709" i="9"/>
  <c r="K709" i="9" s="1"/>
  <c r="J710" i="9"/>
  <c r="K710" i="9" s="1"/>
  <c r="J711" i="9"/>
  <c r="K711" i="9" s="1"/>
  <c r="J712" i="9"/>
  <c r="K712" i="9" s="1"/>
  <c r="J713" i="9"/>
  <c r="K713" i="9" s="1"/>
  <c r="J714" i="9"/>
  <c r="K714" i="9" s="1"/>
  <c r="J715" i="9"/>
  <c r="K715" i="9" s="1"/>
  <c r="J716" i="9"/>
  <c r="K716" i="9" s="1"/>
  <c r="J717" i="9"/>
  <c r="K717" i="9" s="1"/>
  <c r="J718" i="9"/>
  <c r="K718" i="9" s="1"/>
  <c r="J719" i="9"/>
  <c r="K719" i="9" s="1"/>
  <c r="J720" i="9"/>
  <c r="K720" i="9" s="1"/>
  <c r="J721" i="9"/>
  <c r="K721" i="9" s="1"/>
  <c r="J722" i="9"/>
  <c r="K722" i="9" s="1"/>
  <c r="J723" i="9"/>
  <c r="K723" i="9" s="1"/>
  <c r="J724" i="9"/>
  <c r="K724" i="9" s="1"/>
  <c r="J725" i="9"/>
  <c r="K725" i="9" s="1"/>
  <c r="J726" i="9"/>
  <c r="K726" i="9" s="1"/>
  <c r="J727" i="9"/>
  <c r="K727" i="9" s="1"/>
  <c r="J728" i="9"/>
  <c r="K728" i="9" s="1"/>
  <c r="J729" i="9"/>
  <c r="K729" i="9" s="1"/>
  <c r="J730" i="9"/>
  <c r="K730" i="9" s="1"/>
  <c r="J731" i="9"/>
  <c r="K731" i="9" s="1"/>
  <c r="J732" i="9"/>
  <c r="K732" i="9" s="1"/>
  <c r="J733" i="9"/>
  <c r="K733" i="9" s="1"/>
  <c r="J734" i="9"/>
  <c r="K734" i="9" s="1"/>
  <c r="J735" i="9"/>
  <c r="K735" i="9" s="1"/>
  <c r="J736" i="9"/>
  <c r="K736" i="9" s="1"/>
  <c r="J737" i="9"/>
  <c r="K737" i="9" s="1"/>
  <c r="J738" i="9"/>
  <c r="K738" i="9" s="1"/>
  <c r="J739" i="9"/>
  <c r="K739" i="9" s="1"/>
  <c r="J740" i="9"/>
  <c r="K740" i="9" s="1"/>
  <c r="J741" i="9"/>
  <c r="K741" i="9" s="1"/>
  <c r="J742" i="9"/>
  <c r="K742" i="9" s="1"/>
  <c r="J743" i="9"/>
  <c r="K743" i="9" s="1"/>
  <c r="J744" i="9"/>
  <c r="K744" i="9" s="1"/>
  <c r="J745" i="9"/>
  <c r="K745" i="9" s="1"/>
  <c r="J746" i="9"/>
  <c r="K746" i="9" s="1"/>
  <c r="J747" i="9"/>
  <c r="K747" i="9" s="1"/>
  <c r="J748" i="9"/>
  <c r="K748" i="9" s="1"/>
  <c r="J749" i="9"/>
  <c r="K749" i="9" s="1"/>
  <c r="J750" i="9"/>
  <c r="K750" i="9" s="1"/>
  <c r="J751" i="9"/>
  <c r="K751" i="9" s="1"/>
  <c r="J752" i="9"/>
  <c r="K752" i="9" s="1"/>
  <c r="J753" i="9"/>
  <c r="K753" i="9" s="1"/>
  <c r="J754" i="9"/>
  <c r="K754" i="9" s="1"/>
  <c r="J755" i="9"/>
  <c r="K755" i="9" s="1"/>
  <c r="J756" i="9"/>
  <c r="K756" i="9" s="1"/>
  <c r="J757" i="9"/>
  <c r="K757" i="9" s="1"/>
  <c r="J758" i="9"/>
  <c r="K758" i="9" s="1"/>
  <c r="J759" i="9"/>
  <c r="K759" i="9" s="1"/>
  <c r="J760" i="9"/>
  <c r="K760" i="9" s="1"/>
  <c r="J761" i="9"/>
  <c r="K761" i="9" s="1"/>
  <c r="J762" i="9"/>
  <c r="K762" i="9" s="1"/>
  <c r="J763" i="9"/>
  <c r="K763" i="9" s="1"/>
  <c r="J764" i="9"/>
  <c r="K764" i="9" s="1"/>
  <c r="J765" i="9"/>
  <c r="K765" i="9" s="1"/>
  <c r="J766" i="9"/>
  <c r="K766" i="9" s="1"/>
  <c r="J767" i="9"/>
  <c r="K767" i="9" s="1"/>
  <c r="J768" i="9"/>
  <c r="K768" i="9" s="1"/>
  <c r="J769" i="9"/>
  <c r="K769" i="9" s="1"/>
  <c r="J770" i="9"/>
  <c r="K770" i="9" s="1"/>
  <c r="J771" i="9"/>
  <c r="K771" i="9" s="1"/>
  <c r="J772" i="9"/>
  <c r="K772" i="9" s="1"/>
  <c r="J773" i="9"/>
  <c r="K773" i="9" s="1"/>
  <c r="J774" i="9"/>
  <c r="K774" i="9" s="1"/>
  <c r="J775" i="9"/>
  <c r="K775" i="9" s="1"/>
  <c r="J776" i="9"/>
  <c r="K776" i="9" s="1"/>
  <c r="J777" i="9"/>
  <c r="K777" i="9" s="1"/>
  <c r="J778" i="9"/>
  <c r="K778" i="9" s="1"/>
  <c r="J779" i="9"/>
  <c r="K779" i="9" s="1"/>
  <c r="J780" i="9"/>
  <c r="K780" i="9" s="1"/>
  <c r="J781" i="9"/>
  <c r="K781" i="9" s="1"/>
  <c r="J782" i="9"/>
  <c r="K782" i="9" s="1"/>
  <c r="J783" i="9"/>
  <c r="K783" i="9" s="1"/>
  <c r="J784" i="9"/>
  <c r="K784" i="9" s="1"/>
  <c r="J785" i="9"/>
  <c r="K785" i="9" s="1"/>
  <c r="J786" i="9"/>
  <c r="K786" i="9" s="1"/>
  <c r="J787" i="9"/>
  <c r="K787" i="9" s="1"/>
  <c r="J788" i="9"/>
  <c r="K788" i="9" s="1"/>
  <c r="J789" i="9"/>
  <c r="K789" i="9" s="1"/>
  <c r="J790" i="9"/>
  <c r="K790" i="9" s="1"/>
  <c r="J791" i="9"/>
  <c r="K791" i="9" s="1"/>
  <c r="J792" i="9"/>
  <c r="K792" i="9" s="1"/>
  <c r="J793" i="9"/>
  <c r="K793" i="9" s="1"/>
  <c r="J794" i="9"/>
  <c r="K794" i="9" s="1"/>
  <c r="J795" i="9"/>
  <c r="K795" i="9" s="1"/>
  <c r="J796" i="9"/>
  <c r="K796" i="9" s="1"/>
  <c r="J797" i="9"/>
  <c r="K797" i="9" s="1"/>
  <c r="J798" i="9"/>
  <c r="K798" i="9" s="1"/>
  <c r="J799" i="9"/>
  <c r="K799" i="9" s="1"/>
  <c r="J800" i="9"/>
  <c r="K800" i="9" s="1"/>
  <c r="J801" i="9"/>
  <c r="K801" i="9" s="1"/>
  <c r="J802" i="9"/>
  <c r="K802" i="9" s="1"/>
  <c r="J803" i="9"/>
  <c r="K803" i="9" s="1"/>
  <c r="J804" i="9"/>
  <c r="K804" i="9" s="1"/>
  <c r="J805" i="9"/>
  <c r="K805" i="9" s="1"/>
  <c r="J806" i="9"/>
  <c r="K806" i="9" s="1"/>
  <c r="J807" i="9"/>
  <c r="K807" i="9" s="1"/>
  <c r="J808" i="9"/>
  <c r="K808" i="9" s="1"/>
  <c r="J809" i="9"/>
  <c r="K809" i="9" s="1"/>
  <c r="J810" i="9"/>
  <c r="K810" i="9" s="1"/>
  <c r="J811" i="9"/>
  <c r="K811" i="9" s="1"/>
  <c r="J812" i="9"/>
  <c r="K812" i="9" s="1"/>
  <c r="J813" i="9"/>
  <c r="K813" i="9" s="1"/>
  <c r="J814" i="9"/>
  <c r="K814" i="9" s="1"/>
  <c r="J815" i="9"/>
  <c r="K815" i="9" s="1"/>
  <c r="J816" i="9"/>
  <c r="K816" i="9" s="1"/>
  <c r="J817" i="9"/>
  <c r="K817" i="9" s="1"/>
  <c r="J818" i="9"/>
  <c r="K818" i="9" s="1"/>
  <c r="J819" i="9"/>
  <c r="K819" i="9" s="1"/>
  <c r="J820" i="9"/>
  <c r="K820" i="9" s="1"/>
  <c r="J821" i="9"/>
  <c r="K821" i="9" s="1"/>
  <c r="J822" i="9"/>
  <c r="K822" i="9" s="1"/>
  <c r="J823" i="9"/>
  <c r="K823" i="9" s="1"/>
  <c r="J824" i="9"/>
  <c r="K824" i="9" s="1"/>
  <c r="J825" i="9"/>
  <c r="K825" i="9" s="1"/>
  <c r="J826" i="9"/>
  <c r="K826" i="9" s="1"/>
  <c r="J827" i="9"/>
  <c r="K827" i="9" s="1"/>
  <c r="J828" i="9"/>
  <c r="K828" i="9" s="1"/>
  <c r="J829" i="9"/>
  <c r="K829" i="9" s="1"/>
  <c r="J830" i="9"/>
  <c r="K830" i="9" s="1"/>
  <c r="J831" i="9"/>
  <c r="K831" i="9" s="1"/>
  <c r="J832" i="9"/>
  <c r="K832" i="9" s="1"/>
  <c r="J833" i="9"/>
  <c r="K833" i="9" s="1"/>
  <c r="J834" i="9"/>
  <c r="K834" i="9" s="1"/>
  <c r="J835" i="9"/>
  <c r="K835" i="9" s="1"/>
  <c r="J836" i="9"/>
  <c r="K836" i="9" s="1"/>
  <c r="J837" i="9"/>
  <c r="K837" i="9" s="1"/>
  <c r="J838" i="9"/>
  <c r="K838" i="9" s="1"/>
  <c r="J839" i="9"/>
  <c r="K839" i="9" s="1"/>
  <c r="J840" i="9"/>
  <c r="K840" i="9" s="1"/>
  <c r="J841" i="9"/>
  <c r="K841" i="9" s="1"/>
  <c r="J842" i="9"/>
  <c r="K842" i="9" s="1"/>
  <c r="J843" i="9"/>
  <c r="K843" i="9" s="1"/>
  <c r="J844" i="9"/>
  <c r="K844" i="9" s="1"/>
  <c r="J845" i="9"/>
  <c r="K845" i="9" s="1"/>
  <c r="J846" i="9"/>
  <c r="K846" i="9" s="1"/>
  <c r="J847" i="9"/>
  <c r="K847" i="9" s="1"/>
  <c r="J848" i="9"/>
  <c r="K848" i="9" s="1"/>
  <c r="J849" i="9"/>
  <c r="K849" i="9" s="1"/>
  <c r="J850" i="9"/>
  <c r="K850" i="9" s="1"/>
  <c r="J851" i="9"/>
  <c r="K851" i="9" s="1"/>
  <c r="J852" i="9"/>
  <c r="K852" i="9" s="1"/>
  <c r="J853" i="9"/>
  <c r="K853" i="9" s="1"/>
  <c r="J854" i="9"/>
  <c r="K854" i="9" s="1"/>
  <c r="J855" i="9"/>
  <c r="K855" i="9" s="1"/>
  <c r="J856" i="9"/>
  <c r="K856" i="9" s="1"/>
  <c r="J857" i="9"/>
  <c r="K857" i="9" s="1"/>
  <c r="J858" i="9"/>
  <c r="K858" i="9" s="1"/>
  <c r="J859" i="9"/>
  <c r="K859" i="9" s="1"/>
  <c r="J860" i="9"/>
  <c r="K860" i="9" s="1"/>
  <c r="J861" i="9"/>
  <c r="K861" i="9" s="1"/>
  <c r="J862" i="9"/>
  <c r="K862" i="9" s="1"/>
  <c r="J863" i="9"/>
  <c r="K863" i="9" s="1"/>
  <c r="J864" i="9"/>
  <c r="K864" i="9" s="1"/>
  <c r="J865" i="9"/>
  <c r="K865" i="9" s="1"/>
  <c r="J866" i="9"/>
  <c r="K866" i="9" s="1"/>
  <c r="J867" i="9"/>
  <c r="K867" i="9" s="1"/>
  <c r="J868" i="9"/>
  <c r="K868" i="9" s="1"/>
  <c r="J869" i="9"/>
  <c r="K869" i="9" s="1"/>
  <c r="J870" i="9"/>
  <c r="K870" i="9" s="1"/>
  <c r="J871" i="9"/>
  <c r="K871" i="9" s="1"/>
  <c r="J872" i="9"/>
  <c r="K872" i="9" s="1"/>
  <c r="J873" i="9"/>
  <c r="K873" i="9" s="1"/>
  <c r="J874" i="9"/>
  <c r="K874" i="9" s="1"/>
  <c r="J875" i="9"/>
  <c r="K875" i="9" s="1"/>
  <c r="J876" i="9"/>
  <c r="K876" i="9" s="1"/>
  <c r="J877" i="9"/>
  <c r="K877" i="9" s="1"/>
  <c r="J878" i="9"/>
  <c r="K878" i="9" s="1"/>
  <c r="J879" i="9"/>
  <c r="K879" i="9" s="1"/>
  <c r="J880" i="9"/>
  <c r="K880" i="9" s="1"/>
  <c r="J881" i="9"/>
  <c r="K881" i="9" s="1"/>
  <c r="J882" i="9"/>
  <c r="K882" i="9" s="1"/>
  <c r="J883" i="9"/>
  <c r="K883" i="9" s="1"/>
  <c r="J884" i="9"/>
  <c r="K884" i="9" s="1"/>
  <c r="J885" i="9"/>
  <c r="K885" i="9" s="1"/>
  <c r="J886" i="9"/>
  <c r="K886" i="9" s="1"/>
  <c r="J887" i="9"/>
  <c r="K887" i="9" s="1"/>
  <c r="J888" i="9"/>
  <c r="K888" i="9" s="1"/>
  <c r="J889" i="9"/>
  <c r="K889" i="9" s="1"/>
  <c r="J890" i="9"/>
  <c r="K890" i="9" s="1"/>
  <c r="J891" i="9"/>
  <c r="K891" i="9" s="1"/>
  <c r="J892" i="9"/>
  <c r="K892" i="9" s="1"/>
  <c r="J893" i="9"/>
  <c r="K893" i="9" s="1"/>
  <c r="J894" i="9"/>
  <c r="K894" i="9" s="1"/>
  <c r="J895" i="9"/>
  <c r="K895" i="9" s="1"/>
  <c r="J896" i="9"/>
  <c r="K896" i="9" s="1"/>
  <c r="J897" i="9"/>
  <c r="K897" i="9" s="1"/>
  <c r="J898" i="9"/>
  <c r="K898" i="9" s="1"/>
  <c r="J899" i="9"/>
  <c r="K899" i="9" s="1"/>
  <c r="J900" i="9"/>
  <c r="K900" i="9" s="1"/>
  <c r="J901" i="9"/>
  <c r="K901" i="9" s="1"/>
  <c r="J902" i="9"/>
  <c r="K902" i="9" s="1"/>
  <c r="J903" i="9"/>
  <c r="K903" i="9" s="1"/>
  <c r="J904" i="9"/>
  <c r="K904" i="9" s="1"/>
  <c r="J905" i="9"/>
  <c r="K905" i="9" s="1"/>
  <c r="J906" i="9"/>
  <c r="K906" i="9" s="1"/>
  <c r="J907" i="9"/>
  <c r="K907" i="9" s="1"/>
  <c r="J908" i="9"/>
  <c r="K908" i="9" s="1"/>
  <c r="J909" i="9"/>
  <c r="K909" i="9" s="1"/>
  <c r="J910" i="9"/>
  <c r="K910" i="9" s="1"/>
  <c r="J911" i="9"/>
  <c r="K911" i="9" s="1"/>
  <c r="J912" i="9"/>
  <c r="K912" i="9" s="1"/>
  <c r="J913" i="9"/>
  <c r="K913" i="9" s="1"/>
  <c r="J914" i="9"/>
  <c r="K914" i="9" s="1"/>
  <c r="J915" i="9"/>
  <c r="K915" i="9" s="1"/>
  <c r="J916" i="9"/>
  <c r="K916" i="9" s="1"/>
  <c r="J917" i="9"/>
  <c r="K917" i="9" s="1"/>
  <c r="J918" i="9"/>
  <c r="K918" i="9" s="1"/>
  <c r="J919" i="9"/>
  <c r="K919" i="9" s="1"/>
  <c r="J920" i="9"/>
  <c r="K920" i="9" s="1"/>
  <c r="J921" i="9"/>
  <c r="K921" i="9" s="1"/>
  <c r="J922" i="9"/>
  <c r="K922" i="9" s="1"/>
  <c r="J923" i="9"/>
  <c r="K923" i="9" s="1"/>
  <c r="J924" i="9"/>
  <c r="K924" i="9" s="1"/>
  <c r="J925" i="9"/>
  <c r="K925" i="9" s="1"/>
  <c r="J926" i="9"/>
  <c r="K926" i="9" s="1"/>
  <c r="J927" i="9"/>
  <c r="K927" i="9" s="1"/>
  <c r="J928" i="9"/>
  <c r="K928" i="9" s="1"/>
  <c r="J929" i="9"/>
  <c r="K929" i="9" s="1"/>
  <c r="J930" i="9"/>
  <c r="K930" i="9" s="1"/>
  <c r="J931" i="9"/>
  <c r="K931" i="9" s="1"/>
  <c r="J932" i="9"/>
  <c r="K932" i="9" s="1"/>
  <c r="J933" i="9"/>
  <c r="K933" i="9" s="1"/>
  <c r="J934" i="9"/>
  <c r="K934" i="9" s="1"/>
  <c r="J935" i="9"/>
  <c r="K935" i="9" s="1"/>
  <c r="J936" i="9"/>
  <c r="K936" i="9" s="1"/>
  <c r="J937" i="9"/>
  <c r="K937" i="9" s="1"/>
  <c r="J938" i="9"/>
  <c r="K938" i="9" s="1"/>
  <c r="J939" i="9"/>
  <c r="K939" i="9" s="1"/>
  <c r="J940" i="9"/>
  <c r="K940" i="9" s="1"/>
  <c r="J941" i="9"/>
  <c r="K941" i="9" s="1"/>
  <c r="J942" i="9"/>
  <c r="K942" i="9" s="1"/>
  <c r="J943" i="9"/>
  <c r="K943" i="9" s="1"/>
  <c r="J944" i="9"/>
  <c r="K944" i="9" s="1"/>
  <c r="J945" i="9"/>
  <c r="K945" i="9" s="1"/>
  <c r="J946" i="9"/>
  <c r="K946" i="9" s="1"/>
  <c r="J947" i="9"/>
  <c r="K947" i="9" s="1"/>
  <c r="J948" i="9"/>
  <c r="K948" i="9" s="1"/>
  <c r="J949" i="9"/>
  <c r="K949" i="9" s="1"/>
  <c r="J950" i="9"/>
  <c r="K950" i="9" s="1"/>
  <c r="J951" i="9"/>
  <c r="K951" i="9" s="1"/>
  <c r="J952" i="9"/>
  <c r="K952" i="9" s="1"/>
  <c r="J953" i="9"/>
  <c r="K953" i="9" s="1"/>
  <c r="J954" i="9"/>
  <c r="K954" i="9" s="1"/>
  <c r="J955" i="9"/>
  <c r="K955" i="9" s="1"/>
  <c r="J956" i="9"/>
  <c r="K956" i="9" s="1"/>
  <c r="J957" i="9"/>
  <c r="K957" i="9" s="1"/>
  <c r="J958" i="9"/>
  <c r="K958" i="9" s="1"/>
  <c r="J959" i="9"/>
  <c r="K959" i="9" s="1"/>
  <c r="J960" i="9"/>
  <c r="K960" i="9" s="1"/>
  <c r="J961" i="9"/>
  <c r="K961" i="9" s="1"/>
  <c r="J962" i="9"/>
  <c r="K962" i="9" s="1"/>
  <c r="J963" i="9"/>
  <c r="K963" i="9" s="1"/>
  <c r="J964" i="9"/>
  <c r="K964" i="9" s="1"/>
  <c r="J965" i="9"/>
  <c r="K965" i="9" s="1"/>
  <c r="J966" i="9"/>
  <c r="K966" i="9" s="1"/>
  <c r="J967" i="9"/>
  <c r="K967" i="9" s="1"/>
  <c r="J968" i="9"/>
  <c r="K968" i="9" s="1"/>
  <c r="J969" i="9"/>
  <c r="K969" i="9" s="1"/>
  <c r="J970" i="9"/>
  <c r="K970" i="9" s="1"/>
  <c r="J971" i="9"/>
  <c r="K971" i="9" s="1"/>
  <c r="J972" i="9"/>
  <c r="K972" i="9" s="1"/>
  <c r="J973" i="9"/>
  <c r="K973" i="9" s="1"/>
  <c r="J974" i="9"/>
  <c r="K974" i="9" s="1"/>
  <c r="J975" i="9"/>
  <c r="K975" i="9" s="1"/>
  <c r="J976" i="9"/>
  <c r="K976" i="9" s="1"/>
  <c r="J977" i="9"/>
  <c r="K977" i="9" s="1"/>
  <c r="J978" i="9"/>
  <c r="K978" i="9" s="1"/>
  <c r="J979" i="9"/>
  <c r="K979" i="9" s="1"/>
  <c r="J980" i="9"/>
  <c r="K980" i="9" s="1"/>
  <c r="J981" i="9"/>
  <c r="K981" i="9" s="1"/>
  <c r="J982" i="9"/>
  <c r="K982" i="9" s="1"/>
  <c r="J983" i="9"/>
  <c r="K983" i="9" s="1"/>
  <c r="I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I509" i="9"/>
  <c r="I510" i="9"/>
  <c r="I511" i="9"/>
  <c r="I512" i="9"/>
  <c r="I513" i="9"/>
  <c r="I514" i="9"/>
  <c r="I515" i="9"/>
  <c r="I516" i="9"/>
  <c r="I517" i="9"/>
  <c r="I518" i="9"/>
  <c r="I519" i="9"/>
  <c r="I520" i="9"/>
  <c r="I521" i="9"/>
  <c r="I522" i="9"/>
  <c r="I523" i="9"/>
  <c r="I524" i="9"/>
  <c r="I525" i="9"/>
  <c r="I526" i="9"/>
  <c r="I527" i="9"/>
  <c r="I528" i="9"/>
  <c r="I529" i="9"/>
  <c r="I530" i="9"/>
  <c r="I531" i="9"/>
  <c r="I532" i="9"/>
  <c r="I533" i="9"/>
  <c r="I534" i="9"/>
  <c r="I535" i="9"/>
  <c r="I536" i="9"/>
  <c r="I537" i="9"/>
  <c r="I538" i="9"/>
  <c r="I539" i="9"/>
  <c r="I540" i="9"/>
  <c r="I541" i="9"/>
  <c r="I542" i="9"/>
  <c r="I543" i="9"/>
  <c r="I544" i="9"/>
  <c r="I545" i="9"/>
  <c r="I546" i="9"/>
  <c r="I547" i="9"/>
  <c r="I548" i="9"/>
  <c r="I549" i="9"/>
  <c r="I550" i="9"/>
  <c r="I551" i="9"/>
  <c r="I552" i="9"/>
  <c r="I553" i="9"/>
  <c r="I554" i="9"/>
  <c r="I555" i="9"/>
  <c r="I556" i="9"/>
  <c r="I557" i="9"/>
  <c r="I558" i="9"/>
  <c r="I559" i="9"/>
  <c r="I560" i="9"/>
  <c r="I561" i="9"/>
  <c r="I562" i="9"/>
  <c r="I563" i="9"/>
  <c r="I564" i="9"/>
  <c r="I565" i="9"/>
  <c r="I566" i="9"/>
  <c r="I567" i="9"/>
  <c r="I568" i="9"/>
  <c r="I569" i="9"/>
  <c r="I570" i="9"/>
  <c r="I571" i="9"/>
  <c r="I572" i="9"/>
  <c r="I573" i="9"/>
  <c r="I574" i="9"/>
  <c r="I575" i="9"/>
  <c r="I576" i="9"/>
  <c r="I577" i="9"/>
  <c r="I578" i="9"/>
  <c r="I579" i="9"/>
  <c r="I580" i="9"/>
  <c r="I581" i="9"/>
  <c r="I582" i="9"/>
  <c r="I583" i="9"/>
  <c r="I584" i="9"/>
  <c r="I585" i="9"/>
  <c r="I586" i="9"/>
  <c r="I587" i="9"/>
  <c r="I588" i="9"/>
  <c r="I589" i="9"/>
  <c r="I590" i="9"/>
  <c r="I591" i="9"/>
  <c r="I592" i="9"/>
  <c r="I593" i="9"/>
  <c r="I594" i="9"/>
  <c r="I595" i="9"/>
  <c r="I596" i="9"/>
  <c r="I597" i="9"/>
  <c r="I598" i="9"/>
  <c r="I599" i="9"/>
  <c r="I600" i="9"/>
  <c r="I601" i="9"/>
  <c r="I602" i="9"/>
  <c r="I603" i="9"/>
  <c r="I604" i="9"/>
  <c r="I605" i="9"/>
  <c r="I606" i="9"/>
  <c r="I607" i="9"/>
  <c r="I608" i="9"/>
  <c r="I609" i="9"/>
  <c r="I610" i="9"/>
  <c r="I611" i="9"/>
  <c r="I612" i="9"/>
  <c r="I613" i="9"/>
  <c r="I614" i="9"/>
  <c r="I615" i="9"/>
  <c r="I616" i="9"/>
  <c r="I617" i="9"/>
  <c r="I618" i="9"/>
  <c r="I619" i="9"/>
  <c r="I620" i="9"/>
  <c r="I621" i="9"/>
  <c r="I622" i="9"/>
  <c r="I623" i="9"/>
  <c r="I624" i="9"/>
  <c r="I625" i="9"/>
  <c r="I626" i="9"/>
  <c r="I627" i="9"/>
  <c r="I628" i="9"/>
  <c r="I629" i="9"/>
  <c r="I630" i="9"/>
  <c r="I631" i="9"/>
  <c r="I632" i="9"/>
  <c r="I633" i="9"/>
  <c r="I634" i="9"/>
  <c r="I635" i="9"/>
  <c r="I636" i="9"/>
  <c r="I637" i="9"/>
  <c r="I638" i="9"/>
  <c r="I639" i="9"/>
  <c r="I640" i="9"/>
  <c r="I641" i="9"/>
  <c r="I642" i="9"/>
  <c r="I643" i="9"/>
  <c r="I644" i="9"/>
  <c r="I645" i="9"/>
  <c r="I646" i="9"/>
  <c r="I647" i="9"/>
  <c r="I648" i="9"/>
  <c r="I649" i="9"/>
  <c r="I650" i="9"/>
  <c r="I651" i="9"/>
  <c r="I652" i="9"/>
  <c r="I653" i="9"/>
  <c r="I654" i="9"/>
  <c r="I655" i="9"/>
  <c r="I656" i="9"/>
  <c r="I657" i="9"/>
  <c r="I658" i="9"/>
  <c r="I659" i="9"/>
  <c r="I660" i="9"/>
  <c r="I661" i="9"/>
  <c r="I662" i="9"/>
  <c r="I663" i="9"/>
  <c r="I664" i="9"/>
  <c r="I665" i="9"/>
  <c r="I666" i="9"/>
  <c r="I667" i="9"/>
  <c r="I668" i="9"/>
  <c r="I669" i="9"/>
  <c r="I670" i="9"/>
  <c r="I671" i="9"/>
  <c r="I672" i="9"/>
  <c r="I673" i="9"/>
  <c r="I674" i="9"/>
  <c r="I675" i="9"/>
  <c r="I676" i="9"/>
  <c r="I677" i="9"/>
  <c r="I678" i="9"/>
  <c r="I679" i="9"/>
  <c r="I680" i="9"/>
  <c r="I681" i="9"/>
  <c r="I682" i="9"/>
  <c r="I683" i="9"/>
  <c r="I684" i="9"/>
  <c r="I685" i="9"/>
  <c r="I686" i="9"/>
  <c r="I687" i="9"/>
  <c r="I688" i="9"/>
  <c r="I689" i="9"/>
  <c r="I690" i="9"/>
  <c r="I691" i="9"/>
  <c r="I692" i="9"/>
  <c r="I693" i="9"/>
  <c r="I694" i="9"/>
  <c r="I695" i="9"/>
  <c r="I696" i="9"/>
  <c r="I697" i="9"/>
  <c r="I698" i="9"/>
  <c r="I699" i="9"/>
  <c r="I700" i="9"/>
  <c r="I701" i="9"/>
  <c r="I702" i="9"/>
  <c r="I703" i="9"/>
  <c r="I704" i="9"/>
  <c r="I705" i="9"/>
  <c r="I706" i="9"/>
  <c r="I707" i="9"/>
  <c r="I708" i="9"/>
  <c r="I709" i="9"/>
  <c r="I710" i="9"/>
  <c r="I711" i="9"/>
  <c r="I712" i="9"/>
  <c r="I713" i="9"/>
  <c r="I714" i="9"/>
  <c r="I715" i="9"/>
  <c r="I716" i="9"/>
  <c r="I717" i="9"/>
  <c r="I718" i="9"/>
  <c r="I719" i="9"/>
  <c r="I720" i="9"/>
  <c r="I721" i="9"/>
  <c r="I722" i="9"/>
  <c r="I723" i="9"/>
  <c r="I724" i="9"/>
  <c r="I725" i="9"/>
  <c r="I726" i="9"/>
  <c r="I727" i="9"/>
  <c r="I728" i="9"/>
  <c r="I729" i="9"/>
  <c r="I730" i="9"/>
  <c r="I731" i="9"/>
  <c r="I732" i="9"/>
  <c r="I733" i="9"/>
  <c r="I734" i="9"/>
  <c r="I735" i="9"/>
  <c r="I736" i="9"/>
  <c r="I737" i="9"/>
  <c r="I738" i="9"/>
  <c r="I739" i="9"/>
  <c r="I740" i="9"/>
  <c r="I741" i="9"/>
  <c r="I742" i="9"/>
  <c r="I743" i="9"/>
  <c r="I744" i="9"/>
  <c r="I745" i="9"/>
  <c r="I746" i="9"/>
  <c r="I747" i="9"/>
  <c r="I748" i="9"/>
  <c r="I749" i="9"/>
  <c r="I750" i="9"/>
  <c r="I751" i="9"/>
  <c r="I752" i="9"/>
  <c r="I753" i="9"/>
  <c r="I754" i="9"/>
  <c r="I755" i="9"/>
  <c r="I756" i="9"/>
  <c r="I757" i="9"/>
  <c r="I758" i="9"/>
  <c r="I759" i="9"/>
  <c r="I760" i="9"/>
  <c r="I761" i="9"/>
  <c r="I762" i="9"/>
  <c r="I763" i="9"/>
  <c r="I764" i="9"/>
  <c r="I765" i="9"/>
  <c r="I766" i="9"/>
  <c r="I767" i="9"/>
  <c r="I768" i="9"/>
  <c r="I769" i="9"/>
  <c r="I770" i="9"/>
  <c r="I771" i="9"/>
  <c r="I772" i="9"/>
  <c r="I773" i="9"/>
  <c r="I774" i="9"/>
  <c r="I775" i="9"/>
  <c r="I776" i="9"/>
  <c r="I777" i="9"/>
  <c r="I778" i="9"/>
  <c r="I779" i="9"/>
  <c r="I780" i="9"/>
  <c r="I781" i="9"/>
  <c r="I782" i="9"/>
  <c r="I783" i="9"/>
  <c r="I784" i="9"/>
  <c r="I785" i="9"/>
  <c r="I786" i="9"/>
  <c r="I787" i="9"/>
  <c r="I788" i="9"/>
  <c r="I789" i="9"/>
  <c r="I790" i="9"/>
  <c r="I791" i="9"/>
  <c r="I792" i="9"/>
  <c r="I793" i="9"/>
  <c r="I794" i="9"/>
  <c r="I795" i="9"/>
  <c r="I796" i="9"/>
  <c r="I797" i="9"/>
  <c r="I798" i="9"/>
  <c r="I799" i="9"/>
  <c r="I800" i="9"/>
  <c r="I801" i="9"/>
  <c r="I802" i="9"/>
  <c r="I803" i="9"/>
  <c r="I804" i="9"/>
  <c r="I805" i="9"/>
  <c r="I806" i="9"/>
  <c r="I807" i="9"/>
  <c r="I808" i="9"/>
  <c r="I809" i="9"/>
  <c r="I810" i="9"/>
  <c r="I811" i="9"/>
  <c r="I812" i="9"/>
  <c r="I813" i="9"/>
  <c r="I814" i="9"/>
  <c r="I815" i="9"/>
  <c r="I816" i="9"/>
  <c r="I817" i="9"/>
  <c r="I818" i="9"/>
  <c r="I819" i="9"/>
  <c r="I820" i="9"/>
  <c r="I821" i="9"/>
  <c r="I822" i="9"/>
  <c r="I823" i="9"/>
  <c r="I824" i="9"/>
  <c r="I825" i="9"/>
  <c r="I826" i="9"/>
  <c r="I827" i="9"/>
  <c r="I828" i="9"/>
  <c r="I829" i="9"/>
  <c r="I830" i="9"/>
  <c r="I831" i="9"/>
  <c r="I832" i="9"/>
  <c r="I833" i="9"/>
  <c r="I834" i="9"/>
  <c r="I835" i="9"/>
  <c r="I836" i="9"/>
  <c r="I837" i="9"/>
  <c r="I838" i="9"/>
  <c r="I839" i="9"/>
  <c r="I840" i="9"/>
  <c r="I841" i="9"/>
  <c r="I842" i="9"/>
  <c r="I843" i="9"/>
  <c r="I844" i="9"/>
  <c r="I845" i="9"/>
  <c r="I846" i="9"/>
  <c r="I847" i="9"/>
  <c r="I848" i="9"/>
  <c r="I849" i="9"/>
  <c r="I850" i="9"/>
  <c r="I851" i="9"/>
  <c r="I852" i="9"/>
  <c r="I853" i="9"/>
  <c r="I854" i="9"/>
  <c r="I855" i="9"/>
  <c r="I856" i="9"/>
  <c r="I857" i="9"/>
  <c r="I858" i="9"/>
  <c r="I859" i="9"/>
  <c r="I860" i="9"/>
  <c r="I861" i="9"/>
  <c r="I862" i="9"/>
  <c r="I863" i="9"/>
  <c r="I864" i="9"/>
  <c r="I865" i="9"/>
  <c r="I866" i="9"/>
  <c r="I867" i="9"/>
  <c r="I868" i="9"/>
  <c r="I869" i="9"/>
  <c r="I870" i="9"/>
  <c r="I871" i="9"/>
  <c r="I872" i="9"/>
  <c r="I873" i="9"/>
  <c r="I874" i="9"/>
  <c r="I875" i="9"/>
  <c r="I876" i="9"/>
  <c r="I877" i="9"/>
  <c r="I878" i="9"/>
  <c r="I879" i="9"/>
  <c r="I880" i="9"/>
  <c r="I881" i="9"/>
  <c r="I882" i="9"/>
  <c r="I883" i="9"/>
  <c r="I884" i="9"/>
  <c r="I885" i="9"/>
  <c r="I886" i="9"/>
  <c r="I887" i="9"/>
  <c r="I888" i="9"/>
  <c r="I889" i="9"/>
  <c r="I890" i="9"/>
  <c r="I891" i="9"/>
  <c r="I892" i="9"/>
  <c r="I893" i="9"/>
  <c r="I894" i="9"/>
  <c r="I895" i="9"/>
  <c r="I896" i="9"/>
  <c r="I897" i="9"/>
  <c r="I898" i="9"/>
  <c r="I899" i="9"/>
  <c r="I900" i="9"/>
  <c r="I901" i="9"/>
  <c r="I902" i="9"/>
  <c r="I903" i="9"/>
  <c r="I904" i="9"/>
  <c r="I905" i="9"/>
  <c r="I906" i="9"/>
  <c r="I907" i="9"/>
  <c r="I908" i="9"/>
  <c r="I909" i="9"/>
  <c r="I910" i="9"/>
  <c r="I911" i="9"/>
  <c r="I912" i="9"/>
  <c r="I913" i="9"/>
  <c r="I914" i="9"/>
  <c r="I915" i="9"/>
  <c r="I916" i="9"/>
  <c r="I917" i="9"/>
  <c r="I918" i="9"/>
  <c r="I919" i="9"/>
  <c r="I920" i="9"/>
  <c r="I921" i="9"/>
  <c r="I922" i="9"/>
  <c r="I923" i="9"/>
  <c r="I924" i="9"/>
  <c r="I925" i="9"/>
  <c r="I926" i="9"/>
  <c r="I927" i="9"/>
  <c r="I928" i="9"/>
  <c r="I929" i="9"/>
  <c r="I930" i="9"/>
  <c r="I931" i="9"/>
  <c r="I932" i="9"/>
  <c r="I933" i="9"/>
  <c r="I934" i="9"/>
  <c r="I935" i="9"/>
  <c r="I936" i="9"/>
  <c r="I937" i="9"/>
  <c r="I938" i="9"/>
  <c r="I939" i="9"/>
  <c r="I940" i="9"/>
  <c r="I941" i="9"/>
  <c r="I942" i="9"/>
  <c r="I943" i="9"/>
  <c r="I944" i="9"/>
  <c r="I945" i="9"/>
  <c r="I946" i="9"/>
  <c r="I947" i="9"/>
  <c r="I948" i="9"/>
  <c r="I949" i="9"/>
  <c r="I950" i="9"/>
  <c r="I951" i="9"/>
  <c r="I952" i="9"/>
  <c r="I953" i="9"/>
  <c r="I954" i="9"/>
  <c r="I955" i="9"/>
  <c r="I956" i="9"/>
  <c r="I957" i="9"/>
  <c r="I958" i="9"/>
  <c r="I959" i="9"/>
  <c r="I960" i="9"/>
  <c r="I961" i="9"/>
  <c r="I962" i="9"/>
  <c r="I963" i="9"/>
  <c r="I964" i="9"/>
  <c r="I965" i="9"/>
  <c r="I966" i="9"/>
  <c r="I967" i="9"/>
  <c r="I968" i="9"/>
  <c r="I969" i="9"/>
  <c r="I970" i="9"/>
  <c r="I971" i="9"/>
  <c r="I972" i="9"/>
  <c r="I973" i="9"/>
  <c r="I974" i="9"/>
  <c r="I975" i="9"/>
  <c r="I976" i="9"/>
  <c r="I977" i="9"/>
  <c r="I978" i="9"/>
  <c r="I979" i="9"/>
  <c r="I980" i="9"/>
  <c r="I981" i="9"/>
  <c r="I982" i="9"/>
  <c r="I983" i="9"/>
  <c r="I2" i="9"/>
  <c r="H3" i="9"/>
  <c r="H4" i="9"/>
  <c r="H5" i="9"/>
  <c r="H6"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167" i="9"/>
  <c r="H168" i="9"/>
  <c r="H169" i="9"/>
  <c r="H170" i="9"/>
  <c r="H171" i="9"/>
  <c r="H172" i="9"/>
  <c r="H173" i="9"/>
  <c r="H174" i="9"/>
  <c r="H175" i="9"/>
  <c r="H176" i="9"/>
  <c r="H177" i="9"/>
  <c r="H178" i="9"/>
  <c r="H179" i="9"/>
  <c r="H180" i="9"/>
  <c r="H181" i="9"/>
  <c r="H182" i="9"/>
  <c r="H183" i="9"/>
  <c r="H184" i="9"/>
  <c r="H185" i="9"/>
  <c r="H186" i="9"/>
  <c r="H187" i="9"/>
  <c r="H188" i="9"/>
  <c r="H189" i="9"/>
  <c r="H190" i="9"/>
  <c r="H191" i="9"/>
  <c r="H192" i="9"/>
  <c r="H193" i="9"/>
  <c r="H194" i="9"/>
  <c r="H195" i="9"/>
  <c r="H196" i="9"/>
  <c r="H197" i="9"/>
  <c r="H198" i="9"/>
  <c r="H199" i="9"/>
  <c r="H200" i="9"/>
  <c r="H201" i="9"/>
  <c r="H202" i="9"/>
  <c r="H203" i="9"/>
  <c r="H204" i="9"/>
  <c r="H205" i="9"/>
  <c r="H206" i="9"/>
  <c r="H207" i="9"/>
  <c r="H208" i="9"/>
  <c r="H209" i="9"/>
  <c r="H210" i="9"/>
  <c r="H211" i="9"/>
  <c r="H212" i="9"/>
  <c r="H213" i="9"/>
  <c r="H214" i="9"/>
  <c r="H215" i="9"/>
  <c r="H216" i="9"/>
  <c r="H217" i="9"/>
  <c r="H218" i="9"/>
  <c r="H219" i="9"/>
  <c r="H220" i="9"/>
  <c r="H221" i="9"/>
  <c r="H222" i="9"/>
  <c r="H223" i="9"/>
  <c r="H224" i="9"/>
  <c r="H225" i="9"/>
  <c r="H226" i="9"/>
  <c r="H227" i="9"/>
  <c r="H228" i="9"/>
  <c r="H229" i="9"/>
  <c r="H230" i="9"/>
  <c r="H231" i="9"/>
  <c r="H232" i="9"/>
  <c r="H233" i="9"/>
  <c r="H234" i="9"/>
  <c r="H235" i="9"/>
  <c r="H236" i="9"/>
  <c r="H237" i="9"/>
  <c r="H238" i="9"/>
  <c r="H239" i="9"/>
  <c r="H240" i="9"/>
  <c r="H241" i="9"/>
  <c r="H242" i="9"/>
  <c r="H243" i="9"/>
  <c r="H244" i="9"/>
  <c r="H245" i="9"/>
  <c r="H246" i="9"/>
  <c r="H247" i="9"/>
  <c r="H248" i="9"/>
  <c r="H249" i="9"/>
  <c r="H250" i="9"/>
  <c r="H251" i="9"/>
  <c r="H252" i="9"/>
  <c r="H253" i="9"/>
  <c r="H254" i="9"/>
  <c r="H255" i="9"/>
  <c r="H256" i="9"/>
  <c r="H257" i="9"/>
  <c r="H258" i="9"/>
  <c r="H259" i="9"/>
  <c r="H260" i="9"/>
  <c r="H261" i="9"/>
  <c r="H262" i="9"/>
  <c r="H263" i="9"/>
  <c r="H264" i="9"/>
  <c r="H265" i="9"/>
  <c r="H266" i="9"/>
  <c r="H267" i="9"/>
  <c r="H268" i="9"/>
  <c r="H269" i="9"/>
  <c r="H270" i="9"/>
  <c r="H271" i="9"/>
  <c r="H272" i="9"/>
  <c r="H273" i="9"/>
  <c r="H274" i="9"/>
  <c r="H275" i="9"/>
  <c r="H276" i="9"/>
  <c r="H277" i="9"/>
  <c r="H278" i="9"/>
  <c r="H279" i="9"/>
  <c r="H280" i="9"/>
  <c r="H281" i="9"/>
  <c r="H282" i="9"/>
  <c r="H283" i="9"/>
  <c r="H284" i="9"/>
  <c r="H285" i="9"/>
  <c r="H286" i="9"/>
  <c r="H287" i="9"/>
  <c r="H288" i="9"/>
  <c r="H289" i="9"/>
  <c r="H290" i="9"/>
  <c r="H291" i="9"/>
  <c r="H292" i="9"/>
  <c r="H293" i="9"/>
  <c r="H294" i="9"/>
  <c r="H295" i="9"/>
  <c r="H296" i="9"/>
  <c r="H297" i="9"/>
  <c r="H298" i="9"/>
  <c r="H299" i="9"/>
  <c r="H300" i="9"/>
  <c r="H301" i="9"/>
  <c r="H302" i="9"/>
  <c r="H303" i="9"/>
  <c r="H304" i="9"/>
  <c r="H305" i="9"/>
  <c r="H306" i="9"/>
  <c r="H307" i="9"/>
  <c r="H308" i="9"/>
  <c r="H309" i="9"/>
  <c r="H310" i="9"/>
  <c r="H311" i="9"/>
  <c r="H312" i="9"/>
  <c r="H313" i="9"/>
  <c r="H314" i="9"/>
  <c r="H315" i="9"/>
  <c r="H316" i="9"/>
  <c r="H317" i="9"/>
  <c r="H318" i="9"/>
  <c r="H319" i="9"/>
  <c r="H320" i="9"/>
  <c r="H321" i="9"/>
  <c r="H322" i="9"/>
  <c r="H323" i="9"/>
  <c r="H324" i="9"/>
  <c r="H325" i="9"/>
  <c r="H326" i="9"/>
  <c r="H327" i="9"/>
  <c r="H328" i="9"/>
  <c r="H329" i="9"/>
  <c r="H330" i="9"/>
  <c r="H331" i="9"/>
  <c r="H332" i="9"/>
  <c r="H333" i="9"/>
  <c r="H334" i="9"/>
  <c r="H335" i="9"/>
  <c r="H336" i="9"/>
  <c r="H337" i="9"/>
  <c r="H338" i="9"/>
  <c r="H339" i="9"/>
  <c r="H340" i="9"/>
  <c r="H341" i="9"/>
  <c r="H342" i="9"/>
  <c r="H343" i="9"/>
  <c r="H344" i="9"/>
  <c r="H345" i="9"/>
  <c r="H346" i="9"/>
  <c r="H347" i="9"/>
  <c r="H348" i="9"/>
  <c r="H349" i="9"/>
  <c r="H350" i="9"/>
  <c r="H351" i="9"/>
  <c r="H352" i="9"/>
  <c r="H353" i="9"/>
  <c r="H354" i="9"/>
  <c r="H355" i="9"/>
  <c r="H356" i="9"/>
  <c r="H357" i="9"/>
  <c r="H358" i="9"/>
  <c r="H359" i="9"/>
  <c r="H360" i="9"/>
  <c r="H361" i="9"/>
  <c r="H362" i="9"/>
  <c r="H363" i="9"/>
  <c r="H364" i="9"/>
  <c r="H365" i="9"/>
  <c r="H366" i="9"/>
  <c r="H367" i="9"/>
  <c r="H368" i="9"/>
  <c r="H369" i="9"/>
  <c r="H370" i="9"/>
  <c r="H371" i="9"/>
  <c r="H372" i="9"/>
  <c r="H373" i="9"/>
  <c r="H374" i="9"/>
  <c r="H375" i="9"/>
  <c r="H376" i="9"/>
  <c r="H377" i="9"/>
  <c r="H378" i="9"/>
  <c r="H379" i="9"/>
  <c r="H380" i="9"/>
  <c r="H381" i="9"/>
  <c r="H382" i="9"/>
  <c r="H383" i="9"/>
  <c r="H384" i="9"/>
  <c r="H385" i="9"/>
  <c r="H386" i="9"/>
  <c r="H387" i="9"/>
  <c r="H388" i="9"/>
  <c r="H389" i="9"/>
  <c r="H390" i="9"/>
  <c r="H391" i="9"/>
  <c r="H392" i="9"/>
  <c r="H393" i="9"/>
  <c r="H394" i="9"/>
  <c r="H395" i="9"/>
  <c r="H396" i="9"/>
  <c r="H397" i="9"/>
  <c r="H398" i="9"/>
  <c r="H399" i="9"/>
  <c r="H400" i="9"/>
  <c r="H401" i="9"/>
  <c r="H402" i="9"/>
  <c r="H403" i="9"/>
  <c r="H404" i="9"/>
  <c r="H405" i="9"/>
  <c r="H406" i="9"/>
  <c r="H407" i="9"/>
  <c r="H408" i="9"/>
  <c r="H409" i="9"/>
  <c r="H410" i="9"/>
  <c r="H411" i="9"/>
  <c r="H412" i="9"/>
  <c r="H413" i="9"/>
  <c r="H414" i="9"/>
  <c r="H415" i="9"/>
  <c r="H416" i="9"/>
  <c r="H417" i="9"/>
  <c r="H418" i="9"/>
  <c r="H419" i="9"/>
  <c r="H420" i="9"/>
  <c r="H421" i="9"/>
  <c r="H422" i="9"/>
  <c r="H423" i="9"/>
  <c r="H424" i="9"/>
  <c r="H425" i="9"/>
  <c r="H426" i="9"/>
  <c r="H427" i="9"/>
  <c r="H428" i="9"/>
  <c r="H429" i="9"/>
  <c r="H430" i="9"/>
  <c r="H431" i="9"/>
  <c r="H432" i="9"/>
  <c r="H433" i="9"/>
  <c r="H434" i="9"/>
  <c r="H435" i="9"/>
  <c r="H436" i="9"/>
  <c r="H437" i="9"/>
  <c r="H438" i="9"/>
  <c r="H439" i="9"/>
  <c r="H440" i="9"/>
  <c r="H441" i="9"/>
  <c r="H442" i="9"/>
  <c r="H443" i="9"/>
  <c r="H444" i="9"/>
  <c r="H445" i="9"/>
  <c r="H446" i="9"/>
  <c r="H447" i="9"/>
  <c r="H448" i="9"/>
  <c r="H449" i="9"/>
  <c r="H450" i="9"/>
  <c r="H451" i="9"/>
  <c r="H452" i="9"/>
  <c r="H453" i="9"/>
  <c r="H454" i="9"/>
  <c r="H455" i="9"/>
  <c r="H456" i="9"/>
  <c r="H457" i="9"/>
  <c r="H458" i="9"/>
  <c r="H459" i="9"/>
  <c r="H460" i="9"/>
  <c r="H461" i="9"/>
  <c r="H462" i="9"/>
  <c r="H463" i="9"/>
  <c r="H464" i="9"/>
  <c r="H465" i="9"/>
  <c r="H466" i="9"/>
  <c r="H467" i="9"/>
  <c r="H468" i="9"/>
  <c r="H469" i="9"/>
  <c r="H470" i="9"/>
  <c r="H471" i="9"/>
  <c r="H472" i="9"/>
  <c r="H473" i="9"/>
  <c r="H474" i="9"/>
  <c r="H475" i="9"/>
  <c r="H476" i="9"/>
  <c r="H477" i="9"/>
  <c r="H478" i="9"/>
  <c r="H479" i="9"/>
  <c r="H480" i="9"/>
  <c r="H481" i="9"/>
  <c r="H482" i="9"/>
  <c r="H483" i="9"/>
  <c r="H484" i="9"/>
  <c r="H485" i="9"/>
  <c r="H486" i="9"/>
  <c r="H487" i="9"/>
  <c r="H488" i="9"/>
  <c r="H489" i="9"/>
  <c r="H490" i="9"/>
  <c r="H491" i="9"/>
  <c r="H492" i="9"/>
  <c r="H493" i="9"/>
  <c r="H494" i="9"/>
  <c r="H495" i="9"/>
  <c r="H496" i="9"/>
  <c r="H497" i="9"/>
  <c r="H498" i="9"/>
  <c r="H499" i="9"/>
  <c r="H500" i="9"/>
  <c r="H501" i="9"/>
  <c r="H502" i="9"/>
  <c r="H503" i="9"/>
  <c r="H504" i="9"/>
  <c r="H505" i="9"/>
  <c r="H506" i="9"/>
  <c r="H507" i="9"/>
  <c r="H508" i="9"/>
  <c r="H509" i="9"/>
  <c r="H510" i="9"/>
  <c r="H511" i="9"/>
  <c r="H512" i="9"/>
  <c r="H513" i="9"/>
  <c r="H514" i="9"/>
  <c r="H515" i="9"/>
  <c r="H516" i="9"/>
  <c r="H517" i="9"/>
  <c r="H518" i="9"/>
  <c r="H519" i="9"/>
  <c r="H520" i="9"/>
  <c r="H521" i="9"/>
  <c r="H522" i="9"/>
  <c r="H523" i="9"/>
  <c r="H524" i="9"/>
  <c r="H525" i="9"/>
  <c r="H526" i="9"/>
  <c r="H527" i="9"/>
  <c r="H528" i="9"/>
  <c r="H529" i="9"/>
  <c r="H530" i="9"/>
  <c r="H531" i="9"/>
  <c r="H532" i="9"/>
  <c r="H533" i="9"/>
  <c r="H534" i="9"/>
  <c r="H535" i="9"/>
  <c r="H536" i="9"/>
  <c r="H537" i="9"/>
  <c r="H538" i="9"/>
  <c r="H539" i="9"/>
  <c r="H540" i="9"/>
  <c r="H541" i="9"/>
  <c r="H542" i="9"/>
  <c r="H543" i="9"/>
  <c r="H544" i="9"/>
  <c r="H545" i="9"/>
  <c r="H546" i="9"/>
  <c r="H547" i="9"/>
  <c r="H548" i="9"/>
  <c r="H549" i="9"/>
  <c r="H550" i="9"/>
  <c r="H551" i="9"/>
  <c r="H552" i="9"/>
  <c r="H553" i="9"/>
  <c r="H554" i="9"/>
  <c r="H555" i="9"/>
  <c r="H556" i="9"/>
  <c r="H557" i="9"/>
  <c r="H558" i="9"/>
  <c r="H559" i="9"/>
  <c r="H560" i="9"/>
  <c r="H561" i="9"/>
  <c r="H562" i="9"/>
  <c r="H563" i="9"/>
  <c r="H564" i="9"/>
  <c r="H565" i="9"/>
  <c r="H566" i="9"/>
  <c r="H567" i="9"/>
  <c r="H568" i="9"/>
  <c r="H569" i="9"/>
  <c r="H570" i="9"/>
  <c r="H571" i="9"/>
  <c r="H572" i="9"/>
  <c r="H573" i="9"/>
  <c r="H574" i="9"/>
  <c r="H575" i="9"/>
  <c r="H576" i="9"/>
  <c r="H577" i="9"/>
  <c r="H578" i="9"/>
  <c r="H579" i="9"/>
  <c r="H580" i="9"/>
  <c r="H581" i="9"/>
  <c r="H582" i="9"/>
  <c r="H583" i="9"/>
  <c r="H584" i="9"/>
  <c r="H585" i="9"/>
  <c r="H586" i="9"/>
  <c r="H587" i="9"/>
  <c r="H588" i="9"/>
  <c r="H589" i="9"/>
  <c r="H590" i="9"/>
  <c r="H591" i="9"/>
  <c r="H592" i="9"/>
  <c r="H593" i="9"/>
  <c r="H594" i="9"/>
  <c r="H595" i="9"/>
  <c r="H596" i="9"/>
  <c r="H597" i="9"/>
  <c r="H598" i="9"/>
  <c r="H599" i="9"/>
  <c r="H600" i="9"/>
  <c r="H601" i="9"/>
  <c r="H602" i="9"/>
  <c r="H603" i="9"/>
  <c r="H604" i="9"/>
  <c r="H605" i="9"/>
  <c r="H606" i="9"/>
  <c r="H607" i="9"/>
  <c r="H608" i="9"/>
  <c r="H609" i="9"/>
  <c r="H610" i="9"/>
  <c r="H611" i="9"/>
  <c r="H612" i="9"/>
  <c r="H613" i="9"/>
  <c r="H614" i="9"/>
  <c r="H615" i="9"/>
  <c r="H616" i="9"/>
  <c r="H617" i="9"/>
  <c r="H618" i="9"/>
  <c r="H619" i="9"/>
  <c r="H620" i="9"/>
  <c r="H621" i="9"/>
  <c r="H622" i="9"/>
  <c r="H623" i="9"/>
  <c r="H624" i="9"/>
  <c r="H625" i="9"/>
  <c r="H626" i="9"/>
  <c r="H627" i="9"/>
  <c r="H628" i="9"/>
  <c r="H629" i="9"/>
  <c r="H630" i="9"/>
  <c r="H631" i="9"/>
  <c r="H632" i="9"/>
  <c r="H633" i="9"/>
  <c r="H634" i="9"/>
  <c r="H635" i="9"/>
  <c r="H636" i="9"/>
  <c r="H637" i="9"/>
  <c r="H638" i="9"/>
  <c r="H639" i="9"/>
  <c r="H640" i="9"/>
  <c r="H641" i="9"/>
  <c r="H642" i="9"/>
  <c r="H643" i="9"/>
  <c r="H644" i="9"/>
  <c r="H645" i="9"/>
  <c r="H646" i="9"/>
  <c r="H647" i="9"/>
  <c r="H648" i="9"/>
  <c r="H649" i="9"/>
  <c r="H650" i="9"/>
  <c r="H651" i="9"/>
  <c r="H652" i="9"/>
  <c r="H653" i="9"/>
  <c r="H654" i="9"/>
  <c r="H655" i="9"/>
  <c r="H656" i="9"/>
  <c r="H657" i="9"/>
  <c r="H658" i="9"/>
  <c r="H659" i="9"/>
  <c r="H660" i="9"/>
  <c r="H661" i="9"/>
  <c r="H662" i="9"/>
  <c r="H663" i="9"/>
  <c r="H664" i="9"/>
  <c r="H665" i="9"/>
  <c r="H666" i="9"/>
  <c r="H667" i="9"/>
  <c r="H668" i="9"/>
  <c r="H669" i="9"/>
  <c r="H670" i="9"/>
  <c r="H671" i="9"/>
  <c r="H672" i="9"/>
  <c r="H673" i="9"/>
  <c r="H674" i="9"/>
  <c r="H675" i="9"/>
  <c r="H676" i="9"/>
  <c r="H677" i="9"/>
  <c r="H678" i="9"/>
  <c r="H679" i="9"/>
  <c r="H680" i="9"/>
  <c r="H681" i="9"/>
  <c r="H682" i="9"/>
  <c r="H683" i="9"/>
  <c r="H684" i="9"/>
  <c r="H685" i="9"/>
  <c r="H686" i="9"/>
  <c r="H687" i="9"/>
  <c r="H688" i="9"/>
  <c r="H689" i="9"/>
  <c r="H690" i="9"/>
  <c r="H691" i="9"/>
  <c r="H692" i="9"/>
  <c r="H693" i="9"/>
  <c r="H694" i="9"/>
  <c r="H695" i="9"/>
  <c r="H696" i="9"/>
  <c r="H697" i="9"/>
  <c r="H698" i="9"/>
  <c r="H699" i="9"/>
  <c r="H700" i="9"/>
  <c r="H701" i="9"/>
  <c r="H702" i="9"/>
  <c r="H703" i="9"/>
  <c r="H704" i="9"/>
  <c r="H705" i="9"/>
  <c r="H706" i="9"/>
  <c r="H707" i="9"/>
  <c r="H708" i="9"/>
  <c r="H709" i="9"/>
  <c r="H710" i="9"/>
  <c r="H711" i="9"/>
  <c r="H712" i="9"/>
  <c r="H713" i="9"/>
  <c r="H714" i="9"/>
  <c r="H715" i="9"/>
  <c r="H716" i="9"/>
  <c r="H717" i="9"/>
  <c r="H718" i="9"/>
  <c r="H719" i="9"/>
  <c r="H720" i="9"/>
  <c r="H721" i="9"/>
  <c r="H722" i="9"/>
  <c r="H723" i="9"/>
  <c r="H724" i="9"/>
  <c r="H725" i="9"/>
  <c r="H726" i="9"/>
  <c r="H727" i="9"/>
  <c r="H728" i="9"/>
  <c r="H729" i="9"/>
  <c r="H730" i="9"/>
  <c r="H731" i="9"/>
  <c r="H732" i="9"/>
  <c r="H733" i="9"/>
  <c r="H734" i="9"/>
  <c r="H735" i="9"/>
  <c r="H736" i="9"/>
  <c r="H737" i="9"/>
  <c r="H738" i="9"/>
  <c r="H739" i="9"/>
  <c r="H740" i="9"/>
  <c r="H741" i="9"/>
  <c r="H742" i="9"/>
  <c r="H743" i="9"/>
  <c r="H744" i="9"/>
  <c r="H745" i="9"/>
  <c r="H746" i="9"/>
  <c r="H747" i="9"/>
  <c r="H748" i="9"/>
  <c r="H749" i="9"/>
  <c r="H750" i="9"/>
  <c r="H751" i="9"/>
  <c r="H752" i="9"/>
  <c r="H753" i="9"/>
  <c r="H754" i="9"/>
  <c r="H755" i="9"/>
  <c r="H756" i="9"/>
  <c r="H757" i="9"/>
  <c r="H758" i="9"/>
  <c r="H759" i="9"/>
  <c r="H760" i="9"/>
  <c r="H761" i="9"/>
  <c r="H762" i="9"/>
  <c r="H763" i="9"/>
  <c r="H764" i="9"/>
  <c r="H765" i="9"/>
  <c r="H766" i="9"/>
  <c r="H767" i="9"/>
  <c r="H768" i="9"/>
  <c r="H769" i="9"/>
  <c r="H770" i="9"/>
  <c r="H771" i="9"/>
  <c r="H772" i="9"/>
  <c r="H773" i="9"/>
  <c r="H774" i="9"/>
  <c r="H775" i="9"/>
  <c r="H776" i="9"/>
  <c r="H777" i="9"/>
  <c r="H778" i="9"/>
  <c r="H779" i="9"/>
  <c r="H780" i="9"/>
  <c r="H781" i="9"/>
  <c r="H782" i="9"/>
  <c r="H783" i="9"/>
  <c r="H784" i="9"/>
  <c r="H785" i="9"/>
  <c r="H786" i="9"/>
  <c r="H787" i="9"/>
  <c r="H788" i="9"/>
  <c r="H789" i="9"/>
  <c r="H790" i="9"/>
  <c r="H791" i="9"/>
  <c r="H792" i="9"/>
  <c r="H793" i="9"/>
  <c r="H794" i="9"/>
  <c r="H795" i="9"/>
  <c r="H796" i="9"/>
  <c r="H797" i="9"/>
  <c r="H798" i="9"/>
  <c r="H799" i="9"/>
  <c r="H800" i="9"/>
  <c r="H801" i="9"/>
  <c r="H802" i="9"/>
  <c r="H803" i="9"/>
  <c r="H804" i="9"/>
  <c r="H805" i="9"/>
  <c r="H806" i="9"/>
  <c r="H807" i="9"/>
  <c r="H808" i="9"/>
  <c r="H809" i="9"/>
  <c r="H810" i="9"/>
  <c r="H811" i="9"/>
  <c r="H812" i="9"/>
  <c r="H813" i="9"/>
  <c r="H814" i="9"/>
  <c r="H815" i="9"/>
  <c r="H816" i="9"/>
  <c r="H817" i="9"/>
  <c r="H818" i="9"/>
  <c r="H819" i="9"/>
  <c r="H820" i="9"/>
  <c r="H821" i="9"/>
  <c r="H822" i="9"/>
  <c r="H823" i="9"/>
  <c r="H824" i="9"/>
  <c r="H825" i="9"/>
  <c r="H826" i="9"/>
  <c r="H827" i="9"/>
  <c r="H828" i="9"/>
  <c r="H829" i="9"/>
  <c r="H830" i="9"/>
  <c r="H831" i="9"/>
  <c r="H832" i="9"/>
  <c r="H833" i="9"/>
  <c r="H834" i="9"/>
  <c r="H835" i="9"/>
  <c r="H836" i="9"/>
  <c r="H837" i="9"/>
  <c r="H838" i="9"/>
  <c r="H839" i="9"/>
  <c r="H840" i="9"/>
  <c r="H841" i="9"/>
  <c r="H842" i="9"/>
  <c r="H843" i="9"/>
  <c r="H844" i="9"/>
  <c r="H845" i="9"/>
  <c r="H846" i="9"/>
  <c r="H847" i="9"/>
  <c r="H848" i="9"/>
  <c r="H849" i="9"/>
  <c r="H850" i="9"/>
  <c r="H851" i="9"/>
  <c r="H852" i="9"/>
  <c r="H853" i="9"/>
  <c r="H854" i="9"/>
  <c r="H855" i="9"/>
  <c r="H856" i="9"/>
  <c r="H857" i="9"/>
  <c r="H858" i="9"/>
  <c r="H859" i="9"/>
  <c r="H860" i="9"/>
  <c r="H861" i="9"/>
  <c r="H862" i="9"/>
  <c r="H863" i="9"/>
  <c r="H864" i="9"/>
  <c r="H865" i="9"/>
  <c r="H866" i="9"/>
  <c r="H867" i="9"/>
  <c r="H868" i="9"/>
  <c r="H869" i="9"/>
  <c r="H870" i="9"/>
  <c r="H871" i="9"/>
  <c r="H872" i="9"/>
  <c r="H873" i="9"/>
  <c r="H874" i="9"/>
  <c r="H875" i="9"/>
  <c r="H876" i="9"/>
  <c r="H877" i="9"/>
  <c r="H878" i="9"/>
  <c r="H879" i="9"/>
  <c r="H880" i="9"/>
  <c r="H881" i="9"/>
  <c r="H882" i="9"/>
  <c r="H883" i="9"/>
  <c r="H884" i="9"/>
  <c r="H885" i="9"/>
  <c r="H886" i="9"/>
  <c r="H887" i="9"/>
  <c r="H888" i="9"/>
  <c r="H889" i="9"/>
  <c r="H890" i="9"/>
  <c r="H891" i="9"/>
  <c r="H892" i="9"/>
  <c r="H893" i="9"/>
  <c r="H894" i="9"/>
  <c r="H895" i="9"/>
  <c r="H896" i="9"/>
  <c r="H897" i="9"/>
  <c r="H898" i="9"/>
  <c r="H899" i="9"/>
  <c r="H900" i="9"/>
  <c r="H901" i="9"/>
  <c r="H902" i="9"/>
  <c r="H903" i="9"/>
  <c r="H904" i="9"/>
  <c r="H905" i="9"/>
  <c r="H906" i="9"/>
  <c r="H907" i="9"/>
  <c r="H908" i="9"/>
  <c r="H909" i="9"/>
  <c r="H910" i="9"/>
  <c r="H911" i="9"/>
  <c r="H912" i="9"/>
  <c r="H913" i="9"/>
  <c r="H914" i="9"/>
  <c r="H915" i="9"/>
  <c r="H916" i="9"/>
  <c r="H917" i="9"/>
  <c r="H918" i="9"/>
  <c r="H919" i="9"/>
  <c r="H920" i="9"/>
  <c r="H921" i="9"/>
  <c r="H922" i="9"/>
  <c r="H923" i="9"/>
  <c r="H924" i="9"/>
  <c r="H925" i="9"/>
  <c r="H926" i="9"/>
  <c r="H927" i="9"/>
  <c r="H928" i="9"/>
  <c r="H929" i="9"/>
  <c r="H930" i="9"/>
  <c r="H931" i="9"/>
  <c r="H932" i="9"/>
  <c r="H933" i="9"/>
  <c r="H934" i="9"/>
  <c r="H935" i="9"/>
  <c r="H936" i="9"/>
  <c r="H937" i="9"/>
  <c r="H938" i="9"/>
  <c r="H939" i="9"/>
  <c r="H940" i="9"/>
  <c r="H941" i="9"/>
  <c r="H942" i="9"/>
  <c r="H943" i="9"/>
  <c r="H944" i="9"/>
  <c r="H945" i="9"/>
  <c r="H946" i="9"/>
  <c r="H947" i="9"/>
  <c r="H948" i="9"/>
  <c r="H949" i="9"/>
  <c r="H950" i="9"/>
  <c r="H951" i="9"/>
  <c r="H952" i="9"/>
  <c r="H953" i="9"/>
  <c r="H954" i="9"/>
  <c r="H955" i="9"/>
  <c r="H956" i="9"/>
  <c r="H957" i="9"/>
  <c r="H958" i="9"/>
  <c r="H959" i="9"/>
  <c r="H960" i="9"/>
  <c r="H961" i="9"/>
  <c r="H962" i="9"/>
  <c r="H963" i="9"/>
  <c r="H964" i="9"/>
  <c r="H965" i="9"/>
  <c r="H966" i="9"/>
  <c r="H967" i="9"/>
  <c r="H968" i="9"/>
  <c r="H969" i="9"/>
  <c r="H970" i="9"/>
  <c r="H971" i="9"/>
  <c r="H972" i="9"/>
  <c r="H973" i="9"/>
  <c r="H974" i="9"/>
  <c r="H975" i="9"/>
  <c r="H976" i="9"/>
  <c r="H977" i="9"/>
  <c r="H978" i="9"/>
  <c r="H979" i="9"/>
  <c r="H980" i="9"/>
  <c r="H981" i="9"/>
  <c r="H982" i="9"/>
  <c r="H983" i="9"/>
  <c r="H2"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686" i="9"/>
  <c r="G687" i="9"/>
  <c r="G688" i="9"/>
  <c r="G689" i="9"/>
  <c r="G690" i="9"/>
  <c r="G691" i="9"/>
  <c r="G692" i="9"/>
  <c r="G693" i="9"/>
  <c r="G694" i="9"/>
  <c r="G695" i="9"/>
  <c r="G696" i="9"/>
  <c r="G697" i="9"/>
  <c r="G698" i="9"/>
  <c r="G699" i="9"/>
  <c r="G700" i="9"/>
  <c r="G701" i="9"/>
  <c r="G702" i="9"/>
  <c r="G703" i="9"/>
  <c r="G704" i="9"/>
  <c r="G705" i="9"/>
  <c r="G706" i="9"/>
  <c r="G707" i="9"/>
  <c r="G708" i="9"/>
  <c r="G709" i="9"/>
  <c r="G710" i="9"/>
  <c r="G711" i="9"/>
  <c r="G712" i="9"/>
  <c r="G713" i="9"/>
  <c r="G714" i="9"/>
  <c r="G715" i="9"/>
  <c r="G716" i="9"/>
  <c r="G717" i="9"/>
  <c r="G718" i="9"/>
  <c r="G719" i="9"/>
  <c r="G720" i="9"/>
  <c r="G721" i="9"/>
  <c r="G722" i="9"/>
  <c r="G723" i="9"/>
  <c r="G724" i="9"/>
  <c r="G725" i="9"/>
  <c r="G726" i="9"/>
  <c r="G727" i="9"/>
  <c r="G728" i="9"/>
  <c r="G729" i="9"/>
  <c r="G730" i="9"/>
  <c r="G731" i="9"/>
  <c r="G732" i="9"/>
  <c r="G733" i="9"/>
  <c r="G734" i="9"/>
  <c r="G735" i="9"/>
  <c r="G736" i="9"/>
  <c r="G737" i="9"/>
  <c r="G738" i="9"/>
  <c r="G739" i="9"/>
  <c r="G740" i="9"/>
  <c r="G741" i="9"/>
  <c r="G742" i="9"/>
  <c r="G743" i="9"/>
  <c r="G744" i="9"/>
  <c r="G745" i="9"/>
  <c r="G746" i="9"/>
  <c r="G747" i="9"/>
  <c r="G748" i="9"/>
  <c r="G749" i="9"/>
  <c r="G750" i="9"/>
  <c r="G751" i="9"/>
  <c r="G752" i="9"/>
  <c r="G753" i="9"/>
  <c r="G754" i="9"/>
  <c r="G755" i="9"/>
  <c r="G756" i="9"/>
  <c r="G757" i="9"/>
  <c r="G758" i="9"/>
  <c r="G759" i="9"/>
  <c r="G760" i="9"/>
  <c r="G761" i="9"/>
  <c r="G762" i="9"/>
  <c r="G763" i="9"/>
  <c r="G764" i="9"/>
  <c r="G765" i="9"/>
  <c r="G766" i="9"/>
  <c r="G767" i="9"/>
  <c r="G768" i="9"/>
  <c r="G769" i="9"/>
  <c r="G770" i="9"/>
  <c r="G771" i="9"/>
  <c r="G772" i="9"/>
  <c r="G773" i="9"/>
  <c r="G774" i="9"/>
  <c r="G775" i="9"/>
  <c r="G776" i="9"/>
  <c r="G777" i="9"/>
  <c r="G778" i="9"/>
  <c r="G779" i="9"/>
  <c r="G780" i="9"/>
  <c r="G781" i="9"/>
  <c r="G782" i="9"/>
  <c r="G783" i="9"/>
  <c r="G784" i="9"/>
  <c r="G785" i="9"/>
  <c r="G786" i="9"/>
  <c r="G787" i="9"/>
  <c r="G788" i="9"/>
  <c r="G789" i="9"/>
  <c r="G790" i="9"/>
  <c r="G791" i="9"/>
  <c r="G792" i="9"/>
  <c r="G793" i="9"/>
  <c r="G794" i="9"/>
  <c r="G795" i="9"/>
  <c r="G796" i="9"/>
  <c r="G797" i="9"/>
  <c r="G798" i="9"/>
  <c r="G799" i="9"/>
  <c r="G800" i="9"/>
  <c r="G801" i="9"/>
  <c r="G802" i="9"/>
  <c r="G803" i="9"/>
  <c r="G804" i="9"/>
  <c r="G805" i="9"/>
  <c r="G806" i="9"/>
  <c r="G807" i="9"/>
  <c r="G808" i="9"/>
  <c r="G809" i="9"/>
  <c r="G810" i="9"/>
  <c r="G811" i="9"/>
  <c r="G812" i="9"/>
  <c r="G813" i="9"/>
  <c r="G814" i="9"/>
  <c r="G815" i="9"/>
  <c r="G816" i="9"/>
  <c r="G817" i="9"/>
  <c r="G818" i="9"/>
  <c r="G819" i="9"/>
  <c r="G820" i="9"/>
  <c r="G821" i="9"/>
  <c r="G822" i="9"/>
  <c r="G823" i="9"/>
  <c r="G824" i="9"/>
  <c r="G825" i="9"/>
  <c r="G826" i="9"/>
  <c r="G827" i="9"/>
  <c r="G828" i="9"/>
  <c r="G829" i="9"/>
  <c r="G830" i="9"/>
  <c r="G831" i="9"/>
  <c r="G832" i="9"/>
  <c r="G833" i="9"/>
  <c r="G834" i="9"/>
  <c r="G835" i="9"/>
  <c r="G836" i="9"/>
  <c r="G837" i="9"/>
  <c r="G838" i="9"/>
  <c r="G839" i="9"/>
  <c r="G840" i="9"/>
  <c r="G841" i="9"/>
  <c r="G842" i="9"/>
  <c r="G843" i="9"/>
  <c r="G844" i="9"/>
  <c r="G845" i="9"/>
  <c r="G846" i="9"/>
  <c r="G847" i="9"/>
  <c r="G848" i="9"/>
  <c r="G849" i="9"/>
  <c r="G850" i="9"/>
  <c r="G851" i="9"/>
  <c r="G852" i="9"/>
  <c r="G853" i="9"/>
  <c r="G854" i="9"/>
  <c r="G855" i="9"/>
  <c r="G856" i="9"/>
  <c r="G857" i="9"/>
  <c r="G858" i="9"/>
  <c r="G859" i="9"/>
  <c r="G860" i="9"/>
  <c r="G861" i="9"/>
  <c r="G862" i="9"/>
  <c r="G863" i="9"/>
  <c r="G864" i="9"/>
  <c r="G865" i="9"/>
  <c r="G866" i="9"/>
  <c r="G867" i="9"/>
  <c r="G868" i="9"/>
  <c r="G869" i="9"/>
  <c r="G870" i="9"/>
  <c r="G871" i="9"/>
  <c r="G872" i="9"/>
  <c r="G873" i="9"/>
  <c r="G874" i="9"/>
  <c r="G875" i="9"/>
  <c r="G876" i="9"/>
  <c r="G877" i="9"/>
  <c r="G878" i="9"/>
  <c r="G879" i="9"/>
  <c r="G880" i="9"/>
  <c r="G881" i="9"/>
  <c r="G882" i="9"/>
  <c r="G883" i="9"/>
  <c r="G884" i="9"/>
  <c r="G885" i="9"/>
  <c r="G886" i="9"/>
  <c r="G887" i="9"/>
  <c r="G888" i="9"/>
  <c r="G889" i="9"/>
  <c r="G890" i="9"/>
  <c r="G891" i="9"/>
  <c r="G892" i="9"/>
  <c r="G893" i="9"/>
  <c r="G894" i="9"/>
  <c r="G895" i="9"/>
  <c r="G896" i="9"/>
  <c r="G897" i="9"/>
  <c r="G898" i="9"/>
  <c r="G899" i="9"/>
  <c r="G900" i="9"/>
  <c r="G901" i="9"/>
  <c r="G902" i="9"/>
  <c r="G903" i="9"/>
  <c r="G904" i="9"/>
  <c r="G905" i="9"/>
  <c r="G906" i="9"/>
  <c r="G907" i="9"/>
  <c r="G908" i="9"/>
  <c r="G909" i="9"/>
  <c r="G910" i="9"/>
  <c r="G911" i="9"/>
  <c r="G912" i="9"/>
  <c r="G913" i="9"/>
  <c r="G914" i="9"/>
  <c r="G915" i="9"/>
  <c r="G916" i="9"/>
  <c r="G917" i="9"/>
  <c r="G918" i="9"/>
  <c r="G919" i="9"/>
  <c r="G920" i="9"/>
  <c r="G921" i="9"/>
  <c r="G922" i="9"/>
  <c r="G923" i="9"/>
  <c r="G924" i="9"/>
  <c r="G925" i="9"/>
  <c r="G926" i="9"/>
  <c r="G927" i="9"/>
  <c r="G928" i="9"/>
  <c r="G929" i="9"/>
  <c r="G930" i="9"/>
  <c r="G931" i="9"/>
  <c r="G932" i="9"/>
  <c r="G933" i="9"/>
  <c r="G934" i="9"/>
  <c r="G935" i="9"/>
  <c r="G936" i="9"/>
  <c r="G937" i="9"/>
  <c r="G938" i="9"/>
  <c r="G939" i="9"/>
  <c r="G940" i="9"/>
  <c r="G941" i="9"/>
  <c r="G942" i="9"/>
  <c r="G943" i="9"/>
  <c r="G944" i="9"/>
  <c r="G945" i="9"/>
  <c r="G946" i="9"/>
  <c r="G947" i="9"/>
  <c r="G948" i="9"/>
  <c r="G949" i="9"/>
  <c r="G950" i="9"/>
  <c r="G951" i="9"/>
  <c r="G952" i="9"/>
  <c r="G953" i="9"/>
  <c r="G954" i="9"/>
  <c r="G955" i="9"/>
  <c r="G956" i="9"/>
  <c r="G957" i="9"/>
  <c r="G958" i="9"/>
  <c r="G959" i="9"/>
  <c r="G960" i="9"/>
  <c r="G961" i="9"/>
  <c r="G962" i="9"/>
  <c r="G963" i="9"/>
  <c r="G964" i="9"/>
  <c r="G965" i="9"/>
  <c r="G966" i="9"/>
  <c r="G967" i="9"/>
  <c r="G968" i="9"/>
  <c r="G969" i="9"/>
  <c r="G970" i="9"/>
  <c r="G971" i="9"/>
  <c r="G972" i="9"/>
  <c r="G973" i="9"/>
  <c r="G974" i="9"/>
  <c r="G975" i="9"/>
  <c r="G976" i="9"/>
  <c r="G977" i="9"/>
  <c r="G978" i="9"/>
  <c r="G979" i="9"/>
  <c r="G980" i="9"/>
  <c r="G981" i="9"/>
  <c r="G982" i="9"/>
  <c r="G983" i="9"/>
  <c r="G5" i="9"/>
  <c r="G4" i="9"/>
  <c r="G3" i="9"/>
  <c r="G2" i="9" a="1"/>
  <c r="G2" i="9" s="1"/>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F494" i="9"/>
  <c r="F495" i="9"/>
  <c r="F496" i="9"/>
  <c r="F497" i="9"/>
  <c r="F498" i="9"/>
  <c r="F499" i="9"/>
  <c r="F500" i="9"/>
  <c r="F501" i="9"/>
  <c r="F502" i="9"/>
  <c r="F503" i="9"/>
  <c r="F504" i="9"/>
  <c r="F505" i="9"/>
  <c r="F506" i="9"/>
  <c r="F507" i="9"/>
  <c r="F508" i="9"/>
  <c r="F509" i="9"/>
  <c r="F510" i="9"/>
  <c r="F511" i="9"/>
  <c r="F512" i="9"/>
  <c r="F513" i="9"/>
  <c r="F514" i="9"/>
  <c r="F515" i="9"/>
  <c r="F516" i="9"/>
  <c r="F517" i="9"/>
  <c r="F518" i="9"/>
  <c r="F519" i="9"/>
  <c r="F520" i="9"/>
  <c r="F521" i="9"/>
  <c r="F522" i="9"/>
  <c r="F523" i="9"/>
  <c r="F524" i="9"/>
  <c r="F525" i="9"/>
  <c r="F526" i="9"/>
  <c r="F527" i="9"/>
  <c r="F528" i="9"/>
  <c r="F529" i="9"/>
  <c r="F530" i="9"/>
  <c r="F531" i="9"/>
  <c r="F532" i="9"/>
  <c r="F533" i="9"/>
  <c r="F534" i="9"/>
  <c r="F535" i="9"/>
  <c r="F536" i="9"/>
  <c r="F537" i="9"/>
  <c r="F538" i="9"/>
  <c r="F539" i="9"/>
  <c r="F540" i="9"/>
  <c r="F541" i="9"/>
  <c r="F542" i="9"/>
  <c r="F543" i="9"/>
  <c r="F544" i="9"/>
  <c r="F545" i="9"/>
  <c r="F546" i="9"/>
  <c r="F547" i="9"/>
  <c r="F548" i="9"/>
  <c r="F549" i="9"/>
  <c r="F550" i="9"/>
  <c r="F551" i="9"/>
  <c r="F552" i="9"/>
  <c r="F553" i="9"/>
  <c r="F554" i="9"/>
  <c r="F555" i="9"/>
  <c r="F556" i="9"/>
  <c r="F557" i="9"/>
  <c r="F558" i="9"/>
  <c r="F559" i="9"/>
  <c r="F560" i="9"/>
  <c r="F561" i="9"/>
  <c r="F562" i="9"/>
  <c r="F563" i="9"/>
  <c r="F564" i="9"/>
  <c r="F565" i="9"/>
  <c r="F566" i="9"/>
  <c r="F567" i="9"/>
  <c r="F568" i="9"/>
  <c r="F569" i="9"/>
  <c r="F570" i="9"/>
  <c r="F571" i="9"/>
  <c r="F572" i="9"/>
  <c r="F573" i="9"/>
  <c r="F574" i="9"/>
  <c r="F575" i="9"/>
  <c r="F576" i="9"/>
  <c r="F577" i="9"/>
  <c r="F578" i="9"/>
  <c r="F579" i="9"/>
  <c r="F580" i="9"/>
  <c r="F581" i="9"/>
  <c r="F582" i="9"/>
  <c r="F583" i="9"/>
  <c r="F584" i="9"/>
  <c r="F585" i="9"/>
  <c r="F586" i="9"/>
  <c r="F587" i="9"/>
  <c r="F588" i="9"/>
  <c r="F589" i="9"/>
  <c r="F590" i="9"/>
  <c r="F591" i="9"/>
  <c r="F592" i="9"/>
  <c r="F593" i="9"/>
  <c r="F594" i="9"/>
  <c r="F595" i="9"/>
  <c r="F596" i="9"/>
  <c r="F597" i="9"/>
  <c r="F598" i="9"/>
  <c r="F599" i="9"/>
  <c r="F600" i="9"/>
  <c r="F601" i="9"/>
  <c r="F602" i="9"/>
  <c r="F603" i="9"/>
  <c r="F604" i="9"/>
  <c r="F605" i="9"/>
  <c r="F606" i="9"/>
  <c r="F607" i="9"/>
  <c r="F608" i="9"/>
  <c r="F609" i="9"/>
  <c r="F610" i="9"/>
  <c r="F611" i="9"/>
  <c r="F612" i="9"/>
  <c r="F613" i="9"/>
  <c r="F614" i="9"/>
  <c r="F615" i="9"/>
  <c r="F616" i="9"/>
  <c r="F617" i="9"/>
  <c r="F618" i="9"/>
  <c r="F619" i="9"/>
  <c r="F620" i="9"/>
  <c r="F621" i="9"/>
  <c r="F622" i="9"/>
  <c r="F623" i="9"/>
  <c r="F624" i="9"/>
  <c r="F625" i="9"/>
  <c r="F626" i="9"/>
  <c r="F627" i="9"/>
  <c r="F628" i="9"/>
  <c r="F629" i="9"/>
  <c r="F630" i="9"/>
  <c r="F631" i="9"/>
  <c r="F632" i="9"/>
  <c r="F633" i="9"/>
  <c r="F634" i="9"/>
  <c r="F635" i="9"/>
  <c r="F636" i="9"/>
  <c r="F637" i="9"/>
  <c r="F638" i="9"/>
  <c r="F639" i="9"/>
  <c r="F640" i="9"/>
  <c r="F641" i="9"/>
  <c r="F642" i="9"/>
  <c r="F643" i="9"/>
  <c r="F644" i="9"/>
  <c r="F645" i="9"/>
  <c r="F646" i="9"/>
  <c r="F647" i="9"/>
  <c r="F648" i="9"/>
  <c r="F649" i="9"/>
  <c r="F650" i="9"/>
  <c r="F651" i="9"/>
  <c r="F652" i="9"/>
  <c r="F653" i="9"/>
  <c r="F654" i="9"/>
  <c r="F655" i="9"/>
  <c r="F656" i="9"/>
  <c r="F657" i="9"/>
  <c r="F658" i="9"/>
  <c r="F659" i="9"/>
  <c r="F660" i="9"/>
  <c r="F661" i="9"/>
  <c r="F662" i="9"/>
  <c r="F663" i="9"/>
  <c r="F664" i="9"/>
  <c r="F665" i="9"/>
  <c r="F666" i="9"/>
  <c r="F667" i="9"/>
  <c r="F668" i="9"/>
  <c r="F669" i="9"/>
  <c r="F670" i="9"/>
  <c r="F671" i="9"/>
  <c r="F672" i="9"/>
  <c r="F673" i="9"/>
  <c r="F674" i="9"/>
  <c r="F675" i="9"/>
  <c r="F676" i="9"/>
  <c r="F677" i="9"/>
  <c r="F678" i="9"/>
  <c r="F679" i="9"/>
  <c r="F680" i="9"/>
  <c r="F681" i="9"/>
  <c r="F682" i="9"/>
  <c r="F683" i="9"/>
  <c r="F684" i="9"/>
  <c r="F685" i="9"/>
  <c r="F686" i="9"/>
  <c r="F687" i="9"/>
  <c r="F688" i="9"/>
  <c r="F689" i="9"/>
  <c r="F690" i="9"/>
  <c r="F691" i="9"/>
  <c r="F692" i="9"/>
  <c r="F693" i="9"/>
  <c r="F694" i="9"/>
  <c r="F695" i="9"/>
  <c r="F696" i="9"/>
  <c r="F697" i="9"/>
  <c r="F698" i="9"/>
  <c r="F699" i="9"/>
  <c r="F700" i="9"/>
  <c r="F701" i="9"/>
  <c r="F702" i="9"/>
  <c r="F703" i="9"/>
  <c r="F704" i="9"/>
  <c r="F705" i="9"/>
  <c r="F706" i="9"/>
  <c r="F707" i="9"/>
  <c r="F708" i="9"/>
  <c r="F709" i="9"/>
  <c r="F710" i="9"/>
  <c r="F711" i="9"/>
  <c r="F712" i="9"/>
  <c r="F713" i="9"/>
  <c r="F714" i="9"/>
  <c r="F715" i="9"/>
  <c r="F716" i="9"/>
  <c r="F717" i="9"/>
  <c r="F718" i="9"/>
  <c r="F719" i="9"/>
  <c r="F720" i="9"/>
  <c r="F721" i="9"/>
  <c r="F722" i="9"/>
  <c r="F723" i="9"/>
  <c r="F724" i="9"/>
  <c r="F725" i="9"/>
  <c r="F726" i="9"/>
  <c r="F727" i="9"/>
  <c r="F728" i="9"/>
  <c r="F729" i="9"/>
  <c r="F730" i="9"/>
  <c r="F731" i="9"/>
  <c r="F732" i="9"/>
  <c r="F733" i="9"/>
  <c r="F734" i="9"/>
  <c r="F735" i="9"/>
  <c r="F736" i="9"/>
  <c r="F737" i="9"/>
  <c r="F738" i="9"/>
  <c r="F739" i="9"/>
  <c r="F740" i="9"/>
  <c r="F741" i="9"/>
  <c r="F742" i="9"/>
  <c r="F743" i="9"/>
  <c r="F744" i="9"/>
  <c r="F745" i="9"/>
  <c r="F746" i="9"/>
  <c r="F747" i="9"/>
  <c r="F748" i="9"/>
  <c r="F749" i="9"/>
  <c r="F750" i="9"/>
  <c r="F751" i="9"/>
  <c r="F752" i="9"/>
  <c r="F753" i="9"/>
  <c r="F754" i="9"/>
  <c r="F755" i="9"/>
  <c r="F756" i="9"/>
  <c r="F757" i="9"/>
  <c r="F758" i="9"/>
  <c r="F759" i="9"/>
  <c r="F760" i="9"/>
  <c r="F761" i="9"/>
  <c r="F762" i="9"/>
  <c r="F763" i="9"/>
  <c r="F764" i="9"/>
  <c r="F765" i="9"/>
  <c r="F766" i="9"/>
  <c r="F767" i="9"/>
  <c r="F768" i="9"/>
  <c r="F769" i="9"/>
  <c r="F770" i="9"/>
  <c r="F771" i="9"/>
  <c r="F772" i="9"/>
  <c r="F773" i="9"/>
  <c r="F774" i="9"/>
  <c r="F775" i="9"/>
  <c r="F776" i="9"/>
  <c r="F777" i="9"/>
  <c r="F778" i="9"/>
  <c r="F779" i="9"/>
  <c r="F780" i="9"/>
  <c r="F781" i="9"/>
  <c r="F782" i="9"/>
  <c r="F783" i="9"/>
  <c r="F784" i="9"/>
  <c r="F785" i="9"/>
  <c r="F786" i="9"/>
  <c r="F787" i="9"/>
  <c r="F788" i="9"/>
  <c r="F789" i="9"/>
  <c r="F790" i="9"/>
  <c r="F791" i="9"/>
  <c r="F792" i="9"/>
  <c r="F793" i="9"/>
  <c r="F794" i="9"/>
  <c r="F795" i="9"/>
  <c r="F796" i="9"/>
  <c r="F797" i="9"/>
  <c r="F798" i="9"/>
  <c r="F799" i="9"/>
  <c r="F800" i="9"/>
  <c r="F801" i="9"/>
  <c r="F802" i="9"/>
  <c r="F803" i="9"/>
  <c r="F804" i="9"/>
  <c r="F805" i="9"/>
  <c r="F806" i="9"/>
  <c r="F807" i="9"/>
  <c r="F808" i="9"/>
  <c r="F809" i="9"/>
  <c r="F810" i="9"/>
  <c r="F811" i="9"/>
  <c r="F812" i="9"/>
  <c r="F813" i="9"/>
  <c r="F814" i="9"/>
  <c r="F815" i="9"/>
  <c r="F816" i="9"/>
  <c r="F817" i="9"/>
  <c r="F818" i="9"/>
  <c r="F819" i="9"/>
  <c r="F820" i="9"/>
  <c r="F821" i="9"/>
  <c r="F822" i="9"/>
  <c r="F823" i="9"/>
  <c r="F824" i="9"/>
  <c r="F825" i="9"/>
  <c r="F826" i="9"/>
  <c r="F827" i="9"/>
  <c r="F828" i="9"/>
  <c r="F829" i="9"/>
  <c r="F830" i="9"/>
  <c r="F831" i="9"/>
  <c r="F832" i="9"/>
  <c r="F833" i="9"/>
  <c r="F834" i="9"/>
  <c r="F835" i="9"/>
  <c r="F836" i="9"/>
  <c r="F837" i="9"/>
  <c r="F838" i="9"/>
  <c r="F839" i="9"/>
  <c r="F840" i="9"/>
  <c r="F841" i="9"/>
  <c r="F842" i="9"/>
  <c r="F843" i="9"/>
  <c r="F844" i="9"/>
  <c r="F845" i="9"/>
  <c r="F846" i="9"/>
  <c r="F847" i="9"/>
  <c r="F848" i="9"/>
  <c r="F849" i="9"/>
  <c r="F850" i="9"/>
  <c r="F851" i="9"/>
  <c r="F852" i="9"/>
  <c r="F853" i="9"/>
  <c r="F854" i="9"/>
  <c r="F855" i="9"/>
  <c r="F856" i="9"/>
  <c r="F857" i="9"/>
  <c r="F858" i="9"/>
  <c r="F859" i="9"/>
  <c r="F860" i="9"/>
  <c r="F861" i="9"/>
  <c r="F862" i="9"/>
  <c r="F863" i="9"/>
  <c r="F864" i="9"/>
  <c r="F865" i="9"/>
  <c r="F866" i="9"/>
  <c r="F867" i="9"/>
  <c r="F868" i="9"/>
  <c r="F869" i="9"/>
  <c r="F870" i="9"/>
  <c r="F871" i="9"/>
  <c r="F872" i="9"/>
  <c r="F873" i="9"/>
  <c r="F874" i="9"/>
  <c r="F875" i="9"/>
  <c r="F876" i="9"/>
  <c r="F877" i="9"/>
  <c r="F878" i="9"/>
  <c r="F879" i="9"/>
  <c r="F880" i="9"/>
  <c r="F881" i="9"/>
  <c r="F882" i="9"/>
  <c r="F883" i="9"/>
  <c r="F884" i="9"/>
  <c r="F885" i="9"/>
  <c r="F886" i="9"/>
  <c r="F887" i="9"/>
  <c r="F888" i="9"/>
  <c r="F889" i="9"/>
  <c r="F890" i="9"/>
  <c r="F891" i="9"/>
  <c r="F892" i="9"/>
  <c r="F893" i="9"/>
  <c r="F894" i="9"/>
  <c r="F895" i="9"/>
  <c r="F896" i="9"/>
  <c r="F897" i="9"/>
  <c r="F898" i="9"/>
  <c r="F899" i="9"/>
  <c r="F900" i="9"/>
  <c r="F901" i="9"/>
  <c r="F902" i="9"/>
  <c r="F903" i="9"/>
  <c r="F904" i="9"/>
  <c r="F905" i="9"/>
  <c r="F906" i="9"/>
  <c r="F907" i="9"/>
  <c r="F908" i="9"/>
  <c r="F909" i="9"/>
  <c r="F910" i="9"/>
  <c r="F911" i="9"/>
  <c r="F912" i="9"/>
  <c r="F913" i="9"/>
  <c r="F914" i="9"/>
  <c r="F915" i="9"/>
  <c r="F916" i="9"/>
  <c r="F917" i="9"/>
  <c r="F918" i="9"/>
  <c r="F919" i="9"/>
  <c r="F920" i="9"/>
  <c r="F921" i="9"/>
  <c r="F922" i="9"/>
  <c r="F923" i="9"/>
  <c r="F924" i="9"/>
  <c r="F925" i="9"/>
  <c r="F926" i="9"/>
  <c r="F927" i="9"/>
  <c r="F928" i="9"/>
  <c r="F929" i="9"/>
  <c r="F930" i="9"/>
  <c r="F931" i="9"/>
  <c r="F932" i="9"/>
  <c r="F933" i="9"/>
  <c r="F934" i="9"/>
  <c r="F935" i="9"/>
  <c r="F936" i="9"/>
  <c r="F937" i="9"/>
  <c r="F938" i="9"/>
  <c r="F939" i="9"/>
  <c r="F940" i="9"/>
  <c r="F941" i="9"/>
  <c r="F942" i="9"/>
  <c r="F943" i="9"/>
  <c r="F944" i="9"/>
  <c r="F945" i="9"/>
  <c r="F946" i="9"/>
  <c r="F947" i="9"/>
  <c r="F948" i="9"/>
  <c r="F949" i="9"/>
  <c r="F950" i="9"/>
  <c r="F951" i="9"/>
  <c r="F952" i="9"/>
  <c r="F953" i="9"/>
  <c r="F954" i="9"/>
  <c r="F955" i="9"/>
  <c r="F956" i="9"/>
  <c r="F957" i="9"/>
  <c r="F958" i="9"/>
  <c r="F959" i="9"/>
  <c r="F960" i="9"/>
  <c r="F961" i="9"/>
  <c r="F962" i="9"/>
  <c r="F963" i="9"/>
  <c r="F964" i="9"/>
  <c r="F965" i="9"/>
  <c r="F966" i="9"/>
  <c r="F967" i="9"/>
  <c r="F968" i="9"/>
  <c r="F969" i="9"/>
  <c r="F970" i="9"/>
  <c r="F971" i="9"/>
  <c r="F972" i="9"/>
  <c r="F973" i="9"/>
  <c r="F974" i="9"/>
  <c r="F975" i="9"/>
  <c r="F976" i="9"/>
  <c r="F977" i="9"/>
  <c r="F978" i="9"/>
  <c r="F979" i="9"/>
  <c r="F980" i="9"/>
  <c r="F981" i="9"/>
  <c r="F982" i="9"/>
  <c r="F983" i="9"/>
  <c r="F3" i="9"/>
  <c r="F2" i="9"/>
  <c r="M984" i="10"/>
  <c r="M983" i="10"/>
  <c r="M982" i="10"/>
  <c r="M981" i="10"/>
  <c r="M980" i="10"/>
  <c r="M979" i="10"/>
  <c r="M978" i="10"/>
  <c r="M977" i="10"/>
  <c r="M976" i="10"/>
  <c r="M975" i="10"/>
  <c r="M974" i="10"/>
  <c r="M973" i="10"/>
  <c r="M972" i="10"/>
  <c r="M971" i="10"/>
  <c r="M970" i="10"/>
  <c r="M969" i="10"/>
  <c r="M968" i="10"/>
  <c r="M967" i="10"/>
  <c r="M966" i="10"/>
  <c r="M965" i="10"/>
  <c r="M964" i="10"/>
  <c r="M963" i="10"/>
  <c r="M962" i="10"/>
  <c r="M961" i="10"/>
  <c r="M960" i="10"/>
  <c r="M959" i="10"/>
  <c r="M958" i="10"/>
  <c r="M957" i="10"/>
  <c r="M956" i="10"/>
  <c r="M955" i="10"/>
  <c r="M954" i="10"/>
  <c r="M953" i="10"/>
  <c r="M952" i="10"/>
  <c r="M951" i="10"/>
  <c r="M950" i="10"/>
  <c r="M949" i="10"/>
  <c r="M948" i="10"/>
  <c r="M947" i="10"/>
  <c r="M946" i="10"/>
  <c r="M945" i="10"/>
  <c r="M944" i="10"/>
  <c r="M943" i="10"/>
  <c r="M942" i="10"/>
  <c r="M941" i="10"/>
  <c r="M940" i="10"/>
  <c r="M939" i="10"/>
  <c r="M938" i="10"/>
  <c r="M937" i="10"/>
  <c r="M936" i="10"/>
  <c r="M935" i="10"/>
  <c r="M934" i="10"/>
  <c r="M933" i="10"/>
  <c r="M932" i="10"/>
  <c r="M931" i="10"/>
  <c r="M930" i="10"/>
  <c r="M929" i="10"/>
  <c r="M928" i="10"/>
  <c r="M927" i="10"/>
  <c r="M926" i="10"/>
  <c r="M925" i="10"/>
  <c r="M924" i="10"/>
  <c r="M923" i="10"/>
  <c r="M922" i="10"/>
  <c r="M921" i="10"/>
  <c r="M920" i="10"/>
  <c r="M919" i="10"/>
  <c r="M918" i="10"/>
  <c r="M917" i="10"/>
  <c r="M916" i="10"/>
  <c r="M915" i="10"/>
  <c r="M914" i="10"/>
  <c r="M913" i="10"/>
  <c r="M912" i="10"/>
  <c r="M911" i="10"/>
  <c r="M910" i="10"/>
  <c r="M909" i="10"/>
  <c r="M908" i="10"/>
  <c r="M907" i="10"/>
  <c r="M906" i="10"/>
  <c r="M905" i="10"/>
  <c r="M904" i="10"/>
  <c r="M903" i="10"/>
  <c r="M902" i="10"/>
  <c r="M901" i="10"/>
  <c r="M900" i="10"/>
  <c r="M899" i="10"/>
  <c r="M898" i="10"/>
  <c r="M897" i="10"/>
  <c r="M896" i="10"/>
  <c r="M895" i="10"/>
  <c r="M894" i="10"/>
  <c r="M893" i="10"/>
  <c r="M892" i="10"/>
  <c r="M891" i="10"/>
  <c r="M890" i="10"/>
  <c r="M889" i="10"/>
  <c r="M888" i="10"/>
  <c r="M887" i="10"/>
  <c r="M886" i="10"/>
  <c r="M885" i="10"/>
  <c r="M884" i="10"/>
  <c r="M883" i="10"/>
  <c r="M882" i="10"/>
  <c r="M881" i="10"/>
  <c r="M880" i="10"/>
  <c r="M879" i="10"/>
  <c r="M878" i="10"/>
  <c r="M877" i="10"/>
  <c r="M876" i="10"/>
  <c r="M875" i="10"/>
  <c r="M874" i="10"/>
  <c r="M873" i="10"/>
  <c r="M872" i="10"/>
  <c r="M871" i="10"/>
  <c r="M870" i="10"/>
  <c r="M869" i="10"/>
  <c r="M868" i="10"/>
  <c r="M867" i="10"/>
  <c r="M866" i="10"/>
  <c r="M865" i="10"/>
  <c r="M864" i="10"/>
  <c r="M863" i="10"/>
  <c r="M862" i="10"/>
  <c r="M861" i="10"/>
  <c r="M860" i="10"/>
  <c r="M859" i="10"/>
  <c r="M858" i="10"/>
  <c r="M857" i="10"/>
  <c r="M856" i="10"/>
  <c r="M855" i="10"/>
  <c r="M854" i="10"/>
  <c r="M853" i="10"/>
  <c r="M852" i="10"/>
  <c r="M851" i="10"/>
  <c r="M850" i="10"/>
  <c r="M849" i="10"/>
  <c r="M848" i="10"/>
  <c r="M847" i="10"/>
  <c r="M846" i="10"/>
  <c r="M845" i="10"/>
  <c r="M844" i="10"/>
  <c r="M843" i="10"/>
  <c r="M842" i="10"/>
  <c r="M841" i="10"/>
  <c r="M840" i="10"/>
  <c r="M839" i="10"/>
  <c r="M838" i="10"/>
  <c r="M837" i="10"/>
  <c r="M836" i="10"/>
  <c r="M835" i="10"/>
  <c r="M834" i="10"/>
  <c r="M833" i="10"/>
  <c r="M832" i="10"/>
  <c r="M831" i="10"/>
  <c r="M830" i="10"/>
  <c r="M829" i="10"/>
  <c r="M828" i="10"/>
  <c r="M827" i="10"/>
  <c r="M826" i="10"/>
  <c r="M825" i="10"/>
  <c r="M824" i="10"/>
  <c r="M823" i="10"/>
  <c r="M822" i="10"/>
  <c r="M821" i="10"/>
  <c r="M820" i="10"/>
  <c r="M819" i="10"/>
  <c r="M818" i="10"/>
  <c r="M817" i="10"/>
  <c r="M816" i="10"/>
  <c r="M815" i="10"/>
  <c r="M814" i="10"/>
  <c r="M813" i="10"/>
  <c r="M812" i="10"/>
  <c r="M811" i="10"/>
  <c r="M810" i="10"/>
  <c r="M809" i="10"/>
  <c r="M808" i="10"/>
  <c r="M807" i="10"/>
  <c r="M806" i="10"/>
  <c r="M805" i="10"/>
  <c r="M804" i="10"/>
  <c r="M803" i="10"/>
  <c r="M802" i="10"/>
  <c r="M801" i="10"/>
  <c r="M800" i="10"/>
  <c r="M799" i="10"/>
  <c r="M798" i="10"/>
  <c r="M797" i="10"/>
  <c r="M796" i="10"/>
  <c r="M795" i="10"/>
  <c r="M794" i="10"/>
  <c r="M793" i="10"/>
  <c r="M792" i="10"/>
  <c r="M791" i="10"/>
  <c r="M790" i="10"/>
  <c r="M789" i="10"/>
  <c r="M788" i="10"/>
  <c r="M787" i="10"/>
  <c r="M786" i="10"/>
  <c r="M785" i="10"/>
  <c r="M784" i="10"/>
  <c r="M783" i="10"/>
  <c r="M782" i="10"/>
  <c r="M781" i="10"/>
  <c r="M780" i="10"/>
  <c r="M779" i="10"/>
  <c r="M778" i="10"/>
  <c r="M777" i="10"/>
  <c r="M776" i="10"/>
  <c r="M775" i="10"/>
  <c r="M774" i="10"/>
  <c r="M773" i="10"/>
  <c r="M772" i="10"/>
  <c r="M771" i="10"/>
  <c r="M770" i="10"/>
  <c r="M769" i="10"/>
  <c r="M768" i="10"/>
  <c r="M767" i="10"/>
  <c r="M766" i="10"/>
  <c r="M765" i="10"/>
  <c r="M764" i="10"/>
  <c r="M763" i="10"/>
  <c r="M762" i="10"/>
  <c r="M761" i="10"/>
  <c r="M760" i="10"/>
  <c r="M759" i="10"/>
  <c r="M758" i="10"/>
  <c r="M757" i="10"/>
  <c r="M756" i="10"/>
  <c r="M755" i="10"/>
  <c r="M754" i="10"/>
  <c r="M753" i="10"/>
  <c r="M752" i="10"/>
  <c r="M751" i="10"/>
  <c r="M750" i="10"/>
  <c r="M749" i="10"/>
  <c r="M748" i="10"/>
  <c r="M747" i="10"/>
  <c r="M746" i="10"/>
  <c r="M745" i="10"/>
  <c r="M744" i="10"/>
  <c r="M743" i="10"/>
  <c r="M742" i="10"/>
  <c r="M741" i="10"/>
  <c r="M740" i="10"/>
  <c r="M739" i="10"/>
  <c r="M738" i="10"/>
  <c r="M737" i="10"/>
  <c r="M736" i="10"/>
  <c r="M735" i="10"/>
  <c r="M734" i="10"/>
  <c r="M733" i="10"/>
  <c r="M732" i="10"/>
  <c r="M731" i="10"/>
  <c r="M730" i="10"/>
  <c r="M729" i="10"/>
  <c r="M728" i="10"/>
  <c r="M727" i="10"/>
  <c r="M726" i="10"/>
  <c r="M725" i="10"/>
  <c r="M724" i="10"/>
  <c r="M723" i="10"/>
  <c r="M722" i="10"/>
  <c r="M721" i="10"/>
  <c r="M720" i="10"/>
  <c r="M719" i="10"/>
  <c r="M718" i="10"/>
  <c r="M717" i="10"/>
  <c r="M716" i="10"/>
  <c r="M715" i="10"/>
  <c r="M714" i="10"/>
  <c r="M713" i="10"/>
  <c r="M712" i="10"/>
  <c r="M711" i="10"/>
  <c r="M710" i="10"/>
  <c r="M709" i="10"/>
  <c r="M708" i="10"/>
  <c r="M707" i="10"/>
  <c r="M706" i="10"/>
  <c r="M705" i="10"/>
  <c r="M704" i="10"/>
  <c r="M703" i="10"/>
  <c r="M702" i="10"/>
  <c r="M701" i="10"/>
  <c r="M700" i="10"/>
  <c r="M699" i="10"/>
  <c r="M698" i="10"/>
  <c r="M697" i="10"/>
  <c r="M696" i="10"/>
  <c r="M695" i="10"/>
  <c r="M694" i="10"/>
  <c r="M693" i="10"/>
  <c r="M692" i="10"/>
  <c r="M691" i="10"/>
  <c r="M690" i="10"/>
  <c r="M689" i="10"/>
  <c r="M688" i="10"/>
  <c r="M687" i="10"/>
  <c r="M686" i="10"/>
  <c r="M685" i="10"/>
  <c r="M684" i="10"/>
  <c r="M683" i="10"/>
  <c r="M682" i="10"/>
  <c r="M681" i="10"/>
  <c r="M680" i="10"/>
  <c r="M679" i="10"/>
  <c r="M678" i="10"/>
  <c r="M677" i="10"/>
  <c r="M676" i="10"/>
  <c r="M675" i="10"/>
  <c r="M674" i="10"/>
  <c r="M673" i="10"/>
  <c r="M672" i="10"/>
  <c r="M671" i="10"/>
  <c r="M670" i="10"/>
  <c r="M669" i="10"/>
  <c r="M668" i="10"/>
  <c r="M667" i="10"/>
  <c r="M666" i="10"/>
  <c r="M665" i="10"/>
  <c r="M664" i="10"/>
  <c r="M663" i="10"/>
  <c r="M662" i="10"/>
  <c r="M661" i="10"/>
  <c r="M660" i="10"/>
  <c r="M659" i="10"/>
  <c r="M658" i="10"/>
  <c r="M657" i="10"/>
  <c r="M656" i="10"/>
  <c r="M655" i="10"/>
  <c r="M654" i="10"/>
  <c r="M653" i="10"/>
  <c r="M652" i="10"/>
  <c r="M651" i="10"/>
  <c r="M650" i="10"/>
  <c r="M649" i="10"/>
  <c r="M648" i="10"/>
  <c r="M647" i="10"/>
  <c r="M646" i="10"/>
  <c r="M645" i="10"/>
  <c r="M644" i="10"/>
  <c r="M643" i="10"/>
  <c r="M642" i="10"/>
  <c r="M641" i="10"/>
  <c r="M640" i="10"/>
  <c r="M639" i="10"/>
  <c r="M638" i="10"/>
  <c r="M637" i="10"/>
  <c r="M636" i="10"/>
  <c r="M635" i="10"/>
  <c r="M634" i="10"/>
  <c r="M633" i="10"/>
  <c r="M632" i="10"/>
  <c r="M631" i="10"/>
  <c r="M630" i="10"/>
  <c r="M629" i="10"/>
  <c r="M628" i="10"/>
  <c r="M627" i="10"/>
  <c r="M626" i="10"/>
  <c r="M625" i="10"/>
  <c r="M624" i="10"/>
  <c r="M623" i="10"/>
  <c r="M622" i="10"/>
  <c r="M621" i="10"/>
  <c r="M620" i="10"/>
  <c r="M619" i="10"/>
  <c r="M618" i="10"/>
  <c r="M617" i="10"/>
  <c r="M616" i="10"/>
  <c r="M615" i="10"/>
  <c r="M614" i="10"/>
  <c r="M613" i="10"/>
  <c r="M612" i="10"/>
  <c r="M611" i="10"/>
  <c r="M610" i="10"/>
  <c r="M609" i="10"/>
  <c r="M608" i="10"/>
  <c r="M607" i="10"/>
  <c r="M606" i="10"/>
  <c r="M605" i="10"/>
  <c r="M604" i="10"/>
  <c r="M603" i="10"/>
  <c r="M602" i="10"/>
  <c r="M601" i="10"/>
  <c r="M600" i="10"/>
  <c r="M599" i="10"/>
  <c r="M598" i="10"/>
  <c r="M597" i="10"/>
  <c r="M596" i="10"/>
  <c r="M595" i="10"/>
  <c r="M594" i="10"/>
  <c r="M593" i="10"/>
  <c r="M592" i="10"/>
  <c r="M591" i="10"/>
  <c r="M590" i="10"/>
  <c r="M589" i="10"/>
  <c r="M588" i="10"/>
  <c r="M587" i="10"/>
  <c r="M586" i="10"/>
  <c r="M585" i="10"/>
  <c r="M584" i="10"/>
  <c r="M583" i="10"/>
  <c r="M582" i="10"/>
  <c r="M581" i="10"/>
  <c r="M580" i="10"/>
  <c r="M579" i="10"/>
  <c r="M578" i="10"/>
  <c r="M577" i="10"/>
  <c r="M576" i="10"/>
  <c r="M575" i="10"/>
  <c r="M574" i="10"/>
  <c r="M573" i="10"/>
  <c r="M572" i="10"/>
  <c r="M571" i="10"/>
  <c r="M570" i="10"/>
  <c r="M569" i="10"/>
  <c r="M568" i="10"/>
  <c r="M567" i="10"/>
  <c r="M566" i="10"/>
  <c r="M565" i="10"/>
  <c r="M564" i="10"/>
  <c r="M563" i="10"/>
  <c r="M562" i="10"/>
  <c r="M561" i="10"/>
  <c r="M560" i="10"/>
  <c r="M559" i="10"/>
  <c r="M558" i="10"/>
  <c r="M557" i="10"/>
  <c r="M556" i="10"/>
  <c r="M555" i="10"/>
  <c r="M554" i="10"/>
  <c r="M553" i="10"/>
  <c r="M552" i="10"/>
  <c r="M551" i="10"/>
  <c r="M550" i="10"/>
  <c r="M549" i="10"/>
  <c r="M548" i="10"/>
  <c r="M547" i="10"/>
  <c r="M546" i="10"/>
  <c r="M545" i="10"/>
  <c r="M544" i="10"/>
  <c r="M543" i="10"/>
  <c r="M542" i="10"/>
  <c r="M541" i="10"/>
  <c r="M540" i="10"/>
  <c r="M539" i="10"/>
  <c r="M538" i="10"/>
  <c r="M537" i="10"/>
  <c r="M536" i="10"/>
  <c r="M535" i="10"/>
  <c r="M534" i="10"/>
  <c r="M533" i="10"/>
  <c r="M532" i="10"/>
  <c r="M531" i="10"/>
  <c r="M530" i="10"/>
  <c r="M529" i="10"/>
  <c r="M528" i="10"/>
  <c r="M527" i="10"/>
  <c r="M526" i="10"/>
  <c r="M525" i="10"/>
  <c r="M524" i="10"/>
  <c r="M523" i="10"/>
  <c r="M522" i="10"/>
  <c r="M521" i="10"/>
  <c r="M520" i="10"/>
  <c r="M519" i="10"/>
  <c r="M518" i="10"/>
  <c r="M517" i="10"/>
  <c r="M516" i="10"/>
  <c r="M515" i="10"/>
  <c r="M514" i="10"/>
  <c r="M513" i="10"/>
  <c r="M512" i="10"/>
  <c r="M511" i="10"/>
  <c r="M510" i="10"/>
  <c r="M509" i="10"/>
  <c r="M508" i="10"/>
  <c r="M507" i="10"/>
  <c r="M506" i="10"/>
  <c r="M505" i="10"/>
  <c r="M504" i="10"/>
  <c r="M503" i="10"/>
  <c r="M502" i="10"/>
  <c r="M501" i="10"/>
  <c r="M500" i="10"/>
  <c r="M499" i="10"/>
  <c r="M498" i="10"/>
  <c r="M497" i="10"/>
  <c r="M496" i="10"/>
  <c r="M495" i="10"/>
  <c r="M494" i="10"/>
  <c r="M493" i="10"/>
  <c r="M492" i="10"/>
  <c r="M491" i="10"/>
  <c r="M490" i="10"/>
  <c r="M489" i="10"/>
  <c r="M488" i="10"/>
  <c r="M487" i="10"/>
  <c r="M486" i="10"/>
  <c r="M485" i="10"/>
  <c r="M484" i="10"/>
  <c r="M483" i="10"/>
  <c r="M482" i="10"/>
  <c r="M481" i="10"/>
  <c r="M480" i="10"/>
  <c r="M479" i="10"/>
  <c r="M478" i="10"/>
  <c r="M477" i="10"/>
  <c r="M476" i="10"/>
  <c r="M475" i="10"/>
  <c r="M474" i="10"/>
  <c r="M473" i="10"/>
  <c r="M472" i="10"/>
  <c r="M471" i="10"/>
  <c r="M470" i="10"/>
  <c r="M469" i="10"/>
  <c r="M468" i="10"/>
  <c r="M467" i="10"/>
  <c r="M466" i="10"/>
  <c r="M465" i="10"/>
  <c r="M464" i="10"/>
  <c r="M463" i="10"/>
  <c r="M462" i="10"/>
  <c r="M461" i="10"/>
  <c r="M460" i="10"/>
  <c r="M459" i="10"/>
  <c r="M458" i="10"/>
  <c r="M457" i="10"/>
  <c r="M456" i="10"/>
  <c r="M455" i="10"/>
  <c r="M454" i="10"/>
  <c r="M453" i="10"/>
  <c r="M452" i="10"/>
  <c r="M451" i="10"/>
  <c r="M450" i="10"/>
  <c r="M449" i="10"/>
  <c r="M448" i="10"/>
  <c r="M447" i="10"/>
  <c r="M446" i="10"/>
  <c r="M445" i="10"/>
  <c r="M444" i="10"/>
  <c r="M443" i="10"/>
  <c r="M442" i="10"/>
  <c r="M441" i="10"/>
  <c r="M440" i="10"/>
  <c r="M439" i="10"/>
  <c r="M438" i="10"/>
  <c r="M437" i="10"/>
  <c r="M436" i="10"/>
  <c r="M435" i="10"/>
  <c r="M434" i="10"/>
  <c r="M433" i="10"/>
  <c r="M432" i="10"/>
  <c r="M431" i="10"/>
  <c r="M430" i="10"/>
  <c r="M429" i="10"/>
  <c r="M428" i="10"/>
  <c r="M427" i="10"/>
  <c r="M426" i="10"/>
  <c r="M425" i="10"/>
  <c r="M424" i="10"/>
  <c r="M423" i="10"/>
  <c r="M422" i="10"/>
  <c r="M421" i="10"/>
  <c r="M420" i="10"/>
  <c r="M419" i="10"/>
  <c r="M418" i="10"/>
  <c r="M417" i="10"/>
  <c r="M416" i="10"/>
  <c r="M415" i="10"/>
  <c r="M414" i="10"/>
  <c r="M413" i="10"/>
  <c r="M412" i="10"/>
  <c r="M411" i="10"/>
  <c r="M410" i="10"/>
  <c r="M409" i="10"/>
  <c r="M408" i="10"/>
  <c r="M407" i="10"/>
  <c r="M406" i="10"/>
  <c r="M405" i="10"/>
  <c r="M404" i="10"/>
  <c r="M403" i="10"/>
  <c r="M402" i="10"/>
  <c r="M401" i="10"/>
  <c r="M400" i="10"/>
  <c r="M399" i="10"/>
  <c r="M398" i="10"/>
  <c r="M397" i="10"/>
  <c r="M396" i="10"/>
  <c r="M395" i="10"/>
  <c r="M394" i="10"/>
  <c r="M393" i="10"/>
  <c r="M392" i="10"/>
  <c r="M391" i="10"/>
  <c r="M390" i="10"/>
  <c r="M389" i="10"/>
  <c r="M388" i="10"/>
  <c r="M387" i="10"/>
  <c r="M386" i="10"/>
  <c r="M385" i="10"/>
  <c r="M384" i="10"/>
  <c r="M383" i="10"/>
  <c r="M382" i="10"/>
  <c r="M381" i="10"/>
  <c r="M380" i="10"/>
  <c r="M379" i="10"/>
  <c r="M378" i="10"/>
  <c r="M377" i="10"/>
  <c r="M376" i="10"/>
  <c r="M375" i="10"/>
  <c r="M374" i="10"/>
  <c r="M373" i="10"/>
  <c r="M372" i="10"/>
  <c r="M371" i="10"/>
  <c r="M370" i="10"/>
  <c r="M369" i="10"/>
  <c r="M368" i="10"/>
  <c r="M367" i="10"/>
  <c r="M366" i="10"/>
  <c r="M365" i="10"/>
  <c r="M364" i="10"/>
  <c r="M363" i="10"/>
  <c r="M362" i="10"/>
  <c r="M361" i="10"/>
  <c r="M360" i="10"/>
  <c r="M359" i="10"/>
  <c r="M358" i="10"/>
  <c r="M357" i="10"/>
  <c r="M356" i="10"/>
  <c r="M355" i="10"/>
  <c r="M354" i="10"/>
  <c r="M353" i="10"/>
  <c r="M352" i="10"/>
  <c r="M351" i="10"/>
  <c r="M350" i="10"/>
  <c r="M349" i="10"/>
  <c r="M348" i="10"/>
  <c r="M347" i="10"/>
  <c r="M346" i="10"/>
  <c r="M345" i="10"/>
  <c r="M344" i="10"/>
  <c r="M343" i="10"/>
  <c r="M342" i="10"/>
  <c r="M341" i="10"/>
  <c r="M340" i="10"/>
  <c r="M339" i="10"/>
  <c r="M338" i="10"/>
  <c r="M337" i="10"/>
  <c r="M336" i="10"/>
  <c r="M335" i="10"/>
  <c r="M334" i="10"/>
  <c r="M333" i="10"/>
  <c r="M332" i="10"/>
  <c r="M331" i="10"/>
  <c r="M330" i="10"/>
  <c r="M329" i="10"/>
  <c r="M328" i="10"/>
  <c r="M327" i="10"/>
  <c r="M326" i="10"/>
  <c r="M325" i="10"/>
  <c r="M324" i="10"/>
  <c r="M323" i="10"/>
  <c r="M322" i="10"/>
  <c r="M321" i="10"/>
  <c r="M320" i="10"/>
  <c r="M319" i="10"/>
  <c r="M318" i="10"/>
  <c r="M317" i="10"/>
  <c r="M316" i="10"/>
  <c r="M315" i="10"/>
  <c r="M314" i="10"/>
  <c r="M313" i="10"/>
  <c r="M312" i="10"/>
  <c r="M311" i="10"/>
  <c r="M310" i="10"/>
  <c r="M309" i="10"/>
  <c r="M308" i="10"/>
  <c r="M307" i="10"/>
  <c r="M306" i="10"/>
  <c r="M305" i="10"/>
  <c r="M304" i="10"/>
  <c r="M303" i="10"/>
  <c r="M302" i="10"/>
  <c r="M301" i="10"/>
  <c r="M300" i="10"/>
  <c r="M299" i="10"/>
  <c r="M298" i="10"/>
  <c r="M297" i="10"/>
  <c r="M296" i="10"/>
  <c r="M295" i="10"/>
  <c r="M294" i="10"/>
  <c r="M293" i="10"/>
  <c r="M292" i="10"/>
  <c r="M291" i="10"/>
  <c r="M290" i="10"/>
  <c r="M289" i="10"/>
  <c r="M288" i="10"/>
  <c r="M287" i="10"/>
  <c r="M286" i="10"/>
  <c r="M285" i="10"/>
  <c r="M284" i="10"/>
  <c r="M283" i="10"/>
  <c r="M282" i="10"/>
  <c r="M281" i="10"/>
  <c r="M280" i="10"/>
  <c r="M279" i="10"/>
  <c r="M278" i="10"/>
  <c r="M277" i="10"/>
  <c r="M276" i="10"/>
  <c r="M275" i="10"/>
  <c r="M274" i="10"/>
  <c r="M273" i="10"/>
  <c r="M272" i="10"/>
  <c r="M271" i="10"/>
  <c r="M270" i="10"/>
  <c r="M269" i="10"/>
  <c r="M268" i="10"/>
  <c r="M267" i="10"/>
  <c r="M266" i="10"/>
  <c r="M265" i="10"/>
  <c r="M264" i="10"/>
  <c r="M263" i="10"/>
  <c r="M262" i="10"/>
  <c r="M261" i="10"/>
  <c r="M260" i="10"/>
  <c r="M259" i="10"/>
  <c r="M258" i="10"/>
  <c r="M257" i="10"/>
  <c r="M256" i="10"/>
  <c r="M255" i="10"/>
  <c r="M254" i="10"/>
  <c r="M253" i="10"/>
  <c r="M252" i="10"/>
  <c r="M251" i="10"/>
  <c r="M250" i="10"/>
  <c r="M249" i="10"/>
  <c r="M248" i="10"/>
  <c r="M247" i="10"/>
  <c r="M246" i="10"/>
  <c r="M245" i="10"/>
  <c r="M244" i="10"/>
  <c r="M243" i="10"/>
  <c r="M242" i="10"/>
  <c r="M241" i="10"/>
  <c r="M240" i="10"/>
  <c r="M239" i="10"/>
  <c r="M238" i="10"/>
  <c r="M237" i="10"/>
  <c r="M236" i="10"/>
  <c r="M235" i="10"/>
  <c r="M234" i="10"/>
  <c r="M233" i="10"/>
  <c r="M232" i="10"/>
  <c r="M231" i="10"/>
  <c r="M230" i="10"/>
  <c r="M229" i="10"/>
  <c r="M228" i="10"/>
  <c r="M227" i="10"/>
  <c r="M226" i="10"/>
  <c r="M225" i="10"/>
  <c r="M224" i="10"/>
  <c r="M223" i="10"/>
  <c r="M222" i="10"/>
  <c r="M221" i="10"/>
  <c r="M220" i="10"/>
  <c r="M219" i="10"/>
  <c r="M218" i="10"/>
  <c r="M217" i="10"/>
  <c r="M216" i="10"/>
  <c r="M215" i="10"/>
  <c r="M214" i="10"/>
  <c r="M213" i="10"/>
  <c r="M212" i="10"/>
  <c r="M211" i="10"/>
  <c r="M210" i="10"/>
  <c r="M209" i="10"/>
  <c r="M208" i="10"/>
  <c r="M207" i="10"/>
  <c r="M206" i="10"/>
  <c r="M205" i="10"/>
  <c r="M204" i="10"/>
  <c r="M203" i="10"/>
  <c r="M202" i="10"/>
  <c r="M201" i="10"/>
  <c r="M200" i="10"/>
  <c r="M199" i="10"/>
  <c r="M198" i="10"/>
  <c r="M197" i="10"/>
  <c r="M196" i="10"/>
  <c r="M195" i="10"/>
  <c r="M194" i="10"/>
  <c r="M193" i="10"/>
  <c r="M192" i="10"/>
  <c r="M191" i="10"/>
  <c r="M190" i="10"/>
  <c r="M189" i="10"/>
  <c r="M188" i="10"/>
  <c r="M187" i="10"/>
  <c r="M186" i="10"/>
  <c r="M185" i="10"/>
  <c r="M184" i="10"/>
  <c r="M183" i="10"/>
  <c r="M182" i="10"/>
  <c r="M181" i="10"/>
  <c r="M180" i="10"/>
  <c r="M179" i="10"/>
  <c r="M178" i="10"/>
  <c r="M177" i="10"/>
  <c r="M176" i="10"/>
  <c r="M175" i="10"/>
  <c r="M174" i="10"/>
  <c r="M173" i="10"/>
  <c r="M172" i="10"/>
  <c r="M171" i="10"/>
  <c r="M170" i="10"/>
  <c r="M169" i="10"/>
  <c r="M168" i="10"/>
  <c r="M167" i="10"/>
  <c r="M166" i="10"/>
  <c r="M165" i="10"/>
  <c r="M164" i="10"/>
  <c r="M163" i="10"/>
  <c r="M162" i="10"/>
  <c r="M161" i="10"/>
  <c r="M160" i="10"/>
  <c r="M159" i="10"/>
  <c r="M158" i="10"/>
  <c r="M157" i="10"/>
  <c r="M156" i="10"/>
  <c r="M155" i="10"/>
  <c r="M154" i="10"/>
  <c r="M153" i="10"/>
  <c r="M152" i="10"/>
  <c r="M151" i="10"/>
  <c r="M150" i="10"/>
  <c r="M149" i="10"/>
  <c r="M148" i="10"/>
  <c r="M147" i="10"/>
  <c r="M146" i="10"/>
  <c r="M145" i="10"/>
  <c r="M144" i="10"/>
  <c r="M143" i="10"/>
  <c r="M142" i="10"/>
  <c r="M141" i="10"/>
  <c r="M140" i="10"/>
  <c r="M139" i="10"/>
  <c r="M138" i="10"/>
  <c r="M137" i="10"/>
  <c r="M136" i="10"/>
  <c r="M135" i="10"/>
  <c r="M134" i="10"/>
  <c r="M133" i="10"/>
  <c r="M132" i="10"/>
  <c r="M131" i="10"/>
  <c r="M130" i="10"/>
  <c r="M129" i="10"/>
  <c r="M128" i="10"/>
  <c r="M127" i="10"/>
  <c r="M126" i="10"/>
  <c r="M125" i="10"/>
  <c r="M124" i="10"/>
  <c r="M123" i="10"/>
  <c r="M122" i="10"/>
  <c r="M121" i="10"/>
  <c r="M120" i="10"/>
  <c r="M119" i="10"/>
  <c r="M118" i="10"/>
  <c r="M117" i="10"/>
  <c r="M116" i="10"/>
  <c r="M115" i="10"/>
  <c r="M114" i="10"/>
  <c r="M113" i="10"/>
  <c r="M112" i="10"/>
  <c r="M111" i="10"/>
  <c r="M110" i="10"/>
  <c r="M109" i="10"/>
  <c r="M108" i="10"/>
  <c r="M107" i="10"/>
  <c r="M106" i="10"/>
  <c r="M105" i="10"/>
  <c r="M104" i="10"/>
  <c r="M103" i="10"/>
  <c r="M102" i="10"/>
  <c r="M101" i="10"/>
  <c r="M100" i="10"/>
  <c r="M99" i="10"/>
  <c r="M98" i="10"/>
  <c r="M97" i="10"/>
  <c r="M96" i="10"/>
  <c r="M95" i="10"/>
  <c r="M94" i="10"/>
  <c r="M93" i="10"/>
  <c r="M92" i="10"/>
  <c r="M91" i="10"/>
  <c r="M90" i="10"/>
  <c r="M89" i="10"/>
  <c r="M88" i="10"/>
  <c r="M87" i="10"/>
  <c r="M86" i="10"/>
  <c r="M85" i="10"/>
  <c r="M84" i="10"/>
  <c r="M83" i="10"/>
  <c r="M82" i="10"/>
  <c r="M81" i="10"/>
  <c r="M80" i="10"/>
  <c r="M79" i="10"/>
  <c r="M78" i="10"/>
  <c r="M77" i="10"/>
  <c r="M76" i="10"/>
  <c r="M75" i="10"/>
  <c r="M74" i="10"/>
  <c r="M73" i="10"/>
  <c r="M72" i="10"/>
  <c r="M71" i="10"/>
  <c r="M70" i="10"/>
  <c r="M69" i="10"/>
  <c r="M68" i="10"/>
  <c r="M67" i="10"/>
  <c r="M66" i="10"/>
  <c r="M65" i="10"/>
  <c r="M64" i="10"/>
  <c r="M63" i="10"/>
  <c r="M62" i="10"/>
  <c r="M61" i="10"/>
  <c r="M60" i="10"/>
  <c r="M59" i="10"/>
  <c r="M58" i="10"/>
  <c r="M57" i="10"/>
  <c r="M56" i="10"/>
  <c r="M55" i="10"/>
  <c r="M54" i="10"/>
  <c r="M53" i="10"/>
  <c r="M52" i="10"/>
  <c r="M51" i="10"/>
  <c r="M50" i="10"/>
  <c r="M49" i="10"/>
  <c r="M48" i="10"/>
  <c r="M47" i="10"/>
  <c r="M46" i="10"/>
  <c r="M45" i="10"/>
  <c r="M44" i="10"/>
  <c r="M43" i="10"/>
  <c r="M42" i="10"/>
  <c r="M41" i="10"/>
  <c r="M40" i="10"/>
  <c r="M39" i="10"/>
  <c r="M38" i="10"/>
  <c r="M37" i="10"/>
  <c r="M36" i="10"/>
  <c r="M35" i="10"/>
  <c r="M34" i="10"/>
  <c r="M33" i="10"/>
  <c r="M32" i="10"/>
  <c r="M31" i="10"/>
  <c r="M30" i="10"/>
  <c r="M29" i="10"/>
  <c r="M28" i="10"/>
  <c r="M27" i="10"/>
  <c r="M26" i="10"/>
  <c r="M25" i="10"/>
  <c r="M24" i="10"/>
  <c r="M23" i="10"/>
  <c r="M22" i="10"/>
  <c r="M21" i="10"/>
  <c r="M20" i="10"/>
  <c r="M19" i="10"/>
  <c r="M18" i="10"/>
  <c r="M17" i="10"/>
  <c r="M16" i="10"/>
  <c r="M15" i="10"/>
  <c r="M14" i="10"/>
  <c r="M13" i="10"/>
  <c r="M12" i="10"/>
  <c r="M11" i="10"/>
  <c r="M10" i="10"/>
  <c r="M9" i="10"/>
  <c r="M8" i="10"/>
  <c r="M7" i="10"/>
  <c r="M6" i="10"/>
  <c r="M5" i="10"/>
  <c r="M4" i="10"/>
  <c r="M2"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<sst xmlns="http://schemas.openxmlformats.org/spreadsheetml/2006/main" count="17127" uniqueCount="6368">
  <si>
    <t>Sale_ID</t>
  </si>
  <si>
    <t>Sale_Date</t>
  </si>
  <si>
    <t>Customer_Ref</t>
  </si>
  <si>
    <t>Product_SKU</t>
  </si>
  <si>
    <t>Units_Sold</t>
  </si>
  <si>
    <t>Customer_Name</t>
  </si>
  <si>
    <t>Customer_Email</t>
  </si>
  <si>
    <t>Ship_Country</t>
  </si>
  <si>
    <t>Book_Genre</t>
  </si>
  <si>
    <t>Price_Per_Unit</t>
  </si>
  <si>
    <t>Revenue</t>
  </si>
  <si>
    <t>SALE-001-2023</t>
  </si>
  <si>
    <t>SALE-002-2023</t>
  </si>
  <si>
    <t>SALE-003-2023</t>
  </si>
  <si>
    <t>SALE-004-2023</t>
  </si>
  <si>
    <t>SALE-005-2023</t>
  </si>
  <si>
    <t>SALE-006-2023</t>
  </si>
  <si>
    <t>SALE-007-2023</t>
  </si>
  <si>
    <t>SALE-008-2023</t>
  </si>
  <si>
    <t>SALE-009-2023</t>
  </si>
  <si>
    <t>SALE-010-2023</t>
  </si>
  <si>
    <t>SALE-011-2023</t>
  </si>
  <si>
    <t>SALE-012-2023</t>
  </si>
  <si>
    <t>SALE-013-2023</t>
  </si>
  <si>
    <t>SALE-014-2023</t>
  </si>
  <si>
    <t>SALE-015-2023</t>
  </si>
  <si>
    <t>SALE-016-2023</t>
  </si>
  <si>
    <t>SALE-017-2023</t>
  </si>
  <si>
    <t>SALE-018-2023</t>
  </si>
  <si>
    <t>SALE-019-2023</t>
  </si>
  <si>
    <t>SALE-020-2023</t>
  </si>
  <si>
    <t>SALE-021-2023</t>
  </si>
  <si>
    <t>SALE-022-2023</t>
  </si>
  <si>
    <t>SALE-023-2023</t>
  </si>
  <si>
    <t>SALE-024-2023</t>
  </si>
  <si>
    <t>SALE-025-2023</t>
  </si>
  <si>
    <t>SALE-026-2023</t>
  </si>
  <si>
    <t>SALE-027-2023</t>
  </si>
  <si>
    <t>SALE-028-2023</t>
  </si>
  <si>
    <t>SALE-029-2023</t>
  </si>
  <si>
    <t>SALE-030-2023</t>
  </si>
  <si>
    <t>SALE-031-2023</t>
  </si>
  <si>
    <t>SALE-032-2023</t>
  </si>
  <si>
    <t>SALE-033-2023</t>
  </si>
  <si>
    <t>SALE-034-2023</t>
  </si>
  <si>
    <t>SALE-035-2023</t>
  </si>
  <si>
    <t>SALE-036-2023</t>
  </si>
  <si>
    <t>SALE-037-2023</t>
  </si>
  <si>
    <t>SALE-038-2023</t>
  </si>
  <si>
    <t>SALE-039-2023</t>
  </si>
  <si>
    <t>SALE-040-2023</t>
  </si>
  <si>
    <t>SALE-041-2023</t>
  </si>
  <si>
    <t>SALE-042-2023</t>
  </si>
  <si>
    <t>SALE-043-2023</t>
  </si>
  <si>
    <t>SALE-044-2023</t>
  </si>
  <si>
    <t>SALE-045-2023</t>
  </si>
  <si>
    <t>SALE-046-2023</t>
  </si>
  <si>
    <t>SALE-047-2023</t>
  </si>
  <si>
    <t>SALE-048-2023</t>
  </si>
  <si>
    <t>SALE-049-2023</t>
  </si>
  <si>
    <t>SALE-050-2023</t>
  </si>
  <si>
    <t>Full_Name</t>
  </si>
  <si>
    <t>Email_Address</t>
  </si>
  <si>
    <t>Phone_Number</t>
  </si>
  <si>
    <t>Delivery_Address</t>
  </si>
  <si>
    <t>City</t>
  </si>
  <si>
    <t>Country</t>
  </si>
  <si>
    <t>Postal_Code</t>
  </si>
  <si>
    <t>Membership_Level</t>
  </si>
  <si>
    <t>Join_Date</t>
  </si>
  <si>
    <t>USA</t>
  </si>
  <si>
    <t>Gold</t>
  </si>
  <si>
    <t>Madrid</t>
  </si>
  <si>
    <t>Spain</t>
  </si>
  <si>
    <t>Silver</t>
  </si>
  <si>
    <t>Tokyo</t>
  </si>
  <si>
    <t>Japan</t>
  </si>
  <si>
    <t>160-0022</t>
  </si>
  <si>
    <t>Dubai</t>
  </si>
  <si>
    <t>UAE</t>
  </si>
  <si>
    <t>Bronze</t>
  </si>
  <si>
    <t>Milan</t>
  </si>
  <si>
    <t>Italy</t>
  </si>
  <si>
    <t>+33 1 23 45 67 89</t>
  </si>
  <si>
    <t>Paris</t>
  </si>
  <si>
    <t>France</t>
  </si>
  <si>
    <t>Mumbai</t>
  </si>
  <si>
    <t>India</t>
  </si>
  <si>
    <t>Beijing</t>
  </si>
  <si>
    <t>China</t>
  </si>
  <si>
    <t>Berlin</t>
  </si>
  <si>
    <t>Germany</t>
  </si>
  <si>
    <t>Brazil</t>
  </si>
  <si>
    <t>South Korea</t>
  </si>
  <si>
    <t>Rome</t>
  </si>
  <si>
    <t>CUST-1019</t>
  </si>
  <si>
    <t>+52 55 1234 5678</t>
  </si>
  <si>
    <t>Paseo de la Reforma 500</t>
  </si>
  <si>
    <t>Mexico City</t>
  </si>
  <si>
    <t>Mexico</t>
  </si>
  <si>
    <t>CUST-1020</t>
  </si>
  <si>
    <t>+7 495 123-45-67</t>
  </si>
  <si>
    <t>Tverskaya Street 15</t>
  </si>
  <si>
    <t>Moscow</t>
  </si>
  <si>
    <t>Russia</t>
  </si>
  <si>
    <t>CUST-1021</t>
  </si>
  <si>
    <t>+1 (416) 555-1234</t>
  </si>
  <si>
    <t>Yonge Street 100</t>
  </si>
  <si>
    <t>Toronto</t>
  </si>
  <si>
    <t>Canada</t>
  </si>
  <si>
    <t>M5C 1B6</t>
  </si>
  <si>
    <t>CUST-1022</t>
  </si>
  <si>
    <t>+351 21 123 4567</t>
  </si>
  <si>
    <t>Avenida da Liberdade 200</t>
  </si>
  <si>
    <t>Lisbon</t>
  </si>
  <si>
    <t>Portugal</t>
  </si>
  <si>
    <t>CUST-1023</t>
  </si>
  <si>
    <t>+81 6-7890-1234</t>
  </si>
  <si>
    <t>Umeda 2-4-9</t>
  </si>
  <si>
    <t>Osaka</t>
  </si>
  <si>
    <t>530-0001</t>
  </si>
  <si>
    <t>CUST-1024</t>
  </si>
  <si>
    <t>+966 11 234 5678</t>
  </si>
  <si>
    <t>King Fahd Road 45</t>
  </si>
  <si>
    <t>Riyadh</t>
  </si>
  <si>
    <t>Saudi Arabia</t>
  </si>
  <si>
    <t>CUST-1025</t>
  </si>
  <si>
    <t>+41 44 567 89 00</t>
  </si>
  <si>
    <t>Bahnhofstrasse 30</t>
  </si>
  <si>
    <t>Zurich</t>
  </si>
  <si>
    <t>Switzerland</t>
  </si>
  <si>
    <t>SALE-051-2023</t>
  </si>
  <si>
    <t>SALE-052-2023</t>
  </si>
  <si>
    <t>SALE-053-2023</t>
  </si>
  <si>
    <t>SALE-054-2023</t>
  </si>
  <si>
    <t>SALE-055-2023</t>
  </si>
  <si>
    <t>SALE-056-2023</t>
  </si>
  <si>
    <t>SALE-057-2023</t>
  </si>
  <si>
    <t>SALE-058-2023</t>
  </si>
  <si>
    <t>SALE-059-2023</t>
  </si>
  <si>
    <t>SALE-060-2023</t>
  </si>
  <si>
    <t>SALE-061-2023</t>
  </si>
  <si>
    <t>SALE-062-2023</t>
  </si>
  <si>
    <t>SALE-063-2023</t>
  </si>
  <si>
    <t>SALE-064-2023</t>
  </si>
  <si>
    <t>SALE-065-2023</t>
  </si>
  <si>
    <t>SALE-066-2023</t>
  </si>
  <si>
    <t>SALE-067-2023</t>
  </si>
  <si>
    <t>SALE-068-2023</t>
  </si>
  <si>
    <t>SALE-069-2023</t>
  </si>
  <si>
    <t>SALE-070-2023</t>
  </si>
  <si>
    <t>SALE-071-2023</t>
  </si>
  <si>
    <t>SALE-072-2023</t>
  </si>
  <si>
    <t>SALE-073-2023</t>
  </si>
  <si>
    <t>SALE-074-2023</t>
  </si>
  <si>
    <t>SALE-075-2023</t>
  </si>
  <si>
    <t>SALE-076-2023</t>
  </si>
  <si>
    <t>SALE-077-2023</t>
  </si>
  <si>
    <t>SALE-078-2023</t>
  </si>
  <si>
    <t>SALE-079-2023</t>
  </si>
  <si>
    <t>SALE-080-2023</t>
  </si>
  <si>
    <t>SALE-081-2023</t>
  </si>
  <si>
    <t>SALE-082-2023</t>
  </si>
  <si>
    <t>SALE-083-2023</t>
  </si>
  <si>
    <t>SALE-084-2023</t>
  </si>
  <si>
    <t>SALE-085-2023</t>
  </si>
  <si>
    <t>SALE-086-2023</t>
  </si>
  <si>
    <t>SALE-087-2023</t>
  </si>
  <si>
    <t>SALE-088-2023</t>
  </si>
  <si>
    <t>SALE-089-2023</t>
  </si>
  <si>
    <t>SALE-090-2023</t>
  </si>
  <si>
    <t>SALE-091-2023</t>
  </si>
  <si>
    <t>SALE-092-2023</t>
  </si>
  <si>
    <t>SALE-093-2023</t>
  </si>
  <si>
    <t>SALE-094-2023</t>
  </si>
  <si>
    <t>SALE-095-2023</t>
  </si>
  <si>
    <t>SALE-096-2023</t>
  </si>
  <si>
    <t>SALE-097-2023</t>
  </si>
  <si>
    <t>SALE-098-2023</t>
  </si>
  <si>
    <t>SALE-099-2023</t>
  </si>
  <si>
    <t>SALE-100-2023</t>
  </si>
  <si>
    <t>SALE-101-2023</t>
  </si>
  <si>
    <t>SALE-102-2023</t>
  </si>
  <si>
    <t>SALE-103-2023</t>
  </si>
  <si>
    <t>SALE-104-2023</t>
  </si>
  <si>
    <t>SALE-105-2023</t>
  </si>
  <si>
    <t>SALE-106-2023</t>
  </si>
  <si>
    <t>SALE-107-2023</t>
  </si>
  <si>
    <t>SALE-108-2023</t>
  </si>
  <si>
    <t>SALE-109-2023</t>
  </si>
  <si>
    <t>SALE-110-2023</t>
  </si>
  <si>
    <t>SALE-111-2023</t>
  </si>
  <si>
    <t>SALE-112-2023</t>
  </si>
  <si>
    <t>SALE-113-2023</t>
  </si>
  <si>
    <t>SALE-114-2023</t>
  </si>
  <si>
    <t>SALE-115-2023</t>
  </si>
  <si>
    <t>SALE-116-2023</t>
  </si>
  <si>
    <t>SALE-117-2023</t>
  </si>
  <si>
    <t>SALE-118-2023</t>
  </si>
  <si>
    <t>SALE-119-2023</t>
  </si>
  <si>
    <t>SALE-120-2023</t>
  </si>
  <si>
    <t>SALE-121-2023</t>
  </si>
  <si>
    <t>SALE-122-2023</t>
  </si>
  <si>
    <t>SALE-123-2023</t>
  </si>
  <si>
    <t>SALE-124-2023</t>
  </si>
  <si>
    <t>SALE-125-2023</t>
  </si>
  <si>
    <t>SALE-126-2023</t>
  </si>
  <si>
    <t>SALE-127-2023</t>
  </si>
  <si>
    <t>SALE-128-2023</t>
  </si>
  <si>
    <t>SALE-129-2023</t>
  </si>
  <si>
    <t>SALE-130-2023</t>
  </si>
  <si>
    <t>SALE-131-2023</t>
  </si>
  <si>
    <t>SALE-132-2023</t>
  </si>
  <si>
    <t>SALE-133-2023</t>
  </si>
  <si>
    <t>SALE-134-2023</t>
  </si>
  <si>
    <t>SALE-135-2023</t>
  </si>
  <si>
    <t>SALE-136-2023</t>
  </si>
  <si>
    <t>SALE-137-2023</t>
  </si>
  <si>
    <t>SALE-138-2023</t>
  </si>
  <si>
    <t>SALE-139-2023</t>
  </si>
  <si>
    <t>SALE-140-2023</t>
  </si>
  <si>
    <t>SALE-141-2023</t>
  </si>
  <si>
    <t>SALE-142-2023</t>
  </si>
  <si>
    <t>SALE-143-2023</t>
  </si>
  <si>
    <t>SALE-144-2023</t>
  </si>
  <si>
    <t>SALE-145-2023</t>
  </si>
  <si>
    <t>SALE-146-2023</t>
  </si>
  <si>
    <t>SALE-147-2023</t>
  </si>
  <si>
    <t>SALE-148-2023</t>
  </si>
  <si>
    <t>SALE-149-2023</t>
  </si>
  <si>
    <t>SALE-150-2023</t>
  </si>
  <si>
    <t>SALE-151-2023</t>
  </si>
  <si>
    <t>SALE-152-2023</t>
  </si>
  <si>
    <t>SALE-153-2023</t>
  </si>
  <si>
    <t>SALE-154-2023</t>
  </si>
  <si>
    <t>SALE-155-2023</t>
  </si>
  <si>
    <t>SALE-156-2023</t>
  </si>
  <si>
    <t>SALE-157-2023</t>
  </si>
  <si>
    <t>SALE-158-2023</t>
  </si>
  <si>
    <t>SALE-159-2023</t>
  </si>
  <si>
    <t>SALE-160-2023</t>
  </si>
  <si>
    <t>SALE-161-2023</t>
  </si>
  <si>
    <t>SALE-162-2023</t>
  </si>
  <si>
    <t>SALE-163-2023</t>
  </si>
  <si>
    <t>SALE-164-2023</t>
  </si>
  <si>
    <t>SALE-165-2023</t>
  </si>
  <si>
    <t>SALE-166-2023</t>
  </si>
  <si>
    <t>SALE-167-2023</t>
  </si>
  <si>
    <t>SALE-168-2023</t>
  </si>
  <si>
    <t>SALE-169-2023</t>
  </si>
  <si>
    <t>SALE-170-2023</t>
  </si>
  <si>
    <t>SALE-171-2023</t>
  </si>
  <si>
    <t>SALE-172-2023</t>
  </si>
  <si>
    <t>SALE-173-2023</t>
  </si>
  <si>
    <t>SALE-174-2023</t>
  </si>
  <si>
    <t>SALE-175-2023</t>
  </si>
  <si>
    <t>SALE-176-2023</t>
  </si>
  <si>
    <t>SALE-177-2023</t>
  </si>
  <si>
    <t>SALE-178-2023</t>
  </si>
  <si>
    <t>SALE-179-2023</t>
  </si>
  <si>
    <t>SALE-180-2023</t>
  </si>
  <si>
    <t>SALE-181-2023</t>
  </si>
  <si>
    <t>SALE-182-2023</t>
  </si>
  <si>
    <t>SALE-183-2023</t>
  </si>
  <si>
    <t>SALE-184-2023</t>
  </si>
  <si>
    <t>SALE-185-2023</t>
  </si>
  <si>
    <t>SALE-186-2023</t>
  </si>
  <si>
    <t>SALE-187-2023</t>
  </si>
  <si>
    <t>SALE-188-2023</t>
  </si>
  <si>
    <t>SALE-189-2023</t>
  </si>
  <si>
    <t>SALE-190-2023</t>
  </si>
  <si>
    <t>SALE-191-2023</t>
  </si>
  <si>
    <t>SALE-192-2023</t>
  </si>
  <si>
    <t>SALE-193-2023</t>
  </si>
  <si>
    <t>SALE-194-2023</t>
  </si>
  <si>
    <t>SALE-195-2023</t>
  </si>
  <si>
    <t>SALE-196-2023</t>
  </si>
  <si>
    <t>SALE-197-2023</t>
  </si>
  <si>
    <t>SALE-198-2023</t>
  </si>
  <si>
    <t>SALE-199-2023</t>
  </si>
  <si>
    <t>SALE-200-2023</t>
  </si>
  <si>
    <t>SALE-201-2023</t>
  </si>
  <si>
    <t>SALE-202-2023</t>
  </si>
  <si>
    <t>SALE-203-2023</t>
  </si>
  <si>
    <t>SALE-204-2023</t>
  </si>
  <si>
    <t>SALE-205-2023</t>
  </si>
  <si>
    <t>SALE-206-2023</t>
  </si>
  <si>
    <t>SALE-207-2023</t>
  </si>
  <si>
    <t>SALE-208-2023</t>
  </si>
  <si>
    <t>SALE-209-2023</t>
  </si>
  <si>
    <t>SALE-210-2023</t>
  </si>
  <si>
    <t>SALE-211-2023</t>
  </si>
  <si>
    <t>SALE-212-2023</t>
  </si>
  <si>
    <t>SALE-213-2023</t>
  </si>
  <si>
    <t>SALE-214-2023</t>
  </si>
  <si>
    <t>SALE-215-2023</t>
  </si>
  <si>
    <t>SALE-216-2023</t>
  </si>
  <si>
    <t>SALE-217-2023</t>
  </si>
  <si>
    <t>SALE-218-2023</t>
  </si>
  <si>
    <t>SALE-219-2023</t>
  </si>
  <si>
    <t>SALE-220-2023</t>
  </si>
  <si>
    <t>SALE-221-2023</t>
  </si>
  <si>
    <t>SALE-222-2023</t>
  </si>
  <si>
    <t>SALE-223-2023</t>
  </si>
  <si>
    <t>SALE-224-2023</t>
  </si>
  <si>
    <t>SALE-225-2023</t>
  </si>
  <si>
    <t>SALE-226-2023</t>
  </si>
  <si>
    <t>SALE-227-2023</t>
  </si>
  <si>
    <t>SALE-228-2023</t>
  </si>
  <si>
    <t>SALE-229-2023</t>
  </si>
  <si>
    <t>SALE-230-2023</t>
  </si>
  <si>
    <t>SALE-231-2023</t>
  </si>
  <si>
    <t>SALE-232-2023</t>
  </si>
  <si>
    <t>SALE-233-2023</t>
  </si>
  <si>
    <t>SALE-234-2023</t>
  </si>
  <si>
    <t>SALE-235-2023</t>
  </si>
  <si>
    <t>SALE-236-2023</t>
  </si>
  <si>
    <t>SALE-237-2023</t>
  </si>
  <si>
    <t>SALE-238-2023</t>
  </si>
  <si>
    <t>SALE-239-2023</t>
  </si>
  <si>
    <t>SALE-240-2023</t>
  </si>
  <si>
    <t>SALE-241-2023</t>
  </si>
  <si>
    <t>SALE-242-2023</t>
  </si>
  <si>
    <t>SALE-243-2023</t>
  </si>
  <si>
    <t>SALE-244-2023</t>
  </si>
  <si>
    <t>SALE-245-2023</t>
  </si>
  <si>
    <t>SALE-246-2023</t>
  </si>
  <si>
    <t>SALE-247-2023</t>
  </si>
  <si>
    <t>SALE-248-2023</t>
  </si>
  <si>
    <t>SALE-249-2023</t>
  </si>
  <si>
    <t>SALE-250-2023</t>
  </si>
  <si>
    <t>SALE-251-2023</t>
  </si>
  <si>
    <t>SALE-252-2023</t>
  </si>
  <si>
    <t>SALE-253-2023</t>
  </si>
  <si>
    <t>SALE-254-2023</t>
  </si>
  <si>
    <t>SALE-255-2023</t>
  </si>
  <si>
    <t>SALE-256-2023</t>
  </si>
  <si>
    <t>SALE-257-2023</t>
  </si>
  <si>
    <t>SALE-258-2023</t>
  </si>
  <si>
    <t>SALE-259-2023</t>
  </si>
  <si>
    <t>SALE-260-2023</t>
  </si>
  <si>
    <t>SALE-261-2023</t>
  </si>
  <si>
    <t>SALE-262-2023</t>
  </si>
  <si>
    <t>SALE-263-2023</t>
  </si>
  <si>
    <t>SALE-264-2023</t>
  </si>
  <si>
    <t>SALE-265-2023</t>
  </si>
  <si>
    <t>SALE-266-2023</t>
  </si>
  <si>
    <t>SALE-267-2023</t>
  </si>
  <si>
    <t>SALE-268-2023</t>
  </si>
  <si>
    <t>SALE-269-2023</t>
  </si>
  <si>
    <t>SALE-270-2023</t>
  </si>
  <si>
    <t>SALE-271-2023</t>
  </si>
  <si>
    <t>SALE-272-2023</t>
  </si>
  <si>
    <t>SALE-273-2023</t>
  </si>
  <si>
    <t>SALE-274-2023</t>
  </si>
  <si>
    <t>SALE-275-2023</t>
  </si>
  <si>
    <t>SALE-276-2023</t>
  </si>
  <si>
    <t>SALE-277-2023</t>
  </si>
  <si>
    <t>SALE-278-2023</t>
  </si>
  <si>
    <t>SALE-279-2023</t>
  </si>
  <si>
    <t>SALE-280-2023</t>
  </si>
  <si>
    <t>SALE-281-2023</t>
  </si>
  <si>
    <t>SALE-282-2023</t>
  </si>
  <si>
    <t>SALE-283-2023</t>
  </si>
  <si>
    <t>SALE-284-2023</t>
  </si>
  <si>
    <t>SALE-285-2023</t>
  </si>
  <si>
    <t>SALE-286-2023</t>
  </si>
  <si>
    <t>SALE-287-2023</t>
  </si>
  <si>
    <t>SALE-288-2023</t>
  </si>
  <si>
    <t>SALE-289-2023</t>
  </si>
  <si>
    <t>SALE-290-2023</t>
  </si>
  <si>
    <t>SALE-291-2023</t>
  </si>
  <si>
    <t>SALE-292-2023</t>
  </si>
  <si>
    <t>SALE-293-2023</t>
  </si>
  <si>
    <t>SALE-294-2023</t>
  </si>
  <si>
    <t>SALE-295-2023</t>
  </si>
  <si>
    <t>SALE-296-2023</t>
  </si>
  <si>
    <t>SALE-297-2023</t>
  </si>
  <si>
    <t>SALE-298-2023</t>
  </si>
  <si>
    <t>SALE-299-2023</t>
  </si>
  <si>
    <t>SALE-300-2023</t>
  </si>
  <si>
    <t>SALE-301-2023</t>
  </si>
  <si>
    <t>SALE-302-2023</t>
  </si>
  <si>
    <t>SALE-303-2023</t>
  </si>
  <si>
    <t>SALE-304-2023</t>
  </si>
  <si>
    <t>SALE-305-2023</t>
  </si>
  <si>
    <t>SALE-306-2023</t>
  </si>
  <si>
    <t>SALE-307-2023</t>
  </si>
  <si>
    <t>SALE-308-2023</t>
  </si>
  <si>
    <t>SALE-309-2023</t>
  </si>
  <si>
    <t>SALE-310-2023</t>
  </si>
  <si>
    <t>SALE-311-2023</t>
  </si>
  <si>
    <t>SALE-312-2023</t>
  </si>
  <si>
    <t>SALE-313-2023</t>
  </si>
  <si>
    <t>SALE-314-2023</t>
  </si>
  <si>
    <t>SALE-315-2023</t>
  </si>
  <si>
    <t>SALE-316-2023</t>
  </si>
  <si>
    <t>SALE-317-2023</t>
  </si>
  <si>
    <t>SALE-318-2023</t>
  </si>
  <si>
    <t>SALE-319-2023</t>
  </si>
  <si>
    <t>SALE-320-2023</t>
  </si>
  <si>
    <t>SALE-321-2023</t>
  </si>
  <si>
    <t>SALE-322-2023</t>
  </si>
  <si>
    <t>SALE-323-2023</t>
  </si>
  <si>
    <t>SALE-324-2023</t>
  </si>
  <si>
    <t>SALE-325-2023</t>
  </si>
  <si>
    <t>SALE-326-2023</t>
  </si>
  <si>
    <t>SALE-327-2023</t>
  </si>
  <si>
    <t>SALE-328-2023</t>
  </si>
  <si>
    <t>SALE-329-2023</t>
  </si>
  <si>
    <t>SALE-330-2023</t>
  </si>
  <si>
    <t>SALE-331-2023</t>
  </si>
  <si>
    <t>SALE-332-2023</t>
  </si>
  <si>
    <t>SALE-333-2023</t>
  </si>
  <si>
    <t>SALE-334-2023</t>
  </si>
  <si>
    <t>SALE-335-2023</t>
  </si>
  <si>
    <t>SALE-336-2023</t>
  </si>
  <si>
    <t>SALE-337-2023</t>
  </si>
  <si>
    <t>SALE-338-2023</t>
  </si>
  <si>
    <t>SALE-339-2023</t>
  </si>
  <si>
    <t>SALE-340-2023</t>
  </si>
  <si>
    <t>SALE-341-2023</t>
  </si>
  <si>
    <t>SALE-342-2023</t>
  </si>
  <si>
    <t>SALE-343-2023</t>
  </si>
  <si>
    <t>SALE-344-2023</t>
  </si>
  <si>
    <t>SALE-345-2023</t>
  </si>
  <si>
    <t>SALE-346-2023</t>
  </si>
  <si>
    <t>SALE-347-2023</t>
  </si>
  <si>
    <t>SALE-348-2023</t>
  </si>
  <si>
    <t>SALE-349-2023</t>
  </si>
  <si>
    <t>SALE-350-2023</t>
  </si>
  <si>
    <t>SALE-351-2023</t>
  </si>
  <si>
    <t>SALE-352-2023</t>
  </si>
  <si>
    <t>SALE-353-2023</t>
  </si>
  <si>
    <t>SALE-354-2023</t>
  </si>
  <si>
    <t>SALE-355-2023</t>
  </si>
  <si>
    <t>SALE-356-2023</t>
  </si>
  <si>
    <t>SALE-357-2023</t>
  </si>
  <si>
    <t>SALE-358-2023</t>
  </si>
  <si>
    <t>SALE-359-2023</t>
  </si>
  <si>
    <t>SALE-360-2023</t>
  </si>
  <si>
    <t>SALE-361-2023</t>
  </si>
  <si>
    <t>SALE-362-2023</t>
  </si>
  <si>
    <t>SALE-363-2023</t>
  </si>
  <si>
    <t>SALE-364-2023</t>
  </si>
  <si>
    <t>SALE-365-2023</t>
  </si>
  <si>
    <t>SALE-366-2023</t>
  </si>
  <si>
    <t>SALE-367-2023</t>
  </si>
  <si>
    <t>SALE-368-2023</t>
  </si>
  <si>
    <t>SALE-369-2023</t>
  </si>
  <si>
    <t>SALE-370-2023</t>
  </si>
  <si>
    <t>SALE-371-2023</t>
  </si>
  <si>
    <t>SALE-372-2023</t>
  </si>
  <si>
    <t>SALE-373-2023</t>
  </si>
  <si>
    <t>SALE-374-2023</t>
  </si>
  <si>
    <t>SALE-375-2023</t>
  </si>
  <si>
    <t>SALE-376-2023</t>
  </si>
  <si>
    <t>SALE-377-2023</t>
  </si>
  <si>
    <t>SALE-378-2023</t>
  </si>
  <si>
    <t>SALE-379-2023</t>
  </si>
  <si>
    <t>SALE-380-2023</t>
  </si>
  <si>
    <t>SALE-381-2023</t>
  </si>
  <si>
    <t>SALE-382-2023</t>
  </si>
  <si>
    <t>SALE-383-2023</t>
  </si>
  <si>
    <t>SALE-384-2023</t>
  </si>
  <si>
    <t>SALE-385-2023</t>
  </si>
  <si>
    <t>SALE-386-2023</t>
  </si>
  <si>
    <t>SALE-387-2023</t>
  </si>
  <si>
    <t>SALE-388-2023</t>
  </si>
  <si>
    <t>SALE-389-2023</t>
  </si>
  <si>
    <t>SALE-390-2023</t>
  </si>
  <si>
    <t>SALE-391-2023</t>
  </si>
  <si>
    <t>SALE-392-2023</t>
  </si>
  <si>
    <t>SALE-393-2023</t>
  </si>
  <si>
    <t>SALE-394-2023</t>
  </si>
  <si>
    <t>SALE-395-2023</t>
  </si>
  <si>
    <t>SALE-396-2023</t>
  </si>
  <si>
    <t>SALE-397-2023</t>
  </si>
  <si>
    <t>SALE-398-2023</t>
  </si>
  <si>
    <t>SALE-399-2023</t>
  </si>
  <si>
    <t>SALE-400-2023</t>
  </si>
  <si>
    <t>SALE-401-2023</t>
  </si>
  <si>
    <t>SALE-402-2023</t>
  </si>
  <si>
    <t>SALE-403-2023</t>
  </si>
  <si>
    <t>SALE-404-2023</t>
  </si>
  <si>
    <t>SALE-405-2023</t>
  </si>
  <si>
    <t>SALE-406-2023</t>
  </si>
  <si>
    <t>SALE-407-2023</t>
  </si>
  <si>
    <t>SALE-408-2023</t>
  </si>
  <si>
    <t>SALE-409-2023</t>
  </si>
  <si>
    <t>SALE-410-2023</t>
  </si>
  <si>
    <t>SALE-411-2023</t>
  </si>
  <si>
    <t>SALE-412-2023</t>
  </si>
  <si>
    <t>SALE-413-2023</t>
  </si>
  <si>
    <t>SALE-414-2023</t>
  </si>
  <si>
    <t>SALE-415-2023</t>
  </si>
  <si>
    <t>SALE-416-2023</t>
  </si>
  <si>
    <t>SALE-417-2023</t>
  </si>
  <si>
    <t>SALE-418-2023</t>
  </si>
  <si>
    <t>SALE-419-2023</t>
  </si>
  <si>
    <t>SALE-420-2023</t>
  </si>
  <si>
    <t>SALE-421-2023</t>
  </si>
  <si>
    <t>SALE-422-2023</t>
  </si>
  <si>
    <t>SALE-423-2023</t>
  </si>
  <si>
    <t>SALE-424-2023</t>
  </si>
  <si>
    <t>SALE-425-2023</t>
  </si>
  <si>
    <t>SALE-426-2023</t>
  </si>
  <si>
    <t>SALE-427-2023</t>
  </si>
  <si>
    <t>SALE-428-2023</t>
  </si>
  <si>
    <t>SALE-429-2023</t>
  </si>
  <si>
    <t>SALE-430-2023</t>
  </si>
  <si>
    <t>SALE-431-2023</t>
  </si>
  <si>
    <t>SALE-432-2023</t>
  </si>
  <si>
    <t>SALE-433-2023</t>
  </si>
  <si>
    <t>SALE-434-2023</t>
  </si>
  <si>
    <t>SALE-435-2023</t>
  </si>
  <si>
    <t>SALE-436-2023</t>
  </si>
  <si>
    <t>SALE-437-2023</t>
  </si>
  <si>
    <t>SALE-438-2023</t>
  </si>
  <si>
    <t>SALE-439-2023</t>
  </si>
  <si>
    <t>SALE-440-2023</t>
  </si>
  <si>
    <t>SALE-441-2023</t>
  </si>
  <si>
    <t>SALE-442-2023</t>
  </si>
  <si>
    <t>SALE-443-2023</t>
  </si>
  <si>
    <t>SALE-444-2023</t>
  </si>
  <si>
    <t>SALE-445-2023</t>
  </si>
  <si>
    <t>SALE-446-2023</t>
  </si>
  <si>
    <t>SALE-447-2023</t>
  </si>
  <si>
    <t>SALE-448-2023</t>
  </si>
  <si>
    <t>SALE-449-2023</t>
  </si>
  <si>
    <t>SALE-450-2023</t>
  </si>
  <si>
    <t>SALE-451-2023</t>
  </si>
  <si>
    <t>SALE-452-2023</t>
  </si>
  <si>
    <t>SALE-453-2023</t>
  </si>
  <si>
    <t>SALE-454-2023</t>
  </si>
  <si>
    <t>SALE-455-2023</t>
  </si>
  <si>
    <t>SALE-456-2023</t>
  </si>
  <si>
    <t>SALE-457-2023</t>
  </si>
  <si>
    <t>SALE,458-2023</t>
  </si>
  <si>
    <t>SALE-459-2023</t>
  </si>
  <si>
    <t>SALE-460-2023</t>
  </si>
  <si>
    <t>SALE-461-2023</t>
  </si>
  <si>
    <t>SALE-462-2023</t>
  </si>
  <si>
    <t>SALE-463-2023</t>
  </si>
  <si>
    <t>SALE-464-2023</t>
  </si>
  <si>
    <t>SALE-465-2023</t>
  </si>
  <si>
    <t>SALE-466-2023</t>
  </si>
  <si>
    <t>SALE-467-2023</t>
  </si>
  <si>
    <t>SALE-468-2023</t>
  </si>
  <si>
    <t>SALE-469-2023</t>
  </si>
  <si>
    <t>SALE-470-2023</t>
  </si>
  <si>
    <t>SALE-471-2023</t>
  </si>
  <si>
    <t>SALE-472-2023</t>
  </si>
  <si>
    <t>SALE-473-2023</t>
  </si>
  <si>
    <t>SALE-474-2023</t>
  </si>
  <si>
    <t>SALE-475-2023</t>
  </si>
  <si>
    <t>SALE-476-2023</t>
  </si>
  <si>
    <t>SALE-477-2023</t>
  </si>
  <si>
    <t>SALE-478-2023</t>
  </si>
  <si>
    <t>SALE-479-2023</t>
  </si>
  <si>
    <t>SALE-480-2023</t>
  </si>
  <si>
    <t>SALE-481-2023</t>
  </si>
  <si>
    <t>SALE-482-2023</t>
  </si>
  <si>
    <t>SALE-483-2023</t>
  </si>
  <si>
    <t>SALE-484-2023</t>
  </si>
  <si>
    <t>SALE-485-2023</t>
  </si>
  <si>
    <t>SALE-486-2023</t>
  </si>
  <si>
    <t>SALE-487-2023</t>
  </si>
  <si>
    <t>SALE-488-2023</t>
  </si>
  <si>
    <t>SALE-489-2023</t>
  </si>
  <si>
    <t>SALE-490-2023</t>
  </si>
  <si>
    <t>SALE-491-2023</t>
  </si>
  <si>
    <t>SALE-492-2023</t>
  </si>
  <si>
    <t>SALE-493-2023</t>
  </si>
  <si>
    <t>SALE-494-2023</t>
  </si>
  <si>
    <t>SALE-495-2023</t>
  </si>
  <si>
    <t>SALE-496-2023</t>
  </si>
  <si>
    <t>SALE-497-2023</t>
  </si>
  <si>
    <t>SALE-498-2023</t>
  </si>
  <si>
    <t>SALE-499-2023</t>
  </si>
  <si>
    <t>SALE-500-2023</t>
  </si>
  <si>
    <t>SALE-501-2023</t>
  </si>
  <si>
    <t>SALE-502-2023</t>
  </si>
  <si>
    <t>SALE-503-2023</t>
  </si>
  <si>
    <t>SALE-504-2023</t>
  </si>
  <si>
    <t>SALE-505-2023</t>
  </si>
  <si>
    <t>SALE-506-2023</t>
  </si>
  <si>
    <t>SALE-507-2023</t>
  </si>
  <si>
    <t>SALE-508-2023</t>
  </si>
  <si>
    <t>SALE-509-2023</t>
  </si>
  <si>
    <t>SALE-510-2023</t>
  </si>
  <si>
    <t>SALE-511-2023</t>
  </si>
  <si>
    <t>SALE-512-2023</t>
  </si>
  <si>
    <t>SALE-513-2023</t>
  </si>
  <si>
    <t>SALE-514-2023</t>
  </si>
  <si>
    <t>SALE-515-2023</t>
  </si>
  <si>
    <t>SALE-516-2023</t>
  </si>
  <si>
    <t>SALE-517-2023</t>
  </si>
  <si>
    <t>SALE-518-2023</t>
  </si>
  <si>
    <t>SALE-519-2023</t>
  </si>
  <si>
    <t>SALE-520-2023</t>
  </si>
  <si>
    <t>SALE-521-2023</t>
  </si>
  <si>
    <t>SALE-522-2023</t>
  </si>
  <si>
    <t>SALE-523-2023</t>
  </si>
  <si>
    <t>SALE-524-2023</t>
  </si>
  <si>
    <t>SALE-525-2023</t>
  </si>
  <si>
    <t>SALE-526-2023</t>
  </si>
  <si>
    <t>SALE-527-2023</t>
  </si>
  <si>
    <t>SALE-528-2023</t>
  </si>
  <si>
    <t>SALE-529-2023</t>
  </si>
  <si>
    <t>SALE-530-2023</t>
  </si>
  <si>
    <t>SALE-531-2023</t>
  </si>
  <si>
    <t>SALE-532-2023</t>
  </si>
  <si>
    <t>SALE-533-2023</t>
  </si>
  <si>
    <t>SALE-534-2023</t>
  </si>
  <si>
    <t>SALE-535-2023</t>
  </si>
  <si>
    <t>SALE-536-2023</t>
  </si>
  <si>
    <t>SALE-537-2023</t>
  </si>
  <si>
    <t>SALE-538-2023</t>
  </si>
  <si>
    <t>SALE-539-2023</t>
  </si>
  <si>
    <t>SALE-540-2023</t>
  </si>
  <si>
    <t>SALE-541-2023</t>
  </si>
  <si>
    <t>SALE-542-2023</t>
  </si>
  <si>
    <t>SALE-543-2023</t>
  </si>
  <si>
    <t>SALE-544-2023</t>
  </si>
  <si>
    <t>SALE-545-2023</t>
  </si>
  <si>
    <t>SALE-546-2023</t>
  </si>
  <si>
    <t>SALE-547-2023</t>
  </si>
  <si>
    <t>SALE-548-2023</t>
  </si>
  <si>
    <t>SALE-549-2023</t>
  </si>
  <si>
    <t>SALE-550-2023</t>
  </si>
  <si>
    <t>SALE-551-2023</t>
  </si>
  <si>
    <t>SALE-552-2023</t>
  </si>
  <si>
    <t>SALE-553-2023</t>
  </si>
  <si>
    <t>SALE-554-2023</t>
  </si>
  <si>
    <t>SALE-555-2023</t>
  </si>
  <si>
    <t>SALE-556-2023</t>
  </si>
  <si>
    <t>SALE-557-2023</t>
  </si>
  <si>
    <t>SALE-558-2023</t>
  </si>
  <si>
    <t>SALE-559-2023</t>
  </si>
  <si>
    <t>SALE-560-2023</t>
  </si>
  <si>
    <t>SALE-561-2023</t>
  </si>
  <si>
    <t>SALE-562-2023</t>
  </si>
  <si>
    <t>SALE-563-2023</t>
  </si>
  <si>
    <t>SALE-564-2023</t>
  </si>
  <si>
    <t>SALE-565-2023</t>
  </si>
  <si>
    <t>SALE-566-2023</t>
  </si>
  <si>
    <t>SALE-567-2023</t>
  </si>
  <si>
    <t>SALE-568-2023</t>
  </si>
  <si>
    <t>SALE-569-2023</t>
  </si>
  <si>
    <t>SALE-570-2023</t>
  </si>
  <si>
    <t>SALE-571-2023</t>
  </si>
  <si>
    <t>SALE-572-2023</t>
  </si>
  <si>
    <t>SALE-573-2023</t>
  </si>
  <si>
    <t>SALE-574-2023</t>
  </si>
  <si>
    <t>SALE-575-2023</t>
  </si>
  <si>
    <t>SALE-576-2023</t>
  </si>
  <si>
    <t>SALE-577-2023</t>
  </si>
  <si>
    <t>SALE-578-2023</t>
  </si>
  <si>
    <t>SALE-579-2023</t>
  </si>
  <si>
    <t>SALE-580-2023</t>
  </si>
  <si>
    <t>SALE-581-2023</t>
  </si>
  <si>
    <t>SALE-582-2023</t>
  </si>
  <si>
    <t>SALE-583-2023</t>
  </si>
  <si>
    <t>SALE-584-2023</t>
  </si>
  <si>
    <t>SALE-585-2023</t>
  </si>
  <si>
    <t>SALE-586-2023</t>
  </si>
  <si>
    <t>SALE-587-2023</t>
  </si>
  <si>
    <t>SALE-588-2023</t>
  </si>
  <si>
    <t>SALE-589-2023</t>
  </si>
  <si>
    <t>SALE-590-2023</t>
  </si>
  <si>
    <t>SALE-591-2023</t>
  </si>
  <si>
    <t>SALE-592-2023</t>
  </si>
  <si>
    <t>SALE-593-2023</t>
  </si>
  <si>
    <t>SALE-594-2023</t>
  </si>
  <si>
    <t>SALE-595-2023</t>
  </si>
  <si>
    <t>SALE-596-2023</t>
  </si>
  <si>
    <t>SALE-597-2023</t>
  </si>
  <si>
    <t>SALE-598-2023</t>
  </si>
  <si>
    <t>SALE-599-2023</t>
  </si>
  <si>
    <t>SALE-600-2023</t>
  </si>
  <si>
    <t>SALE-601-2023</t>
  </si>
  <si>
    <t>SALE-602-2023</t>
  </si>
  <si>
    <t>SALE-603-2023</t>
  </si>
  <si>
    <t>SALE-604-2023</t>
  </si>
  <si>
    <t>SALE-605-2023</t>
  </si>
  <si>
    <t>SALE-606-2023</t>
  </si>
  <si>
    <t>SALE-607-2023</t>
  </si>
  <si>
    <t>SALE-608-2023</t>
  </si>
  <si>
    <t>SALE-609-2023</t>
  </si>
  <si>
    <t>SALE-610-2023</t>
  </si>
  <si>
    <t>SALE-611-2023</t>
  </si>
  <si>
    <t>SALE-612-2023</t>
  </si>
  <si>
    <t>SALE-613-2023</t>
  </si>
  <si>
    <t>SALE-614-2023</t>
  </si>
  <si>
    <t>SALE-615-2023</t>
  </si>
  <si>
    <t>SALE-616-2023</t>
  </si>
  <si>
    <t>SALE-617-2023</t>
  </si>
  <si>
    <t>SALE-618-2023</t>
  </si>
  <si>
    <t>SALE-619-2023</t>
  </si>
  <si>
    <t>SALE-620-2023</t>
  </si>
  <si>
    <t>SALE-621-2023</t>
  </si>
  <si>
    <t>SALE-622-2023</t>
  </si>
  <si>
    <t>SALE-623-2023</t>
  </si>
  <si>
    <t>SALE-624-2023</t>
  </si>
  <si>
    <t>SALE-625-2023</t>
  </si>
  <si>
    <t>SALE-626-2023</t>
  </si>
  <si>
    <t>SALE-627-2023</t>
  </si>
  <si>
    <t>SALE-628-2023</t>
  </si>
  <si>
    <t>SALE-629-2023</t>
  </si>
  <si>
    <t>SALE-630-2023</t>
  </si>
  <si>
    <t>SALE-631-2023</t>
  </si>
  <si>
    <t>SALE-632-2023</t>
  </si>
  <si>
    <t>SALE-633-2023</t>
  </si>
  <si>
    <t>SALE-634-2023</t>
  </si>
  <si>
    <t>SALE-635-2023</t>
  </si>
  <si>
    <t>SALE-636-2023</t>
  </si>
  <si>
    <t>SALE-637-2023</t>
  </si>
  <si>
    <t>SALE-638-2023</t>
  </si>
  <si>
    <t>SALE-639-2023</t>
  </si>
  <si>
    <t>SALE-640-2023</t>
  </si>
  <si>
    <t>SALE-641-2023</t>
  </si>
  <si>
    <t>SALE-642-2023</t>
  </si>
  <si>
    <t>SALE-643-2023</t>
  </si>
  <si>
    <t>SALE-644-2023</t>
  </si>
  <si>
    <t>SALE-645-2023</t>
  </si>
  <si>
    <t>SALE-646-2023</t>
  </si>
  <si>
    <t>SALE-647-2023</t>
  </si>
  <si>
    <t>SALE-648-2023</t>
  </si>
  <si>
    <t>SALE-649-2023</t>
  </si>
  <si>
    <t>SALE-650-2023</t>
  </si>
  <si>
    <t>SALE-651-2023</t>
  </si>
  <si>
    <t>SALE-652-2023</t>
  </si>
  <si>
    <t>SALE-653-2023</t>
  </si>
  <si>
    <t>SALE-654-2023</t>
  </si>
  <si>
    <t>SALE-655-2023</t>
  </si>
  <si>
    <t>SALE-656-2023</t>
  </si>
  <si>
    <t>SALE-657-2023</t>
  </si>
  <si>
    <t>SALE-658-2023</t>
  </si>
  <si>
    <t>SALE-659-2023</t>
  </si>
  <si>
    <t>SALE-660-2023</t>
  </si>
  <si>
    <t>SALE-661-2023</t>
  </si>
  <si>
    <t>SALE-662-2023</t>
  </si>
  <si>
    <t>SALE-663-2023</t>
  </si>
  <si>
    <t>SALE-664-2023</t>
  </si>
  <si>
    <t>SALE-665-2023</t>
  </si>
  <si>
    <t>SALE-666-2023</t>
  </si>
  <si>
    <t>SALE-667-2023</t>
  </si>
  <si>
    <t>SALE-668-2023</t>
  </si>
  <si>
    <t>SALE-669-2023</t>
  </si>
  <si>
    <t>SALE-670-2023</t>
  </si>
  <si>
    <t>SALE-671-2023</t>
  </si>
  <si>
    <t>SALE-672-2023</t>
  </si>
  <si>
    <t>SALE-673-2023</t>
  </si>
  <si>
    <t>SALE-674-2023</t>
  </si>
  <si>
    <t>SALE-675-2023</t>
  </si>
  <si>
    <t>SALE-676-2023</t>
  </si>
  <si>
    <t>SALE-677-2023</t>
  </si>
  <si>
    <t>SALE-678-2023</t>
  </si>
  <si>
    <t>SALE-679-2023</t>
  </si>
  <si>
    <t>SALE-680-2023</t>
  </si>
  <si>
    <t>SALE-681-2023</t>
  </si>
  <si>
    <t>SALE-682-2023</t>
  </si>
  <si>
    <t>SALE-683-2023</t>
  </si>
  <si>
    <t>SALE-684-2023</t>
  </si>
  <si>
    <t>SALE-685-2023</t>
  </si>
  <si>
    <t>SALE-686-2023</t>
  </si>
  <si>
    <t>SALE-687-2023</t>
  </si>
  <si>
    <t>SALE-688-2023</t>
  </si>
  <si>
    <t>SALE-689-2023</t>
  </si>
  <si>
    <t>SALE-690-2023</t>
  </si>
  <si>
    <t>SALE-691-2023</t>
  </si>
  <si>
    <t>SALE-692-2023</t>
  </si>
  <si>
    <t>SALE-693-2023</t>
  </si>
  <si>
    <t>SALE-694-2023</t>
  </si>
  <si>
    <t>SALE-695-2023</t>
  </si>
  <si>
    <t>SALE-696-2023</t>
  </si>
  <si>
    <t>SALE-697-2023</t>
  </si>
  <si>
    <t>SALE-698-2023</t>
  </si>
  <si>
    <t>SALE-699-2023</t>
  </si>
  <si>
    <t>SALE-700-2023</t>
  </si>
  <si>
    <t>SALE-701-2023</t>
  </si>
  <si>
    <t>SALE-702-2023</t>
  </si>
  <si>
    <t>SALE-703-2023</t>
  </si>
  <si>
    <t>SALE-704-2023</t>
  </si>
  <si>
    <t>SALE-705-2023</t>
  </si>
  <si>
    <t>SALE-706-2023</t>
  </si>
  <si>
    <t>SALE-707-2023</t>
  </si>
  <si>
    <t>SALE-708-2023</t>
  </si>
  <si>
    <t>SALE-709-2023</t>
  </si>
  <si>
    <t>SALE-710-2023</t>
  </si>
  <si>
    <t>SALE-711-2023</t>
  </si>
  <si>
    <t>SALE-712-2023</t>
  </si>
  <si>
    <t>SALE-713-2023</t>
  </si>
  <si>
    <t>SALE-714-2023</t>
  </si>
  <si>
    <t>SALE-715-2023</t>
  </si>
  <si>
    <t>SALE-716-2023</t>
  </si>
  <si>
    <t>SALE-717-2023</t>
  </si>
  <si>
    <t>SALE-718-2023</t>
  </si>
  <si>
    <t>SALE-719-2023</t>
  </si>
  <si>
    <t>SALE-720-2023</t>
  </si>
  <si>
    <t>SALE-721-2023</t>
  </si>
  <si>
    <t>SALE-722-2023</t>
  </si>
  <si>
    <t>SALE-723-2023</t>
  </si>
  <si>
    <t>SALE-724-2023</t>
  </si>
  <si>
    <t>SALE-725-2023</t>
  </si>
  <si>
    <t>SALE-726-2023</t>
  </si>
  <si>
    <t>SALE-727-2023</t>
  </si>
  <si>
    <t>SALE-728-2023</t>
  </si>
  <si>
    <t>SALE-729-2023</t>
  </si>
  <si>
    <t>SALE-730-2023</t>
  </si>
  <si>
    <t>SALE-731-2023</t>
  </si>
  <si>
    <t>SALE-732-2023</t>
  </si>
  <si>
    <t>SALE-733-2023</t>
  </si>
  <si>
    <t>SALE-734-2023</t>
  </si>
  <si>
    <t>SALE-735-2023</t>
  </si>
  <si>
    <t>SALE-736-2023</t>
  </si>
  <si>
    <t>SALE-737-2023</t>
  </si>
  <si>
    <t>SALE-738-2023</t>
  </si>
  <si>
    <t>SALE-739-2023</t>
  </si>
  <si>
    <t>SALE-740-2023</t>
  </si>
  <si>
    <t>SALE-741-2023</t>
  </si>
  <si>
    <t>SALE-742-2023</t>
  </si>
  <si>
    <t>SALE-743-2023</t>
  </si>
  <si>
    <t>SALE-744-2023</t>
  </si>
  <si>
    <t>SALE-745-2023</t>
  </si>
  <si>
    <t>SALE-746-2023</t>
  </si>
  <si>
    <t>SALE-747-2023</t>
  </si>
  <si>
    <t>SALE-748-2023</t>
  </si>
  <si>
    <t>SALE-749-2023</t>
  </si>
  <si>
    <t>SALE-750-2023</t>
  </si>
  <si>
    <t>SALE-751-2023</t>
  </si>
  <si>
    <t>SALE-752-2023</t>
  </si>
  <si>
    <t>SALE-753-2023</t>
  </si>
  <si>
    <t>SALE-754-2023</t>
  </si>
  <si>
    <t>SALE-755-2023</t>
  </si>
  <si>
    <t>SALE-756-2023</t>
  </si>
  <si>
    <t>SALE-757-2023</t>
  </si>
  <si>
    <t>SALE-758-2023</t>
  </si>
  <si>
    <t>SALE-759-2023</t>
  </si>
  <si>
    <t>SALE-760-2023</t>
  </si>
  <si>
    <t>SALE-761-2023</t>
  </si>
  <si>
    <t>SALE-762-2023</t>
  </si>
  <si>
    <t>SALE-763-2023</t>
  </si>
  <si>
    <t>SALE-764-2023</t>
  </si>
  <si>
    <t>SALE-765-2023</t>
  </si>
  <si>
    <t>SALE-766-2023</t>
  </si>
  <si>
    <t>SALE-767-2023</t>
  </si>
  <si>
    <t>SALE-768-2023</t>
  </si>
  <si>
    <t>SALE-769-2023</t>
  </si>
  <si>
    <t>SALE-770-2023</t>
  </si>
  <si>
    <t>SALE-771-2023</t>
  </si>
  <si>
    <t>SALE-772-2023</t>
  </si>
  <si>
    <t>SALE-773-2023</t>
  </si>
  <si>
    <t>SALE-774-2023</t>
  </si>
  <si>
    <t>SALE-775-2023</t>
  </si>
  <si>
    <t>SALE-776-2023</t>
  </si>
  <si>
    <t>SALE-777-2023</t>
  </si>
  <si>
    <t>SALE-778-2023</t>
  </si>
  <si>
    <t>SALE-779-2023</t>
  </si>
  <si>
    <t>SALE-780-2023</t>
  </si>
  <si>
    <t>SALE-781-2023</t>
  </si>
  <si>
    <t>SALE-782-2023</t>
  </si>
  <si>
    <t>SALE-783-2023</t>
  </si>
  <si>
    <t>SALE-784-2023</t>
  </si>
  <si>
    <t>SALE-785-2023</t>
  </si>
  <si>
    <t>SALE-786-2023</t>
  </si>
  <si>
    <t>SALE-787-2023</t>
  </si>
  <si>
    <t>SALE-788-2023</t>
  </si>
  <si>
    <t>SALE-789-2023</t>
  </si>
  <si>
    <t>SALE-790-2023</t>
  </si>
  <si>
    <t>SALE-791-2023</t>
  </si>
  <si>
    <t>SALE-792-2023</t>
  </si>
  <si>
    <t>SALE-793-2023</t>
  </si>
  <si>
    <t>SALE-794-2023</t>
  </si>
  <si>
    <t>SALE-795-2023</t>
  </si>
  <si>
    <t>SALE-796-2023</t>
  </si>
  <si>
    <t>SALE-797-2023</t>
  </si>
  <si>
    <t>SALE-798-2023</t>
  </si>
  <si>
    <t>SALE-799-2023</t>
  </si>
  <si>
    <t>SALE-800-2023</t>
  </si>
  <si>
    <t>SALE-801-2023</t>
  </si>
  <si>
    <t>SALE-802-2023</t>
  </si>
  <si>
    <t>SALE-803-2023</t>
  </si>
  <si>
    <t>SALE-804-2023</t>
  </si>
  <si>
    <t>SALE-805-2023</t>
  </si>
  <si>
    <t>SALE-806-2023</t>
  </si>
  <si>
    <t>SALE-807-2023</t>
  </si>
  <si>
    <t>SALE-808-2023</t>
  </si>
  <si>
    <t>SALE-809-2023</t>
  </si>
  <si>
    <t>SALE-810-2023</t>
  </si>
  <si>
    <t>SALE-811-2023</t>
  </si>
  <si>
    <t>SALE-812-2023</t>
  </si>
  <si>
    <t>SALE-813-2023</t>
  </si>
  <si>
    <t>SALE-814-2023</t>
  </si>
  <si>
    <t>SALE-815-2023</t>
  </si>
  <si>
    <t>SALE-816-2023</t>
  </si>
  <si>
    <t>SALE-817-2023</t>
  </si>
  <si>
    <t>SALE-818-2023</t>
  </si>
  <si>
    <t>SALE-819-2023</t>
  </si>
  <si>
    <t>SALE-820-2023</t>
  </si>
  <si>
    <t>SALE-821-2023</t>
  </si>
  <si>
    <t>SALE-822-2023</t>
  </si>
  <si>
    <t>SALE-823-2023</t>
  </si>
  <si>
    <t>SALE-824-2023</t>
  </si>
  <si>
    <t>SALE-825-2023</t>
  </si>
  <si>
    <t>SALE-826-2023</t>
  </si>
  <si>
    <t>SALE-827-2023</t>
  </si>
  <si>
    <t>SALE-828-2023</t>
  </si>
  <si>
    <t>SALE-829-2023</t>
  </si>
  <si>
    <t>SALE-830-2023</t>
  </si>
  <si>
    <t>SALE-831-2023</t>
  </si>
  <si>
    <t>SALE-832-2023</t>
  </si>
  <si>
    <t>SALE-833-2023</t>
  </si>
  <si>
    <t>SALE-834-2023</t>
  </si>
  <si>
    <t>SALE-835-2023</t>
  </si>
  <si>
    <t>SALE-836-2023</t>
  </si>
  <si>
    <t>SALE-837-2023</t>
  </si>
  <si>
    <t>SALE-838-2023</t>
  </si>
  <si>
    <t>SALE-839-2023</t>
  </si>
  <si>
    <t>SALE-840-2023</t>
  </si>
  <si>
    <t>SALE-841-2023</t>
  </si>
  <si>
    <t>SALE-842-2023</t>
  </si>
  <si>
    <t>SALE-843-2023</t>
  </si>
  <si>
    <t>SALE-844-2023</t>
  </si>
  <si>
    <t>SALE-845-2023</t>
  </si>
  <si>
    <t>SALE-846-2023</t>
  </si>
  <si>
    <t>SALE-847-2023</t>
  </si>
  <si>
    <t>SALE-848-2023</t>
  </si>
  <si>
    <t>SALE-849-2023</t>
  </si>
  <si>
    <t>SALE-850-2023</t>
  </si>
  <si>
    <t>SALE-851-2023</t>
  </si>
  <si>
    <t>SALE-852-2023</t>
  </si>
  <si>
    <t>SALE-853-2023</t>
  </si>
  <si>
    <t>SALE-854-2023</t>
  </si>
  <si>
    <t>SALE-855-2023</t>
  </si>
  <si>
    <t>SALE-856-2023</t>
  </si>
  <si>
    <t>SALE-857-2023</t>
  </si>
  <si>
    <t>SALE-858-2023</t>
  </si>
  <si>
    <t>SALE-859-2023</t>
  </si>
  <si>
    <t>SALE-860-2023</t>
  </si>
  <si>
    <t>SALE-861-2023</t>
  </si>
  <si>
    <t>SALE-862-2023</t>
  </si>
  <si>
    <t>SALE-863-2023</t>
  </si>
  <si>
    <t>SALE-864-2023</t>
  </si>
  <si>
    <t>SALE-865-2023</t>
  </si>
  <si>
    <t>SALE-866-2023</t>
  </si>
  <si>
    <t>SALE-867-2023</t>
  </si>
  <si>
    <t>SALE-868-2023</t>
  </si>
  <si>
    <t>SALE-869-2023</t>
  </si>
  <si>
    <t>SALE-870-2023</t>
  </si>
  <si>
    <t>SALE-871-2023</t>
  </si>
  <si>
    <t>SALE-872-2023</t>
  </si>
  <si>
    <t>SALE-873-2023</t>
  </si>
  <si>
    <t>SALE-874-2023</t>
  </si>
  <si>
    <t>SALE-875-2023</t>
  </si>
  <si>
    <t>SALE-876-2023</t>
  </si>
  <si>
    <t>SALE-877-2023</t>
  </si>
  <si>
    <t>SALE-878-2023</t>
  </si>
  <si>
    <t>SALE-879-2023</t>
  </si>
  <si>
    <t>SALE-880-2023</t>
  </si>
  <si>
    <t>SALE-881-2023</t>
  </si>
  <si>
    <t>SALE-882-2023</t>
  </si>
  <si>
    <t>SALE-883-2023</t>
  </si>
  <si>
    <t>SALE-884-2023</t>
  </si>
  <si>
    <t>SALE-885-2023</t>
  </si>
  <si>
    <t>SALE-886-2023</t>
  </si>
  <si>
    <t>SALE-887-2023</t>
  </si>
  <si>
    <t>SALE-888-2023</t>
  </si>
  <si>
    <t>SALE-889-2023</t>
  </si>
  <si>
    <t>SALE-890-2023</t>
  </si>
  <si>
    <t>SALE-891-2023</t>
  </si>
  <si>
    <t>SALE-892-2023</t>
  </si>
  <si>
    <t>SALE-893-2023</t>
  </si>
  <si>
    <t>SALE-894-2023</t>
  </si>
  <si>
    <t>SALE-895-2023</t>
  </si>
  <si>
    <t>SALE-896-2023</t>
  </si>
  <si>
    <t>SALE-897-2023</t>
  </si>
  <si>
    <t>SALE-898-2023</t>
  </si>
  <si>
    <t>SALE-899-2023</t>
  </si>
  <si>
    <t>SALE-900-2023</t>
  </si>
  <si>
    <t>SALE-901-2023</t>
  </si>
  <si>
    <t>SALE-902-2023</t>
  </si>
  <si>
    <t>SALE-903-2023</t>
  </si>
  <si>
    <t>SALE-904-2023</t>
  </si>
  <si>
    <t>SALE-905-2023</t>
  </si>
  <si>
    <t>SALE-906-2023</t>
  </si>
  <si>
    <t>SALE-907-2023</t>
  </si>
  <si>
    <t>SALE-908-2023</t>
  </si>
  <si>
    <t>SALE-909-2023</t>
  </si>
  <si>
    <t>SALE-910-2023</t>
  </si>
  <si>
    <t>SALE-911-2023</t>
  </si>
  <si>
    <t>SALE-912-2023</t>
  </si>
  <si>
    <t>SALE-913-2023</t>
  </si>
  <si>
    <t>SALE-914-2023</t>
  </si>
  <si>
    <t>SALE-915-2023</t>
  </si>
  <si>
    <t>SALE-916-2023</t>
  </si>
  <si>
    <t>SALE-917-2023</t>
  </si>
  <si>
    <t>SALE-918-2023</t>
  </si>
  <si>
    <t>SALE-919-2023</t>
  </si>
  <si>
    <t>SALE-920-2023</t>
  </si>
  <si>
    <t>SALE-921-2023</t>
  </si>
  <si>
    <t>SALE-922-2023</t>
  </si>
  <si>
    <t>SALE-923-2023</t>
  </si>
  <si>
    <t>SALE-924-2023</t>
  </si>
  <si>
    <t>SALE-925-2023</t>
  </si>
  <si>
    <t>SALE-926-2023</t>
  </si>
  <si>
    <t>SALE-927-2023</t>
  </si>
  <si>
    <t>SALE-928-2023</t>
  </si>
  <si>
    <t>SALE-929-2023</t>
  </si>
  <si>
    <t>SALE-930-2023</t>
  </si>
  <si>
    <t>SALE-931-2023</t>
  </si>
  <si>
    <t>SALE-932-2023</t>
  </si>
  <si>
    <t>SALE-933-2023</t>
  </si>
  <si>
    <t>SALE-934-2023</t>
  </si>
  <si>
    <t>SALE-935-2023</t>
  </si>
  <si>
    <t>SALE-936-2023</t>
  </si>
  <si>
    <t>SALE-937-2023</t>
  </si>
  <si>
    <t>SALE-938-2023</t>
  </si>
  <si>
    <t>SALE-939-2023</t>
  </si>
  <si>
    <t>SALE-940-2023</t>
  </si>
  <si>
    <t>SALE-941-2023</t>
  </si>
  <si>
    <t>SALE-942-2023</t>
  </si>
  <si>
    <t>SALE-943-2023</t>
  </si>
  <si>
    <t>SALE-944-2023</t>
  </si>
  <si>
    <t>SALE-945-2023</t>
  </si>
  <si>
    <t>SALE-946-2023</t>
  </si>
  <si>
    <t>SALE-947-2023</t>
  </si>
  <si>
    <t>SALE-948-2023</t>
  </si>
  <si>
    <t>SALE-949-2023</t>
  </si>
  <si>
    <t>SALE-950-2023</t>
  </si>
  <si>
    <t>SALE-951-2023</t>
  </si>
  <si>
    <t>SALE-952-2023</t>
  </si>
  <si>
    <t>SALE-953-2023</t>
  </si>
  <si>
    <t>SALE-954-2023</t>
  </si>
  <si>
    <t>SALE-955-2023</t>
  </si>
  <si>
    <t>SALE-956-2023</t>
  </si>
  <si>
    <t>SALE-957-2023</t>
  </si>
  <si>
    <t>SALE-958-2023</t>
  </si>
  <si>
    <t>SALE-959-2023</t>
  </si>
  <si>
    <t>SALE-960-2023</t>
  </si>
  <si>
    <t>SALE-961-2023</t>
  </si>
  <si>
    <t>SALE-962-2023</t>
  </si>
  <si>
    <t>SALE-963-2023</t>
  </si>
  <si>
    <t>SALE-964-2023</t>
  </si>
  <si>
    <t>SALE-965-2023</t>
  </si>
  <si>
    <t>SALE-966-2023</t>
  </si>
  <si>
    <t>SALE-967-2023</t>
  </si>
  <si>
    <t>SALE-968-2023</t>
  </si>
  <si>
    <t>SALE-969-2023</t>
  </si>
  <si>
    <t>SALE-970-2023</t>
  </si>
  <si>
    <t>SALE-971-2023</t>
  </si>
  <si>
    <t>SALE-972-2023</t>
  </si>
  <si>
    <t>SALE-973-2023</t>
  </si>
  <si>
    <t>SALE-974-2023</t>
  </si>
  <si>
    <t>SALE-975-2023</t>
  </si>
  <si>
    <t>SALE-976-2023</t>
  </si>
  <si>
    <t>SALE-977-2023</t>
  </si>
  <si>
    <t>SALE-978-2023</t>
  </si>
  <si>
    <t>SALE-979-2023</t>
  </si>
  <si>
    <t>SALE-980-2023</t>
  </si>
  <si>
    <t>CUST-1026</t>
  </si>
  <si>
    <t>+221 77 123 4567</t>
  </si>
  <si>
    <t>Corniche Ouest 12</t>
  </si>
  <si>
    <t>Dakar</t>
  </si>
  <si>
    <t>Senegal</t>
  </si>
  <si>
    <t>CUST-1027</t>
  </si>
  <si>
    <t>+46 8 123 45 67</t>
  </si>
  <si>
    <t>Drottninggatan 25</t>
  </si>
  <si>
    <t>Stockholm</t>
  </si>
  <si>
    <t>Sweden</t>
  </si>
  <si>
    <t>111 51</t>
  </si>
  <si>
    <t>CUST-1028</t>
  </si>
  <si>
    <t>+20 2 3456 7890</t>
  </si>
  <si>
    <t>Nile Corniche 45</t>
  </si>
  <si>
    <t>Cairo</t>
  </si>
  <si>
    <t>Egypt</t>
  </si>
  <si>
    <t>CUST-1029</t>
  </si>
  <si>
    <t>+49 89 9876543</t>
  </si>
  <si>
    <t>Marienplatz 1</t>
  </si>
  <si>
    <t>Munich</t>
  </si>
  <si>
    <t>CUST-1030</t>
  </si>
  <si>
    <t>+81 75-123-4567</t>
  </si>
  <si>
    <t>Gion District 8</t>
  </si>
  <si>
    <t>Kyoto</t>
  </si>
  <si>
    <t>605-0001</t>
  </si>
  <si>
    <t>CUST-1031</t>
  </si>
  <si>
    <t>+92 21 34567890</t>
  </si>
  <si>
    <t>Clifton Road 78</t>
  </si>
  <si>
    <t>Karachi</t>
  </si>
  <si>
    <t>Pakistan</t>
  </si>
  <si>
    <t>CUST-1032</t>
  </si>
  <si>
    <t>+40 21 123 4567</t>
  </si>
  <si>
    <t>Calea Victoriei 100</t>
  </si>
  <si>
    <t>Bucharest</t>
  </si>
  <si>
    <t>Romania</t>
  </si>
  <si>
    <t>CUST-1033</t>
  </si>
  <si>
    <t>+966 14 234 5678</t>
  </si>
  <si>
    <t>Prince Turki Road 34</t>
  </si>
  <si>
    <t>Jeddah</t>
  </si>
  <si>
    <t>CUST-1034</t>
  </si>
  <si>
    <t>+39 06 6789 0123</t>
  </si>
  <si>
    <t>Via del Corso 150</t>
  </si>
  <si>
    <t>CUST-1035</t>
  </si>
  <si>
    <t>+86 21 8765 4321</t>
  </si>
  <si>
    <t>Nanjing Road 888</t>
  </si>
  <si>
    <t>Shanghai</t>
  </si>
  <si>
    <t>CUST-1036</t>
  </si>
  <si>
    <t>+48 22 345 67 89</t>
  </si>
  <si>
    <t>Nowy Świat 45</t>
  </si>
  <si>
    <t>Warsaw</t>
  </si>
  <si>
    <t>Poland</t>
  </si>
  <si>
    <t>00-042</t>
  </si>
  <si>
    <t>CUST-1037</t>
  </si>
  <si>
    <t>+56 2 2345 6789</t>
  </si>
  <si>
    <t>Providencia 1200</t>
  </si>
  <si>
    <t>Santiago</t>
  </si>
  <si>
    <t>Chile</t>
  </si>
  <si>
    <t>CUST-1038</t>
  </si>
  <si>
    <t>+91 79 2345 6789</t>
  </si>
  <si>
    <t>CG Road 56</t>
  </si>
  <si>
    <t>Ahmedabad</t>
  </si>
  <si>
    <t>CUST-1039</t>
  </si>
  <si>
    <t>+7 812 345-67-89</t>
  </si>
  <si>
    <t>Nevsky Prospekt 50</t>
  </si>
  <si>
    <t>Saint Petersburg</t>
  </si>
  <si>
    <t>CUST-1040</t>
  </si>
  <si>
    <t>+46 31 123 45 67</t>
  </si>
  <si>
    <t>Avenyn 10</t>
  </si>
  <si>
    <t>Gothenburg</t>
  </si>
  <si>
    <t>411 36</t>
  </si>
  <si>
    <t>CUST-1041</t>
  </si>
  <si>
    <t>+91 11 4567 8901</t>
  </si>
  <si>
    <t>Connaught Place 25</t>
  </si>
  <si>
    <t>New Delhi</t>
  </si>
  <si>
    <t>CUST-1042</t>
  </si>
  <si>
    <t>+52 55 9876 5432</t>
  </si>
  <si>
    <t>Polanco 300</t>
  </si>
  <si>
    <t>CUST-1043</t>
  </si>
  <si>
    <t>+90 212 345 67 89</t>
  </si>
  <si>
    <t>Istiklal Street 45</t>
  </si>
  <si>
    <t>Istanbul</t>
  </si>
  <si>
    <t>Turkey</t>
  </si>
  <si>
    <t>CUST-1044</t>
  </si>
  <si>
    <t>Orchard Road 250</t>
  </si>
  <si>
    <t>Singapore</t>
  </si>
  <si>
    <t>CUST-1045</t>
  </si>
  <si>
    <t>+45 32 12 34 56</t>
  </si>
  <si>
    <t>Strøget 80</t>
  </si>
  <si>
    <t>Copenhagen</t>
  </si>
  <si>
    <t>Denmark</t>
  </si>
  <si>
    <t>CUST-1046</t>
  </si>
  <si>
    <t>+254 20 234 5678</t>
  </si>
  <si>
    <t>Moi Avenue 12</t>
  </si>
  <si>
    <t>Nairobi</t>
  </si>
  <si>
    <t>Kenya</t>
  </si>
  <si>
    <t>CUST-1047</t>
  </si>
  <si>
    <t>+34 93 123 45 67</t>
  </si>
  <si>
    <t>Las Ramblas 100</t>
  </si>
  <si>
    <t>Barcelona</t>
  </si>
  <si>
    <t>CUST-1048</t>
  </si>
  <si>
    <t>+7 495 987-65-43</t>
  </si>
  <si>
    <t>Arbat Street 30</t>
  </si>
  <si>
    <t>CUST-1049</t>
  </si>
  <si>
    <t>+20 3 4567 8901</t>
  </si>
  <si>
    <t>Alexandria Corniche 45</t>
  </si>
  <si>
    <t>Alexandria</t>
  </si>
  <si>
    <t>CUST-1050</t>
  </si>
  <si>
    <t>+81 45 123-4567</t>
  </si>
  <si>
    <t>Minato Mirai 21</t>
  </si>
  <si>
    <t>Yokohama</t>
  </si>
  <si>
    <t>220-0012</t>
  </si>
  <si>
    <t>CUST-1051</t>
  </si>
  <si>
    <t>+57 1 234 5678</t>
  </si>
  <si>
    <t>Carrera 7 72-41</t>
  </si>
  <si>
    <t>Bogotá</t>
  </si>
  <si>
    <t>Colombia</t>
  </si>
  <si>
    <t>CUST-1052</t>
  </si>
  <si>
    <t>+420 2 3456 7890</t>
  </si>
  <si>
    <t>Wenceslas Square 20</t>
  </si>
  <si>
    <t>Prague</t>
  </si>
  <si>
    <t>Czech Republic</t>
  </si>
  <si>
    <t>110 00</t>
  </si>
  <si>
    <t>CUST-1053</t>
  </si>
  <si>
    <t>+880 2 5566 7788</t>
  </si>
  <si>
    <t>Gulshan Avenue 56</t>
  </si>
  <si>
    <t>Dhaka</t>
  </si>
  <si>
    <t>Bangladesh</t>
  </si>
  <si>
    <t>CUST-1054</t>
  </si>
  <si>
    <t>Königsallee 15</t>
  </si>
  <si>
    <t>Düsseldorf</t>
  </si>
  <si>
    <t>CUST-1055</t>
  </si>
  <si>
    <t>+91 80 2345 6789</t>
  </si>
  <si>
    <t>MG Road 100</t>
  </si>
  <si>
    <t>Bangalore</t>
  </si>
  <si>
    <t>CUST-1056</t>
  </si>
  <si>
    <t>+46 40 123 45 67</t>
  </si>
  <si>
    <t>Stortorget 5</t>
  </si>
  <si>
    <t>Malmö</t>
  </si>
  <si>
    <t>211 34</t>
  </si>
  <si>
    <t>CUST-1057</t>
  </si>
  <si>
    <t>+34 91 876 54 32</t>
  </si>
  <si>
    <t>Gran Vía 80</t>
  </si>
  <si>
    <t>CUST-1058</t>
  </si>
  <si>
    <t>+81 92 123-4567</t>
  </si>
  <si>
    <t>Tenjin 2-5-1</t>
  </si>
  <si>
    <t>Fukuoka</t>
  </si>
  <si>
    <t>810-0001</t>
  </si>
  <si>
    <t>CUST-1059</t>
  </si>
  <si>
    <t>+20 2 1234 5678</t>
  </si>
  <si>
    <t>Zamalek 34</t>
  </si>
  <si>
    <t>CUST-1060</t>
  </si>
  <si>
    <t>+43 1 23456 7890</t>
  </si>
  <si>
    <t>Kärntner Straße 15</t>
  </si>
  <si>
    <t>Vienna</t>
  </si>
  <si>
    <t>Austria</t>
  </si>
  <si>
    <t>CUST-1061</t>
  </si>
  <si>
    <t>+34 96 123 45 67</t>
  </si>
  <si>
    <t>Ciudad de las Artes 1</t>
  </si>
  <si>
    <t>Valencia</t>
  </si>
  <si>
    <t>CUST-1062</t>
  </si>
  <si>
    <t>+49 30 9876543</t>
  </si>
  <si>
    <t>Friedrichstraße 100</t>
  </si>
  <si>
    <t>CUST-1063</t>
  </si>
  <si>
    <t>+91 33 2345 6789</t>
  </si>
  <si>
    <t>Park Street 45</t>
  </si>
  <si>
    <t>Kolkata</t>
  </si>
  <si>
    <t>CUST-1064</t>
  </si>
  <si>
    <t>+39 02 3456 7890</t>
  </si>
  <si>
    <t>Galleria Vittorio Emanuele 2</t>
  </si>
  <si>
    <t>CUST-1065</t>
  </si>
  <si>
    <t>Deansgate 50</t>
  </si>
  <si>
    <t>Manchester</t>
  </si>
  <si>
    <t>M3 2FN</t>
  </si>
  <si>
    <t>CUST-1066</t>
  </si>
  <si>
    <t>+91 40 3456 7890</t>
  </si>
  <si>
    <t>Banjara Hills 78</t>
  </si>
  <si>
    <t>Hyderabad</t>
  </si>
  <si>
    <t>CUST-1067</t>
  </si>
  <si>
    <t>+48 12 345 67 89</t>
  </si>
  <si>
    <t>Rynek Główny 1</t>
  </si>
  <si>
    <t>Krakow</t>
  </si>
  <si>
    <t>31-042</t>
  </si>
  <si>
    <t>CUST-1068</t>
  </si>
  <si>
    <t>+98 21 2345 6789</t>
  </si>
  <si>
    <t>Valiasr Street 100</t>
  </si>
  <si>
    <t>Tehran</t>
  </si>
  <si>
    <t>Iran</t>
  </si>
  <si>
    <t>CUST-1069</t>
  </si>
  <si>
    <t>+34 93 876 54 32</t>
  </si>
  <si>
    <t>Passeig de Gràcia 92</t>
  </si>
  <si>
    <t>CUST-1070</t>
  </si>
  <si>
    <t>+46 8 765 43 21</t>
  </si>
  <si>
    <t>Sergels Torg 5</t>
  </si>
  <si>
    <t>111 57</t>
  </si>
  <si>
    <t>CUST-1071</t>
  </si>
  <si>
    <t>+234 1 234 5678</t>
  </si>
  <si>
    <t>Victoria Island 45</t>
  </si>
  <si>
    <t>Lagos</t>
  </si>
  <si>
    <t>Nigeria</t>
  </si>
  <si>
    <t>CUST-1072</t>
  </si>
  <si>
    <t>+49 40 123456</t>
  </si>
  <si>
    <t>Jungfernstieg 10</t>
  </si>
  <si>
    <t>Hamburg</t>
  </si>
  <si>
    <t>CUST-1073</t>
  </si>
  <si>
    <t>+86 10 8765 4321</t>
  </si>
  <si>
    <t>Wangfujing Street 138</t>
  </si>
  <si>
    <t>CUST-1074</t>
  </si>
  <si>
    <t>+34 91 234 56 78</t>
  </si>
  <si>
    <t>Puerta del Sol 1</t>
  </si>
  <si>
    <t>CUST-1075</t>
  </si>
  <si>
    <t>+20 3 1234 5678</t>
  </si>
  <si>
    <t>Corniche 89</t>
  </si>
  <si>
    <t>CUST-1076</t>
  </si>
  <si>
    <t>+33 4 12 34 56 78</t>
  </si>
  <si>
    <t>La Canebière 45</t>
  </si>
  <si>
    <t>Marseille</t>
  </si>
  <si>
    <t>CUST-1077</t>
  </si>
  <si>
    <t>+81 6 1234-5678</t>
  </si>
  <si>
    <t>Dotonbori 1-6-9</t>
  </si>
  <si>
    <t>542-0071</t>
  </si>
  <si>
    <t>CUST-1078</t>
  </si>
  <si>
    <t>+351 22 123 4567</t>
  </si>
  <si>
    <t>Rua de Santa Catarina 312</t>
  </si>
  <si>
    <t>Porto</t>
  </si>
  <si>
    <t>4000-447</t>
  </si>
  <si>
    <t>CUST-1079</t>
  </si>
  <si>
    <t>Mark Taylor</t>
  </si>
  <si>
    <t>+1 (415) 555-1234</t>
  </si>
  <si>
    <t>Market Street 100</t>
  </si>
  <si>
    <t>San Francisco</t>
  </si>
  <si>
    <t>CUST-1080</t>
  </si>
  <si>
    <t>+886 2 2345 6789</t>
  </si>
  <si>
    <t>Ximending 123</t>
  </si>
  <si>
    <t>Taipei</t>
  </si>
  <si>
    <t>Taiwan</t>
  </si>
  <si>
    <t>CUST-1081</t>
  </si>
  <si>
    <t>+92 42 3456 7890</t>
  </si>
  <si>
    <t>Mall Road 78</t>
  </si>
  <si>
    <t>Lahore</t>
  </si>
  <si>
    <t>CUST-1082</t>
  </si>
  <si>
    <t>+49 69 123456</t>
  </si>
  <si>
    <t>Zeil 100</t>
  </si>
  <si>
    <t>Frankfurt</t>
  </si>
  <si>
    <t>CUST-1083</t>
  </si>
  <si>
    <t>+91 79 1234 5678</t>
  </si>
  <si>
    <t>S G Highway 456</t>
  </si>
  <si>
    <t>CUST-1084</t>
  </si>
  <si>
    <t>+46 46 123 45 67</t>
  </si>
  <si>
    <t>Stortorget 8</t>
  </si>
  <si>
    <t>Lund</t>
  </si>
  <si>
    <t>222 23</t>
  </si>
  <si>
    <t>CUST-1085</t>
  </si>
  <si>
    <t>+212 5 22 34 56 78</t>
  </si>
  <si>
    <t>Avenue Mohammed V 45</t>
  </si>
  <si>
    <t>Casablanca</t>
  </si>
  <si>
    <t>Morocco</t>
  </si>
  <si>
    <t>CUST-1086</t>
  </si>
  <si>
    <t>Marina Bay Sands 10</t>
  </si>
  <si>
    <t>CUST-1087</t>
  </si>
  <si>
    <t>+48 58 123 45 67</t>
  </si>
  <si>
    <t>Długi Targ 24</t>
  </si>
  <si>
    <t>Gdańsk</t>
  </si>
  <si>
    <t>80-828</t>
  </si>
  <si>
    <t>CUST-1088</t>
  </si>
  <si>
    <t>+34 95 123 45 67</t>
  </si>
  <si>
    <t>Calle Larios 5</t>
  </si>
  <si>
    <t>Malaga</t>
  </si>
  <si>
    <t>CUST-1089</t>
  </si>
  <si>
    <t>+81 11 123-4567</t>
  </si>
  <si>
    <t>Odori Park 1-1</t>
  </si>
  <si>
    <t>Sapporo</t>
  </si>
  <si>
    <t>060-0042</t>
  </si>
  <si>
    <t>CUST-1090</t>
  </si>
  <si>
    <t>+351 21 234 56 78</t>
  </si>
  <si>
    <t>Avenida da República 23</t>
  </si>
  <si>
    <t>1050-185</t>
  </si>
  <si>
    <t>CUST-1091</t>
  </si>
  <si>
    <t>+20 2 9876 5432</t>
  </si>
  <si>
    <t>Mokattam 89</t>
  </si>
  <si>
    <t>CUST-1092</t>
  </si>
  <si>
    <t>Champs-Élysées 100</t>
  </si>
  <si>
    <t>CUST-1093</t>
  </si>
  <si>
    <t>+81 3 9876-5432</t>
  </si>
  <si>
    <t>Roppongi 6-10-1</t>
  </si>
  <si>
    <t>106-0032</t>
  </si>
  <si>
    <t>CUST-1094</t>
  </si>
  <si>
    <t>+351 22 345 67 89</t>
  </si>
  <si>
    <t>Rua das Flores 45</t>
  </si>
  <si>
    <t>4050-262</t>
  </si>
  <si>
    <t>CUST-1095</t>
  </si>
  <si>
    <t>+1 (312) 555-7890</t>
  </si>
  <si>
    <t>Michigan Avenue 800</t>
  </si>
  <si>
    <t>Chicago</t>
  </si>
  <si>
    <t>CUST-1096</t>
  </si>
  <si>
    <t>+81 6 9876-5432</t>
  </si>
  <si>
    <t>Umeda Sky Building</t>
  </si>
  <si>
    <t>531-0076</t>
  </si>
  <si>
    <t>CUST-1097</t>
  </si>
  <si>
    <t>+92 21 8765 4321</t>
  </si>
  <si>
    <t>II Chundrigar Road 45</t>
  </si>
  <si>
    <t>CUST-1098</t>
  </si>
  <si>
    <t>+420 2 9876 5432</t>
  </si>
  <si>
    <t>Old Town Square 1</t>
  </si>
  <si>
    <t>CUST-1099</t>
  </si>
  <si>
    <t>+91 22 3456 7890</t>
  </si>
  <si>
    <t>Nariman Point 23</t>
  </si>
  <si>
    <t>CUST-1100</t>
  </si>
  <si>
    <t>+45 33 12 34 56</t>
  </si>
  <si>
    <t>Nyhavn 17</t>
  </si>
  <si>
    <t>CUST-1101</t>
  </si>
  <si>
    <t>+20 3 2345 6789</t>
  </si>
  <si>
    <t>Montaza Palace 1</t>
  </si>
  <si>
    <t>CUST-1102</t>
  </si>
  <si>
    <t>Orchard Road 350</t>
  </si>
  <si>
    <t>CUST-1103</t>
  </si>
  <si>
    <t>+48 22 987 65 43</t>
  </si>
  <si>
    <t>Nowy Świat 67</t>
  </si>
  <si>
    <t>00-029</t>
  </si>
  <si>
    <t>CUST-1104</t>
  </si>
  <si>
    <t>+34 91 345 67 89</t>
  </si>
  <si>
    <t>Calle de Alcalá 200</t>
  </si>
  <si>
    <t>CUST-1105</t>
  </si>
  <si>
    <t>+81 3 2345-6789</t>
  </si>
  <si>
    <t>Shibuya 2-24-12</t>
  </si>
  <si>
    <t>150-0002</t>
  </si>
  <si>
    <t>CUST-1106</t>
  </si>
  <si>
    <t>+351 21 876 54 32</t>
  </si>
  <si>
    <t>Avenida da Liberdade 300</t>
  </si>
  <si>
    <t>1250-144</t>
  </si>
  <si>
    <t>CUST-1107</t>
  </si>
  <si>
    <t>Zamalek 56</t>
  </si>
  <si>
    <t>CUST-1108</t>
  </si>
  <si>
    <t>+33 1 34 56 78 90</t>
  </si>
  <si>
    <t>Rue de Rivoli 150</t>
  </si>
  <si>
    <t>CUST-1109</t>
  </si>
  <si>
    <t>+81 45 234-5678</t>
  </si>
  <si>
    <t>Minato Mirai 2-3-1</t>
  </si>
  <si>
    <t>CUST-1110</t>
  </si>
  <si>
    <t>+351 22 234 56 78</t>
  </si>
  <si>
    <t>Rua de Santa Catarina 200</t>
  </si>
  <si>
    <t>CUST-1111</t>
  </si>
  <si>
    <t>+1 (305) 555-6789</t>
  </si>
  <si>
    <t>Ocean Drive 1200</t>
  </si>
  <si>
    <t>Miami</t>
  </si>
  <si>
    <t>CUST-1112</t>
  </si>
  <si>
    <t>+81 6 3456-7890</t>
  </si>
  <si>
    <t>Namba 2-4-1</t>
  </si>
  <si>
    <t>542-0076</t>
  </si>
  <si>
    <t>CUST-1113</t>
  </si>
  <si>
    <t>+20 3 9876 5432</t>
  </si>
  <si>
    <t>Stanley Bridge 45</t>
  </si>
  <si>
    <t>CUST-1114</t>
  </si>
  <si>
    <t>+386 1 234 56 78</t>
  </si>
  <si>
    <t>Prešernov trg 1</t>
  </si>
  <si>
    <t>Ljubljana</t>
  </si>
  <si>
    <t>Slovenia</t>
  </si>
  <si>
    <t>CUST-1115</t>
  </si>
  <si>
    <t>+91 80 9876 5432</t>
  </si>
  <si>
    <t>Brigade Road 56</t>
  </si>
  <si>
    <t>CUST-1116</t>
  </si>
  <si>
    <t>+45 35 12 34 56</t>
  </si>
  <si>
    <t>Strøget 45</t>
  </si>
  <si>
    <t>CUST-1117</t>
  </si>
  <si>
    <t>+92 42 1234 5678</t>
  </si>
  <si>
    <t>The Mall 89</t>
  </si>
  <si>
    <t>CUST-1118</t>
  </si>
  <si>
    <t>Causeway Bay 123</t>
  </si>
  <si>
    <t>Hong Kong</t>
  </si>
  <si>
    <t>CUST-1119</t>
  </si>
  <si>
    <t>+49 30 234567</t>
  </si>
  <si>
    <t>Unter den Linden 30</t>
  </si>
  <si>
    <t>CUST-1120</t>
  </si>
  <si>
    <t>+34 93 234 56 78</t>
  </si>
  <si>
    <t>Passeig de Gràcia 120</t>
  </si>
  <si>
    <t>CUST-1121</t>
  </si>
  <si>
    <t>+81 3 8765-4321</t>
  </si>
  <si>
    <t>Akasaka 1-9-1</t>
  </si>
  <si>
    <t>107-0052</t>
  </si>
  <si>
    <t>CUST-1122</t>
  </si>
  <si>
    <t>+351 21 345 67 89</t>
  </si>
  <si>
    <t>Praça do Comércio 1</t>
  </si>
  <si>
    <t>1100-148</t>
  </si>
  <si>
    <t>CUST-1123</t>
  </si>
  <si>
    <t>+20 2 2345 6789</t>
  </si>
  <si>
    <t>Mohandesin 45</t>
  </si>
  <si>
    <t>CUST-1124</t>
  </si>
  <si>
    <t>+33 1 45 67 89 01</t>
  </si>
  <si>
    <t>Saint-Germain-des-Prés 120</t>
  </si>
  <si>
    <t>CUST-1125</t>
  </si>
  <si>
    <t>+81 6 4567-8901</t>
  </si>
  <si>
    <t>CUST-1126</t>
  </si>
  <si>
    <t>+351 22 456 78 90</t>
  </si>
  <si>
    <t>Rua do Almada 200</t>
  </si>
  <si>
    <t>4050-037</t>
  </si>
  <si>
    <t>CUST-1127</t>
  </si>
  <si>
    <t>+1 (617) 555-2345</t>
  </si>
  <si>
    <t>Boylston Street 800</t>
  </si>
  <si>
    <t>Boston</t>
  </si>
  <si>
    <t>CUST-1128</t>
  </si>
  <si>
    <t>+81 3 5678-9012</t>
  </si>
  <si>
    <t>Shinjuku 3-38-1</t>
  </si>
  <si>
    <t>CUST-1129</t>
  </si>
  <si>
    <t>Smouha 34</t>
  </si>
  <si>
    <t>CUST-1130</t>
  </si>
  <si>
    <t>+385 1 2345 678</t>
  </si>
  <si>
    <t>Ban Jelačić Square 1</t>
  </si>
  <si>
    <t>Zagreb</t>
  </si>
  <si>
    <t>Croatia</t>
  </si>
  <si>
    <t>CUST-1131</t>
  </si>
  <si>
    <t>+91 11 6789 0123</t>
  </si>
  <si>
    <t>Connaught Place 56</t>
  </si>
  <si>
    <t>CUST-1132</t>
  </si>
  <si>
    <t>+45 70 12 34 56</t>
  </si>
  <si>
    <t>Kongens Nytorv 1</t>
  </si>
  <si>
    <t>CUST-1133</t>
  </si>
  <si>
    <t>+92 21 4567 8901</t>
  </si>
  <si>
    <t>Clifton 78</t>
  </si>
  <si>
    <t>CUST-1134</t>
  </si>
  <si>
    <t>Raffles Place 10</t>
  </si>
  <si>
    <t>CUST-1135</t>
  </si>
  <si>
    <t>+386 1 345 67 89</t>
  </si>
  <si>
    <t>Ljubljana Castle 5</t>
  </si>
  <si>
    <t>CUST-1136</t>
  </si>
  <si>
    <t>+34 91 456 78 90</t>
  </si>
  <si>
    <t>Plaza Mayor 1</t>
  </si>
  <si>
    <t>CUST-1137</t>
  </si>
  <si>
    <t>+81 3 6789-0123</t>
  </si>
  <si>
    <t>Ginza 4-5-6</t>
  </si>
  <si>
    <t>104-0061</t>
  </si>
  <si>
    <t>CUST-1138</t>
  </si>
  <si>
    <t>+351 21 567 89 01</t>
  </si>
  <si>
    <t>Avenida da República 45</t>
  </si>
  <si>
    <t>1050-189</t>
  </si>
  <si>
    <t>CUST-1139</t>
  </si>
  <si>
    <t>+20 2 4567 8901</t>
  </si>
  <si>
    <t>Maadi 23</t>
  </si>
  <si>
    <t>CUST-1140</t>
  </si>
  <si>
    <t>+33 1 56 78 90 12</t>
  </si>
  <si>
    <t>Place Vendôme 15</t>
  </si>
  <si>
    <t>CUST-1141</t>
  </si>
  <si>
    <t>+81 6 5678-9012</t>
  </si>
  <si>
    <t>Namba Parks 2-10-70</t>
  </si>
  <si>
    <t>556-0011</t>
  </si>
  <si>
    <t>CUST-1142</t>
  </si>
  <si>
    <t>+351 22 567 89 01</t>
  </si>
  <si>
    <t>Rua de Cedofeita 300</t>
  </si>
  <si>
    <t>4050-180</t>
  </si>
  <si>
    <t>CUST-1143</t>
  </si>
  <si>
    <t>Mark Thompson</t>
  </si>
  <si>
    <t>+1 (713) 555-3456</t>
  </si>
  <si>
    <t>Main Street 1200</t>
  </si>
  <si>
    <t>Houston</t>
  </si>
  <si>
    <t>CUST-1144</t>
  </si>
  <si>
    <t>+81 3 7890-1234</t>
  </si>
  <si>
    <t>Roppongi Hills 6-10-1</t>
  </si>
  <si>
    <t>106-6108</t>
  </si>
  <si>
    <t>CUST-1145</t>
  </si>
  <si>
    <t>+20 3 3456 7890</t>
  </si>
  <si>
    <t>San Stefano 45</t>
  </si>
  <si>
    <t>CUST-1146</t>
  </si>
  <si>
    <t>+381 11 234 5678</t>
  </si>
  <si>
    <t>Knez Mihailova 1</t>
  </si>
  <si>
    <t>Belgrade</t>
  </si>
  <si>
    <t>Serbia</t>
  </si>
  <si>
    <t>CUST-1147</t>
  </si>
  <si>
    <t>+91 79 3456 7890</t>
  </si>
  <si>
    <t>Prahlad Nagar 56</t>
  </si>
  <si>
    <t>CUST-1148</t>
  </si>
  <si>
    <t>+45 40 12 34 56</t>
  </si>
  <si>
    <t>Amager Strandvej 1</t>
  </si>
  <si>
    <t>CUST-1149</t>
  </si>
  <si>
    <t>+92 42 2345 6789</t>
  </si>
  <si>
    <t>Gulberg 78</t>
  </si>
  <si>
    <t>CUST-1150</t>
  </si>
  <si>
    <t>Orchard Road 400</t>
  </si>
  <si>
    <t>CUST-1151</t>
  </si>
  <si>
    <t>+385 1 3456 789</t>
  </si>
  <si>
    <t>Trg bana Jelačića 5</t>
  </si>
  <si>
    <t>CUST-1152</t>
  </si>
  <si>
    <t>+34 91 567 89 01</t>
  </si>
  <si>
    <t>Calle de Fuencarral 45</t>
  </si>
  <si>
    <t>CUST-1153</t>
  </si>
  <si>
    <t>+81 6 6789-0123</t>
  </si>
  <si>
    <t>Abeno Harukas 1-1-43</t>
  </si>
  <si>
    <t>545-0052</t>
  </si>
  <si>
    <t>2021-0915</t>
  </si>
  <si>
    <t>CUST-1154</t>
  </si>
  <si>
    <t>Hohe Strasse 100</t>
  </si>
  <si>
    <t>Cologne</t>
  </si>
  <si>
    <t>CUST-1155</t>
  </si>
  <si>
    <t>+86 28 8765 4321</t>
  </si>
  <si>
    <t>Chunxi Road 88</t>
  </si>
  <si>
    <t>Chengdu</t>
  </si>
  <si>
    <t>CUST-1156</t>
  </si>
  <si>
    <t>+92 51 2345678</t>
  </si>
  <si>
    <t>Blue Area 45</t>
  </si>
  <si>
    <t>Islamabad</t>
  </si>
  <si>
    <t>CUST-1157</t>
  </si>
  <si>
    <t>Piazza della Signoria 1</t>
  </si>
  <si>
    <t>Florence</t>
  </si>
  <si>
    <t>CUST-1158</t>
  </si>
  <si>
    <t>+82 51-123-4567</t>
  </si>
  <si>
    <t>Jungang-daero 100</t>
  </si>
  <si>
    <t>Busan</t>
  </si>
  <si>
    <t>CUST-1159</t>
  </si>
  <si>
    <t>+968 24 567890</t>
  </si>
  <si>
    <t>Sultan Qaboos Street 34</t>
  </si>
  <si>
    <t>Muscat</t>
  </si>
  <si>
    <t>Oman</t>
  </si>
  <si>
    <t>CUST-1160</t>
  </si>
  <si>
    <t>+47 22 123456</t>
  </si>
  <si>
    <t>Karl Johans gate 1</t>
  </si>
  <si>
    <t>Oslo</t>
  </si>
  <si>
    <t>Norway</t>
  </si>
  <si>
    <t>CUST-1161</t>
  </si>
  <si>
    <t>Mong Kok 123</t>
  </si>
  <si>
    <t>CUST-1162</t>
  </si>
  <si>
    <t>Avenida Central 100</t>
  </si>
  <si>
    <t>San José</t>
  </si>
  <si>
    <t>Costa Rica</t>
  </si>
  <si>
    <t>CUST-1163</t>
  </si>
  <si>
    <t>Altmarkt 1</t>
  </si>
  <si>
    <t>Dresden</t>
  </si>
  <si>
    <t>CUST-1164</t>
  </si>
  <si>
    <t>+91 44 2345 6789</t>
  </si>
  <si>
    <t>Anna Salai 150</t>
  </si>
  <si>
    <t>Chennai</t>
  </si>
  <si>
    <t>CUST-1165</t>
  </si>
  <si>
    <t>+30 21 1234567</t>
  </si>
  <si>
    <t>Syntagma Square 1</t>
  </si>
  <si>
    <t>Athens</t>
  </si>
  <si>
    <t>Greece</t>
  </si>
  <si>
    <t>105 63</t>
  </si>
  <si>
    <t>CUST-1166</t>
  </si>
  <si>
    <t>+81 78 123-4567</t>
  </si>
  <si>
    <t>Kobe Harborland 1-1</t>
  </si>
  <si>
    <t>Kobe</t>
  </si>
  <si>
    <t>650-0045</t>
  </si>
  <si>
    <t>CUST-1167</t>
  </si>
  <si>
    <t>+34 94 123 45 67</t>
  </si>
  <si>
    <t>Gran Vía 45</t>
  </si>
  <si>
    <t>Bilbao</t>
  </si>
  <si>
    <t>CUST-1168</t>
  </si>
  <si>
    <t>+20 66 2345678</t>
  </si>
  <si>
    <t>Corniche 120</t>
  </si>
  <si>
    <t>Port Said</t>
  </si>
  <si>
    <t>CUST-1169</t>
  </si>
  <si>
    <t>+358 9 123456</t>
  </si>
  <si>
    <t>Mannerheimintie 1</t>
  </si>
  <si>
    <t>Helsinki</t>
  </si>
  <si>
    <t>Finland</t>
  </si>
  <si>
    <t>CUST-1170</t>
  </si>
  <si>
    <t>+81 48 123-4567</t>
  </si>
  <si>
    <t>Omiya 1-1-1</t>
  </si>
  <si>
    <t>Saitama</t>
  </si>
  <si>
    <t>330-0854</t>
  </si>
  <si>
    <t>CUST-1171</t>
  </si>
  <si>
    <t>+964 1 2345678</t>
  </si>
  <si>
    <t>Karrada 45</t>
  </si>
  <si>
    <t>Baghdad</t>
  </si>
  <si>
    <t>Iraq</t>
  </si>
  <si>
    <t>CUST-1172</t>
  </si>
  <si>
    <t>+1 (604) 555-7890</t>
  </si>
  <si>
    <t>Robson Street 500</t>
  </si>
  <si>
    <t>Vancouver</t>
  </si>
  <si>
    <t>V6B 1A9</t>
  </si>
  <si>
    <t>CUST-1173</t>
  </si>
  <si>
    <t>+48 61 234 567</t>
  </si>
  <si>
    <t>Stary Rynek 1</t>
  </si>
  <si>
    <t>Poznań</t>
  </si>
  <si>
    <t>61-772</t>
  </si>
  <si>
    <t>CUST-1174</t>
  </si>
  <si>
    <t>Sabana Grande 100</t>
  </si>
  <si>
    <t>Caracas</t>
  </si>
  <si>
    <t>Venezuela</t>
  </si>
  <si>
    <t>CUST-1175</t>
  </si>
  <si>
    <t>+81 27 123-4567</t>
  </si>
  <si>
    <t>Takasaki 2-1-1</t>
  </si>
  <si>
    <t>Gunma</t>
  </si>
  <si>
    <t>370-0829</t>
  </si>
  <si>
    <t>CUST-1176</t>
  </si>
  <si>
    <t>+351 23 123 456</t>
  </si>
  <si>
    <t>Avenida da Liberdade 100</t>
  </si>
  <si>
    <t>Faro</t>
  </si>
  <si>
    <t>CUST-1177</t>
  </si>
  <si>
    <t>+20 40 1234567</t>
  </si>
  <si>
    <t>El Geish Road 45</t>
  </si>
  <si>
    <t>Suez</t>
  </si>
  <si>
    <t>CUST-1178</t>
  </si>
  <si>
    <t>+46 19 123 45</t>
  </si>
  <si>
    <t>Storgatan 10</t>
  </si>
  <si>
    <t>Uppsala</t>
  </si>
  <si>
    <t>753 31</t>
  </si>
  <si>
    <t>CUST-1179</t>
  </si>
  <si>
    <t>+81 28 123-4567</t>
  </si>
  <si>
    <t>Utsunomiya 1-1-1</t>
  </si>
  <si>
    <t>Tochigi</t>
  </si>
  <si>
    <t>320-0801</t>
  </si>
  <si>
    <t>CUST-1180</t>
  </si>
  <si>
    <t>+880 31 1234567</t>
  </si>
  <si>
    <t>Agrabad 45</t>
  </si>
  <si>
    <t>Chittagong</t>
  </si>
  <si>
    <t>CUST-1181</t>
  </si>
  <si>
    <t>+82 53-123-4567</t>
  </si>
  <si>
    <t>Dongseong-ro 100</t>
  </si>
  <si>
    <t>Daegu</t>
  </si>
  <si>
    <t>CUST-1182</t>
  </si>
  <si>
    <t>+421 2 12345678</t>
  </si>
  <si>
    <t>Hlavné námestie 1</t>
  </si>
  <si>
    <t>Bratislava</t>
  </si>
  <si>
    <t>Slovakia</t>
  </si>
  <si>
    <t>811 01</t>
  </si>
  <si>
    <t>CUST-1183</t>
  </si>
  <si>
    <t>+593 2 1234567</t>
  </si>
  <si>
    <t>Amazonas 100</t>
  </si>
  <si>
    <t>Quito</t>
  </si>
  <si>
    <t>Ecuador</t>
  </si>
  <si>
    <t>CUST-1184</t>
  </si>
  <si>
    <t>Tsuzuki-ku 1-1-1</t>
  </si>
  <si>
    <t>224-0001</t>
  </si>
  <si>
    <t>CUST-1185</t>
  </si>
  <si>
    <t>+55 21 98765-4321</t>
  </si>
  <si>
    <t>Copacabana 400</t>
  </si>
  <si>
    <t>Rio de Janeiro</t>
  </si>
  <si>
    <t>22070-002</t>
  </si>
  <si>
    <t>CUST-1186</t>
  </si>
  <si>
    <t>+20 88 1234567</t>
  </si>
  <si>
    <t>El Borg Street 45</t>
  </si>
  <si>
    <t>Damietta</t>
  </si>
  <si>
    <t>CUST-1187</t>
  </si>
  <si>
    <t>+46 13 123 45</t>
  </si>
  <si>
    <t>Stora Torget 5</t>
  </si>
  <si>
    <t>Linköping</t>
  </si>
  <si>
    <t>582 19</t>
  </si>
  <si>
    <t>CUST-1188</t>
  </si>
  <si>
    <t>+81 86 123-4567</t>
  </si>
  <si>
    <t>Okayama 1-1-1</t>
  </si>
  <si>
    <t>Okayama</t>
  </si>
  <si>
    <t>700-0821</t>
  </si>
  <si>
    <t>CUST-1189</t>
  </si>
  <si>
    <t>Al-Mek Nimir Street 45</t>
  </si>
  <si>
    <t>Khartoum</t>
  </si>
  <si>
    <t>Sudan</t>
  </si>
  <si>
    <t>CUST-1190</t>
  </si>
  <si>
    <t>+1 (702) 555-1234</t>
  </si>
  <si>
    <t>Las Vegas Blvd 1500</t>
  </si>
  <si>
    <t>Las Vegas</t>
  </si>
  <si>
    <t>CUST-1191</t>
  </si>
  <si>
    <t>Domplatz 1</t>
  </si>
  <si>
    <t>Erfurt</t>
  </si>
  <si>
    <t>CUST-1192</t>
  </si>
  <si>
    <t>+507 123-4567</t>
  </si>
  <si>
    <t>Via España 100</t>
  </si>
  <si>
    <t>Panama City</t>
  </si>
  <si>
    <t>Panama</t>
  </si>
  <si>
    <t>CUST-1193</t>
  </si>
  <si>
    <t>+81 96 123-4567</t>
  </si>
  <si>
    <t>Kumamoto 1-1-1</t>
  </si>
  <si>
    <t>Kumamoto</t>
  </si>
  <si>
    <t>860-0801</t>
  </si>
  <si>
    <t>CUST-1194</t>
  </si>
  <si>
    <t>+34 98 123 45 67</t>
  </si>
  <si>
    <t>Calle Uría 50</t>
  </si>
  <si>
    <t>Oviedo</t>
  </si>
  <si>
    <t>CUST-1195</t>
  </si>
  <si>
    <t>+20 3 4567890</t>
  </si>
  <si>
    <t>El Shatby 45</t>
  </si>
  <si>
    <t>CUST-1196</t>
  </si>
  <si>
    <t>+46 90 123 45</t>
  </si>
  <si>
    <t>Storgatan 20</t>
  </si>
  <si>
    <t>Umeå</t>
  </si>
  <si>
    <t>903 29</t>
  </si>
  <si>
    <t>CUST-1197</t>
  </si>
  <si>
    <t>+81 86 234-5678</t>
  </si>
  <si>
    <t>Hiroshima 1-1-1</t>
  </si>
  <si>
    <t>Hiroshima</t>
  </si>
  <si>
    <t>730-0011</t>
  </si>
  <si>
    <t>CUST-1198</t>
  </si>
  <si>
    <t>+973 17 123456</t>
  </si>
  <si>
    <t>Government Avenue 45</t>
  </si>
  <si>
    <t>Manama</t>
  </si>
  <si>
    <t>CUST-1199</t>
  </si>
  <si>
    <t>+1 (602) 555-7890</t>
  </si>
  <si>
    <t>Camelback Road 200</t>
  </si>
  <si>
    <t>Phoenix</t>
  </si>
  <si>
    <t>CUST-1200</t>
  </si>
  <si>
    <t>Münsterplatz 1</t>
  </si>
  <si>
    <t>Ulm</t>
  </si>
  <si>
    <t>CUST-1201</t>
  </si>
  <si>
    <t>Paseo Colón 100</t>
  </si>
  <si>
    <t>CUST-1202</t>
  </si>
  <si>
    <t>+81 92 345-6789</t>
  </si>
  <si>
    <t>Fukuoka 2-1-1</t>
  </si>
  <si>
    <t>CUST-1203</t>
  </si>
  <si>
    <t>+34 96 345 67 89</t>
  </si>
  <si>
    <t>Paseo de la Castellana 200</t>
  </si>
  <si>
    <t>CUST-1204</t>
  </si>
  <si>
    <t>+20 2 5678901</t>
  </si>
  <si>
    <t>Heliopolis 45</t>
  </si>
  <si>
    <t>CUST-1205</t>
  </si>
  <si>
    <t>+46 8 234 56 78</t>
  </si>
  <si>
    <t>Kungsgatan 10</t>
  </si>
  <si>
    <t>111 43</t>
  </si>
  <si>
    <t>CUST-1206</t>
  </si>
  <si>
    <t>+81 3 9012-3456</t>
  </si>
  <si>
    <t>Chiyoda 1-1-1</t>
  </si>
  <si>
    <t>100-0001</t>
  </si>
  <si>
    <t>CUST-1207</t>
  </si>
  <si>
    <t>+973 17 234567</t>
  </si>
  <si>
    <t>Diplomatic Area 45</t>
  </si>
  <si>
    <t>CUST-1208</t>
  </si>
  <si>
    <t>+1 (303) 555-1234</t>
  </si>
  <si>
    <t>16th Street Mall 100</t>
  </si>
  <si>
    <t>Denver</t>
  </si>
  <si>
    <t>CUST-1209</t>
  </si>
  <si>
    <t>Marktplatz 1</t>
  </si>
  <si>
    <t>Bonn</t>
  </si>
  <si>
    <t>CUST-1210</t>
  </si>
  <si>
    <t>+51 1 2345678</t>
  </si>
  <si>
    <t>Jirón de la Unión 100</t>
  </si>
  <si>
    <t>Lima</t>
  </si>
  <si>
    <t>Peru</t>
  </si>
  <si>
    <t>CUST-1211</t>
  </si>
  <si>
    <t>Kanagawa 1-1-1</t>
  </si>
  <si>
    <t>CUST-1212</t>
  </si>
  <si>
    <t>+34 93 345 67 89</t>
  </si>
  <si>
    <t>Rambla de Catalunya 100</t>
  </si>
  <si>
    <t>CUST-1213</t>
  </si>
  <si>
    <t>+20 3 5678901</t>
  </si>
  <si>
    <t>Sporting 45</t>
  </si>
  <si>
    <t>CUST-1214</t>
  </si>
  <si>
    <t>+46 31 234 56</t>
  </si>
  <si>
    <t>Kungsportsavenyn 20</t>
  </si>
  <si>
    <t>CUST-1215</t>
  </si>
  <si>
    <t>+81 6 7890-1234</t>
  </si>
  <si>
    <t>Chuo-ku 1-1-1</t>
  </si>
  <si>
    <t>540-0001</t>
  </si>
  <si>
    <t>CUST-1216</t>
  </si>
  <si>
    <t>+92 42 4567890</t>
  </si>
  <si>
    <t>Garden Town 78</t>
  </si>
  <si>
    <t>CUST-1217</t>
  </si>
  <si>
    <t>+1 (206) 555-7890</t>
  </si>
  <si>
    <t>Pike Place 100</t>
  </si>
  <si>
    <t>Seattle</t>
  </si>
  <si>
    <t>CUST-1218</t>
  </si>
  <si>
    <t>Hauptstraße 1</t>
  </si>
  <si>
    <t>Mannheim</t>
  </si>
  <si>
    <t>CUST-1219</t>
  </si>
  <si>
    <t>+55 31 98765-4321</t>
  </si>
  <si>
    <t>Avenida do Contorno 100</t>
  </si>
  <si>
    <t>Belo Horizonte</t>
  </si>
  <si>
    <t>30110-000</t>
  </si>
  <si>
    <t>CUST-1220</t>
  </si>
  <si>
    <t>Minato 1-1-1</t>
  </si>
  <si>
    <t>105-0001</t>
  </si>
  <si>
    <t>CUST-1221</t>
  </si>
  <si>
    <t>Calle de Serrano 100</t>
  </si>
  <si>
    <t>CUST-1222</t>
  </si>
  <si>
    <t>+20 2 6789012</t>
  </si>
  <si>
    <t>Dokki 45</t>
  </si>
  <si>
    <t>CUST-1223</t>
  </si>
  <si>
    <t>+46 40 234 56</t>
  </si>
  <si>
    <t>Stortorget 15</t>
  </si>
  <si>
    <t>CUST-1224</t>
  </si>
  <si>
    <t>+81 75 234-5678</t>
  </si>
  <si>
    <t>Kamigyo-ku 1-1-1</t>
  </si>
  <si>
    <t>602-0001</t>
  </si>
  <si>
    <t>CUST-1225</t>
  </si>
  <si>
    <t>+971 4 678 9012</t>
  </si>
  <si>
    <t>Jumeirah Beach Road 45</t>
  </si>
  <si>
    <t>CUST-1226</t>
  </si>
  <si>
    <t>+1 (214) 555-1234</t>
  </si>
  <si>
    <t>Main Street 500</t>
  </si>
  <si>
    <t>Dallas</t>
  </si>
  <si>
    <t>CUST-1227</t>
  </si>
  <si>
    <t>Augustusplatz 1</t>
  </si>
  <si>
    <t>Leipzig</t>
  </si>
  <si>
    <t>CUST-1228</t>
  </si>
  <si>
    <t>+57 4 123 4567</t>
  </si>
  <si>
    <t>Poblado 100</t>
  </si>
  <si>
    <t>Medellín</t>
  </si>
  <si>
    <t>CUST-1229</t>
  </si>
  <si>
    <t>+81 48 234-5678</t>
  </si>
  <si>
    <t>330-0801</t>
  </si>
  <si>
    <t>CUST-1230</t>
  </si>
  <si>
    <t>+34 96 456 78 90</t>
  </si>
  <si>
    <t>Paseo de la Alameda 100</t>
  </si>
  <si>
    <t>CUST-1231</t>
  </si>
  <si>
    <t>+20 3 6789012</t>
  </si>
  <si>
    <t>Gleem 45</t>
  </si>
  <si>
    <t>CUST-1232</t>
  </si>
  <si>
    <t>+46 8 345 67 89</t>
  </si>
  <si>
    <t>Drottninggatan 50</t>
  </si>
  <si>
    <t>111 21</t>
  </si>
  <si>
    <t>CUST-1233</t>
  </si>
  <si>
    <t>+81 6 8901-2345</t>
  </si>
  <si>
    <t>Kita-ku 1-1-1</t>
  </si>
  <si>
    <t>CUST-1234</t>
  </si>
  <si>
    <t>+20 2 7890123</t>
  </si>
  <si>
    <t>Nasr City 45</t>
  </si>
  <si>
    <t>CUST-1235</t>
  </si>
  <si>
    <t>+1 (404) 555-7890</t>
  </si>
  <si>
    <t>Peachtree Street 100</t>
  </si>
  <si>
    <t>Atlanta</t>
  </si>
  <si>
    <t>CUST-1236</t>
  </si>
  <si>
    <t>Königstraße 1</t>
  </si>
  <si>
    <t>Stuttgart</t>
  </si>
  <si>
    <t>CUST-1237</t>
  </si>
  <si>
    <t>Chacaito 100</t>
  </si>
  <si>
    <t>CUST-1238</t>
  </si>
  <si>
    <t>+81 45 345-6789</t>
  </si>
  <si>
    <t>Nishi-ku 1-1-1</t>
  </si>
  <si>
    <t>220-0001</t>
  </si>
  <si>
    <t>CUST-1239</t>
  </si>
  <si>
    <t>+34 91 678 90 12</t>
  </si>
  <si>
    <t>Calle de Preciados 100</t>
  </si>
  <si>
    <t>CUST-1240</t>
  </si>
  <si>
    <t>+20 3 7890123</t>
  </si>
  <si>
    <t>Miami 45</t>
  </si>
  <si>
    <t>CUST-1241</t>
  </si>
  <si>
    <t>+46 31 345 67</t>
  </si>
  <si>
    <t>Kungsportsplatsen 1</t>
  </si>
  <si>
    <t>411 10</t>
  </si>
  <si>
    <t>CUST-1242</t>
  </si>
  <si>
    <t>+81 3 3456-7890</t>
  </si>
  <si>
    <t>CUST-1243</t>
  </si>
  <si>
    <t>+92 21 5678901</t>
  </si>
  <si>
    <t>Defence 45</t>
  </si>
  <si>
    <t>CUST-1244</t>
  </si>
  <si>
    <t>David Anderson</t>
  </si>
  <si>
    <t>+1 (305) 555-1234</t>
  </si>
  <si>
    <t>Lincoln Road 100</t>
  </si>
  <si>
    <t>Miami Beach</t>
  </si>
  <si>
    <t>CUST-1245</t>
  </si>
  <si>
    <t>+49 30 345678</t>
  </si>
  <si>
    <t>Alexanderplatz 1</t>
  </si>
  <si>
    <t>CUST-1246</t>
  </si>
  <si>
    <t>+34 93 456 78 90</t>
  </si>
  <si>
    <t>Passeig de Gràcia 150</t>
  </si>
  <si>
    <t>CUST-1247</t>
  </si>
  <si>
    <t>+81 6 9012-3456</t>
  </si>
  <si>
    <t>Naniwa-ku 1-1-1</t>
  </si>
  <si>
    <t>556-0001</t>
  </si>
  <si>
    <t>CUST-1248</t>
  </si>
  <si>
    <t>+34 91 789 01 23</t>
  </si>
  <si>
    <t>Calle de Alcalá 300</t>
  </si>
  <si>
    <t>CUST-1249</t>
  </si>
  <si>
    <t>+20 2 8901234</t>
  </si>
  <si>
    <t>Hadaba 45</t>
  </si>
  <si>
    <t>CUST-1250</t>
  </si>
  <si>
    <t>+46 40 345 67</t>
  </si>
  <si>
    <t>Stortorget 20</t>
  </si>
  <si>
    <t>CUST-1251</t>
  </si>
  <si>
    <t>+81 3 4567-8901</t>
  </si>
  <si>
    <t>Minato 2-1-1</t>
  </si>
  <si>
    <t>CUST-1252</t>
  </si>
  <si>
    <t>+971 4 789 0123</t>
  </si>
  <si>
    <t>Sheikh Mohammed Road 45</t>
  </si>
  <si>
    <t>CUST-1253</t>
  </si>
  <si>
    <t>+1 (215) 555-7890</t>
  </si>
  <si>
    <t>Market Street 200</t>
  </si>
  <si>
    <t>Philadelphia</t>
  </si>
  <si>
    <t>CUST-1254</t>
  </si>
  <si>
    <t>+49 30 456789</t>
  </si>
  <si>
    <t>Potsdamer Platz 1</t>
  </si>
  <si>
    <t>CUST-1255</t>
  </si>
  <si>
    <t>+34 91 890 12 34</t>
  </si>
  <si>
    <t>Gran Vía 100</t>
  </si>
  <si>
    <t>CUST-1256</t>
  </si>
  <si>
    <t>+81 45 456-7890</t>
  </si>
  <si>
    <t>Kohoku-ku 1-1-1</t>
  </si>
  <si>
    <t>222-0001</t>
  </si>
  <si>
    <t>CUST-1257</t>
  </si>
  <si>
    <t>+34 93 567 89 01</t>
  </si>
  <si>
    <t>Diagonal 100</t>
  </si>
  <si>
    <t>CUST-1258</t>
  </si>
  <si>
    <t>+20 3 8901234</t>
  </si>
  <si>
    <t>Sidi Gaber 45</t>
  </si>
  <si>
    <t>CUST-1259</t>
  </si>
  <si>
    <t>+46 8 456 78 90</t>
  </si>
  <si>
    <t>Sveavägen 10</t>
  </si>
  <si>
    <t>CUST-1260</t>
  </si>
  <si>
    <t>+81 6 0123-4567</t>
  </si>
  <si>
    <t>Higashi-ku 1-1-1</t>
  </si>
  <si>
    <t>CUST-1261</t>
  </si>
  <si>
    <t>+92 42 5678901</t>
  </si>
  <si>
    <t>Cantt 78</t>
  </si>
  <si>
    <t>CUST-1262</t>
  </si>
  <si>
    <t>David Jackson</t>
  </si>
  <si>
    <t>+1 (619) 555-1234</t>
  </si>
  <si>
    <t>Gaslamp Quarter 100</t>
  </si>
  <si>
    <t>San Diego</t>
  </si>
  <si>
    <t>CUST-1263</t>
  </si>
  <si>
    <t>+49 30 567890</t>
  </si>
  <si>
    <t>Kurfürstendamm 1</t>
  </si>
  <si>
    <t>CUST-1264</t>
  </si>
  <si>
    <t>+34 91 901 23 45</t>
  </si>
  <si>
    <t>Paseo del Prado 100</t>
  </si>
  <si>
    <t>CUST-1265</t>
  </si>
  <si>
    <t>+81 45 567-8901</t>
  </si>
  <si>
    <t>Tsuzuki-ku 2-1-1</t>
  </si>
  <si>
    <t>CUST-1266</t>
  </si>
  <si>
    <t>+34 93 678 90 12</t>
  </si>
  <si>
    <t>Rambla de Catalunya 150</t>
  </si>
  <si>
    <t>CUST-1267</t>
  </si>
  <si>
    <t>+20 2 9012345</t>
  </si>
  <si>
    <t>Mohandessin 56</t>
  </si>
  <si>
    <t>CUST-1268</t>
  </si>
  <si>
    <t>+46 31 456 78</t>
  </si>
  <si>
    <t>Kungsportsavenyn 30</t>
  </si>
  <si>
    <t>CUST-1269</t>
  </si>
  <si>
    <t>Chiyoda 2-1-1</t>
  </si>
  <si>
    <t>CUST-1270</t>
  </si>
  <si>
    <t>+971 4 890 1234</t>
  </si>
  <si>
    <t>Al Wasl Road 45</t>
  </si>
  <si>
    <t>CUST-1271</t>
  </si>
  <si>
    <t>+1 (503) 555-7890</t>
  </si>
  <si>
    <t>Pioneer Square 100</t>
  </si>
  <si>
    <t>Portland</t>
  </si>
  <si>
    <t>CUST-1272</t>
  </si>
  <si>
    <t>+49 30 678901</t>
  </si>
  <si>
    <t>Friedrichstraße 50</t>
  </si>
  <si>
    <t>CUST-1273</t>
  </si>
  <si>
    <t>+34 91 012 34 56</t>
  </si>
  <si>
    <t>Calle de Goya 100</t>
  </si>
  <si>
    <t>CUST-1274</t>
  </si>
  <si>
    <t>+81 45 678-9012</t>
  </si>
  <si>
    <t>Aoba-ku 1-1-1</t>
  </si>
  <si>
    <t>225-0001</t>
  </si>
  <si>
    <t>CUST-1275</t>
  </si>
  <si>
    <t>+34 93 789 01 23</t>
  </si>
  <si>
    <t>Passeig de Gràcia 200</t>
  </si>
  <si>
    <t>CUST-1276</t>
  </si>
  <si>
    <t>+20 3 9012345</t>
  </si>
  <si>
    <t>Smouha 56</t>
  </si>
  <si>
    <t>CUST-1277</t>
  </si>
  <si>
    <t>+46 40 456 78</t>
  </si>
  <si>
    <t>Stortorget 25</t>
  </si>
  <si>
    <t>CUST-1278</t>
  </si>
  <si>
    <t>Minato 3-1-1</t>
  </si>
  <si>
    <t>CUST-1279</t>
  </si>
  <si>
    <t>+92 42 6789012</t>
  </si>
  <si>
    <t>Gulberg 89</t>
  </si>
  <si>
    <t>CUST-1280</t>
  </si>
  <si>
    <t>+1 (602) 555-1234</t>
  </si>
  <si>
    <t>Camelback Road 300</t>
  </si>
  <si>
    <t>CUST-1281</t>
  </si>
  <si>
    <t>+49 30 789012</t>
  </si>
  <si>
    <t>Unter den Linden 40</t>
  </si>
  <si>
    <t>CUST-1282</t>
  </si>
  <si>
    <t>+34 91 123 45 67</t>
  </si>
  <si>
    <t>Calle de Serrano 200</t>
  </si>
  <si>
    <t>CUST-1283</t>
  </si>
  <si>
    <t>+81 45 789-0123</t>
  </si>
  <si>
    <t>Kanagawa 2-1-1</t>
  </si>
  <si>
    <t>CUST-1284</t>
  </si>
  <si>
    <t>+34 93 890 12 34</t>
  </si>
  <si>
    <t>Diagonal 200</t>
  </si>
  <si>
    <t>CUST-1285</t>
  </si>
  <si>
    <t>+20 2 0123456</t>
  </si>
  <si>
    <t>Heliopolis 56</t>
  </si>
  <si>
    <t>CUST-1286</t>
  </si>
  <si>
    <t>+46 31 567 89</t>
  </si>
  <si>
    <t>Kungsportsplatsen 2</t>
  </si>
  <si>
    <t>CUST-1287</t>
  </si>
  <si>
    <t>Shibuya 3-24-12</t>
  </si>
  <si>
    <t>CUST-1288</t>
  </si>
  <si>
    <t>+92 21 6789012</t>
  </si>
  <si>
    <t>Clifton 89</t>
  </si>
  <si>
    <t>CUST-1289</t>
  </si>
  <si>
    <t>+1 (713) 555-1234</t>
  </si>
  <si>
    <t>Main Street 800</t>
  </si>
  <si>
    <t>CUST-1290</t>
  </si>
  <si>
    <t>+49 30 890123</t>
  </si>
  <si>
    <t>Alexanderplatz 10</t>
  </si>
  <si>
    <t>CUST-1291</t>
  </si>
  <si>
    <t>Calle de Alcalá 400</t>
  </si>
  <si>
    <t>CUST-1292</t>
  </si>
  <si>
    <t>+81 45 890-1234</t>
  </si>
  <si>
    <t>Nishi-ku 2-1-1</t>
  </si>
  <si>
    <t>CUST-1293</t>
  </si>
  <si>
    <t>+34 93 901 23 45</t>
  </si>
  <si>
    <t>Passeig de Gràcia 250</t>
  </si>
  <si>
    <t>CUST-1294</t>
  </si>
  <si>
    <t>+20 3 0123456</t>
  </si>
  <si>
    <t>Sporting 56</t>
  </si>
  <si>
    <t>CUST-1295</t>
  </si>
  <si>
    <t>+46 40 567 89</t>
  </si>
  <si>
    <t>Stortorget 30</t>
  </si>
  <si>
    <t>CUST-1296</t>
  </si>
  <si>
    <t>+81 3 8901-2345</t>
  </si>
  <si>
    <t>Chiyoda 3-1-1</t>
  </si>
  <si>
    <t>CUST-1297</t>
  </si>
  <si>
    <t>+971 4 901 2345</t>
  </si>
  <si>
    <t>Sheikh Zayed Road 56</t>
  </si>
  <si>
    <t>CUST-1298</t>
  </si>
  <si>
    <t>+1 (305) 555-4567</t>
  </si>
  <si>
    <t>Ocean Drive 1300</t>
  </si>
  <si>
    <t>CUST-1299</t>
  </si>
  <si>
    <t>+49 30 901234</t>
  </si>
  <si>
    <t>Potsdamer Platz 10</t>
  </si>
  <si>
    <t>CUST-1300</t>
  </si>
  <si>
    <t>Calle de Goya 200</t>
  </si>
  <si>
    <t>CUST-1301</t>
  </si>
  <si>
    <t>+81 45 901-2345</t>
  </si>
  <si>
    <t>Aoba-ku 2-1-1</t>
  </si>
  <si>
    <t>CUST-1302</t>
  </si>
  <si>
    <t>+34 93 012 34 56</t>
  </si>
  <si>
    <t>Diagonal 300</t>
  </si>
  <si>
    <t>CUST-1303</t>
  </si>
  <si>
    <t>+20 2 1234567</t>
  </si>
  <si>
    <t>Dokki 56</t>
  </si>
  <si>
    <t>CUST-1304</t>
  </si>
  <si>
    <t>+46 31 678 90</t>
  </si>
  <si>
    <t>Kungsportsavenyn 40</t>
  </si>
  <si>
    <t>CUST-1305</t>
  </si>
  <si>
    <t>Minato 4-1-1</t>
  </si>
  <si>
    <t>CUST-1306</t>
  </si>
  <si>
    <t>+92 42 7890123</t>
  </si>
  <si>
    <t>Cantt 89</t>
  </si>
  <si>
    <t>CUST-1307</t>
  </si>
  <si>
    <t>+1 (214) 555-4567</t>
  </si>
  <si>
    <t>Main Street 600</t>
  </si>
  <si>
    <t>CUST-1308</t>
  </si>
  <si>
    <t>+49 30 012345</t>
  </si>
  <si>
    <t>Alexanderplatz 20</t>
  </si>
  <si>
    <t>CUST-1309</t>
  </si>
  <si>
    <t>Calle de Serrano 300</t>
  </si>
  <si>
    <t>CUST-1310</t>
  </si>
  <si>
    <t>+81 45 012-3456</t>
  </si>
  <si>
    <t>Kanagawa 3-1-1</t>
  </si>
  <si>
    <t>CUST-1311</t>
  </si>
  <si>
    <t>Passeig de Gràcia 300</t>
  </si>
  <si>
    <t>CUST-1312</t>
  </si>
  <si>
    <t>+20 2 2345678</t>
  </si>
  <si>
    <t>Heliopolis 67</t>
  </si>
  <si>
    <t>CUST-1313</t>
  </si>
  <si>
    <t>+46 40 678 90</t>
  </si>
  <si>
    <t>Stortorget 35</t>
  </si>
  <si>
    <t>CUST-1314</t>
  </si>
  <si>
    <t>+81 3 0123-4567</t>
  </si>
  <si>
    <t>Shibuya 4-24-12</t>
  </si>
  <si>
    <t>CUST-1315</t>
  </si>
  <si>
    <t>+92 21 7890123</t>
  </si>
  <si>
    <t>Clifton 90</t>
  </si>
  <si>
    <t>CUST-1316</t>
  </si>
  <si>
    <t>+1 (404) 555-4567</t>
  </si>
  <si>
    <t>Peachtree Street 200</t>
  </si>
  <si>
    <t>CUST-1317</t>
  </si>
  <si>
    <t>+49 30 123456</t>
  </si>
  <si>
    <t>Kurfürstendamm 10</t>
  </si>
  <si>
    <t>CUST-1318</t>
  </si>
  <si>
    <t>Calle de Goya 300</t>
  </si>
  <si>
    <t>CUST-1319</t>
  </si>
  <si>
    <t>Nishi-ku 3-1-1</t>
  </si>
  <si>
    <t>CUST-1320</t>
  </si>
  <si>
    <t>Diagonal 400</t>
  </si>
  <si>
    <t>CUST-1321</t>
  </si>
  <si>
    <t>+20 2 3456789</t>
  </si>
  <si>
    <t>Mohandessin 67</t>
  </si>
  <si>
    <t>CUST-1322</t>
  </si>
  <si>
    <t>+46 31 789 01</t>
  </si>
  <si>
    <t>Kungsportsplatsen 3</t>
  </si>
  <si>
    <t>CUST-1323</t>
  </si>
  <si>
    <t>+81 3 1234-5678</t>
  </si>
  <si>
    <t>Chiyoda 4-1-1</t>
  </si>
  <si>
    <t>CUST-1324</t>
  </si>
  <si>
    <t>+971 4 012 3456</t>
  </si>
  <si>
    <t>Al Wasl Road 56</t>
  </si>
  <si>
    <t>CUST-1325</t>
  </si>
  <si>
    <t>+1 (215) 555-4567</t>
  </si>
  <si>
    <t>Market Street 300</t>
  </si>
  <si>
    <t>CUST-1326</t>
  </si>
  <si>
    <t>Friedrichstraße 60</t>
  </si>
  <si>
    <t>CUST-1327</t>
  </si>
  <si>
    <t>Calle de Serrano 400</t>
  </si>
  <si>
    <t>CUST-1328</t>
  </si>
  <si>
    <t>Aoba-ku 3-1-1</t>
  </si>
  <si>
    <t>CUST-1329</t>
  </si>
  <si>
    <t>Passeig de Gràcia 350</t>
  </si>
  <si>
    <t>CUST-1330</t>
  </si>
  <si>
    <t>+20 2 4567890</t>
  </si>
  <si>
    <t>Dokki 67</t>
  </si>
  <si>
    <t>CUST-1331</t>
  </si>
  <si>
    <t>+46 40 789 01</t>
  </si>
  <si>
    <t>Stortorget 40</t>
  </si>
  <si>
    <t>CUST-1332</t>
  </si>
  <si>
    <t>Minato 5-1-1</t>
  </si>
  <si>
    <t>CUST-1333</t>
  </si>
  <si>
    <t>+92 42 8901234</t>
  </si>
  <si>
    <t>Cantt 90</t>
  </si>
  <si>
    <t>CUST-1334</t>
  </si>
  <si>
    <t>+1 (602) 555-4567</t>
  </si>
  <si>
    <t>Camelback Road 400</t>
  </si>
  <si>
    <t>CUST-1335</t>
  </si>
  <si>
    <t>Unter den Linden 50</t>
  </si>
  <si>
    <t>CUST-1336</t>
  </si>
  <si>
    <t>Calle de Goya 400</t>
  </si>
  <si>
    <t>CUST-1337</t>
  </si>
  <si>
    <t>Kanagawa 4-1-1</t>
  </si>
  <si>
    <t>CUST-1338</t>
  </si>
  <si>
    <t>Diagonal 500</t>
  </si>
  <si>
    <t>CUST-1339</t>
  </si>
  <si>
    <t>Sporting 67</t>
  </si>
  <si>
    <t>CUST-1340</t>
  </si>
  <si>
    <t>+46 31 890 12</t>
  </si>
  <si>
    <t>Kungsportsavenyn 50</t>
  </si>
  <si>
    <t>CUST-1341</t>
  </si>
  <si>
    <t>Shibuya 5-24-12</t>
  </si>
  <si>
    <t>CUST-1342</t>
  </si>
  <si>
    <t>+92 21 8901234</t>
  </si>
  <si>
    <t>Clifton 91</t>
  </si>
  <si>
    <t>CUST-1343</t>
  </si>
  <si>
    <t>+1 (713) 555-4567</t>
  </si>
  <si>
    <t>Main Street 900</t>
  </si>
  <si>
    <t>CUST-1344</t>
  </si>
  <si>
    <t>Alexanderplatz 30</t>
  </si>
  <si>
    <t>CUST-1345</t>
  </si>
  <si>
    <t>Calle de Serrano 500</t>
  </si>
  <si>
    <t>CUST-1346</t>
  </si>
  <si>
    <t>Nishi-ku 4-1-1</t>
  </si>
  <si>
    <t>CUST-1347</t>
  </si>
  <si>
    <t>Passeig de Gràcia 400</t>
  </si>
  <si>
    <t>CUST-1348</t>
  </si>
  <si>
    <t>Heliopolis 78</t>
  </si>
  <si>
    <t>CUST-1349</t>
  </si>
  <si>
    <t>+46 40 890 12</t>
  </si>
  <si>
    <t>Stortorget 45</t>
  </si>
  <si>
    <t>CUST-1350</t>
  </si>
  <si>
    <t>Chiyoda 5-1-1</t>
  </si>
  <si>
    <t>CUST-1351</t>
  </si>
  <si>
    <t>+971 4 123 4567</t>
  </si>
  <si>
    <t>Sheikh Zayed Road 67</t>
  </si>
  <si>
    <t>CUST-1352</t>
  </si>
  <si>
    <t>+1 (305) 555-5678</t>
  </si>
  <si>
    <t>Ocean Drive 1400</t>
  </si>
  <si>
    <t>CUST-1353</t>
  </si>
  <si>
    <t>Potsdamer Platz 20</t>
  </si>
  <si>
    <t>CUST-1354</t>
  </si>
  <si>
    <t>Calle de Goya 500</t>
  </si>
  <si>
    <t>CUST-1355</t>
  </si>
  <si>
    <t>Kanagawa 5-1-1</t>
  </si>
  <si>
    <t>CUST-1356</t>
  </si>
  <si>
    <t>Diagonal 600</t>
  </si>
  <si>
    <t>CUST-1357</t>
  </si>
  <si>
    <t>Dokki 78</t>
  </si>
  <si>
    <t>CUST-1358</t>
  </si>
  <si>
    <t>+46 31 901 23</t>
  </si>
  <si>
    <t>Kungsportsplatsen 4</t>
  </si>
  <si>
    <t>CUST-1359</t>
  </si>
  <si>
    <t>Shibuya 6-24-12</t>
  </si>
  <si>
    <t>CUST-1360</t>
  </si>
  <si>
    <t>+92 42 9012345</t>
  </si>
  <si>
    <t>Cantt 91</t>
  </si>
  <si>
    <t>CUST-1361</t>
  </si>
  <si>
    <t>+1 (214) 555-5678</t>
  </si>
  <si>
    <t>Main Street 700</t>
  </si>
  <si>
    <t>CUST-1362</t>
  </si>
  <si>
    <t>Alexanderplatz 40</t>
  </si>
  <si>
    <t>CUST-1363</t>
  </si>
  <si>
    <t>Calle de Serrano 600</t>
  </si>
  <si>
    <t>CUST-1364</t>
  </si>
  <si>
    <t>Nishi-ku 5-1-1</t>
  </si>
  <si>
    <t>CUST-1365</t>
  </si>
  <si>
    <t>Passeig de Gràcia 450</t>
  </si>
  <si>
    <t>CUST-1366</t>
  </si>
  <si>
    <t>Mohandessin 78</t>
  </si>
  <si>
    <t>CUST-1367</t>
  </si>
  <si>
    <t>+46 40 901 23</t>
  </si>
  <si>
    <t>Stortorget 50</t>
  </si>
  <si>
    <t>CUST-1368</t>
  </si>
  <si>
    <t>Chiyoda 6-1-1</t>
  </si>
  <si>
    <t>CUST-1369</t>
  </si>
  <si>
    <t>+92 21 9012345</t>
  </si>
  <si>
    <t>Clifton 92</t>
  </si>
  <si>
    <t>CUST-1370</t>
  </si>
  <si>
    <t>+1 (404) 555-5678</t>
  </si>
  <si>
    <t>Peachtree Street 300</t>
  </si>
  <si>
    <t>CUST-1371</t>
  </si>
  <si>
    <t>Kurfürstendamm 20</t>
  </si>
  <si>
    <t>CUST-1372</t>
  </si>
  <si>
    <t>Calle de Goya 600</t>
  </si>
  <si>
    <t>CUST-1373</t>
  </si>
  <si>
    <t>Aoba-ku 4-1-1</t>
  </si>
  <si>
    <t>CUST-1374</t>
  </si>
  <si>
    <t>Diagonal 700</t>
  </si>
  <si>
    <t>CUST-1375</t>
  </si>
  <si>
    <t>Heliopolis 89</t>
  </si>
  <si>
    <t>CUST-1376</t>
  </si>
  <si>
    <t>+46 31 012 34</t>
  </si>
  <si>
    <t>Kungsportsavenyn 60</t>
  </si>
  <si>
    <t>CUST-1377</t>
  </si>
  <si>
    <t>Minato 6-1-1</t>
  </si>
  <si>
    <t>CUST-1378</t>
  </si>
  <si>
    <t>+971 4 234 5678</t>
  </si>
  <si>
    <t>Al Wasl Road 67</t>
  </si>
  <si>
    <t>CUST-1379</t>
  </si>
  <si>
    <t>+1 (215) 555-5678</t>
  </si>
  <si>
    <t>Market Street 400</t>
  </si>
  <si>
    <t>CUST-1380</t>
  </si>
  <si>
    <t>Friedrichstraße 70</t>
  </si>
  <si>
    <t>CUST-1381</t>
  </si>
  <si>
    <t>Calle de Serrano 700</t>
  </si>
  <si>
    <t>CUST-1382</t>
  </si>
  <si>
    <t>Kanagawa 6-1-1</t>
  </si>
  <si>
    <t>CUST-1383</t>
  </si>
  <si>
    <t>Passeig de Gràcia 500</t>
  </si>
  <si>
    <t>CUST-1384</t>
  </si>
  <si>
    <t>Sporting 78</t>
  </si>
  <si>
    <t>CUST-1385</t>
  </si>
  <si>
    <t>+46 40 012 34</t>
  </si>
  <si>
    <t>Stortorget 55</t>
  </si>
  <si>
    <t>CUST-1386</t>
  </si>
  <si>
    <t>Shibuya 7-24-12</t>
  </si>
  <si>
    <t>CUST-1387</t>
  </si>
  <si>
    <t>+92 42 0123456</t>
  </si>
  <si>
    <t>Cantt 92</t>
  </si>
  <si>
    <t>CUST-1388</t>
  </si>
  <si>
    <t>+1 (602) 555-5678</t>
  </si>
  <si>
    <t>Camelback Road 500</t>
  </si>
  <si>
    <t>CUST-1389</t>
  </si>
  <si>
    <t>Unter den Linden 60</t>
  </si>
  <si>
    <t>CUST-1390</t>
  </si>
  <si>
    <t>Calle de Goya 700</t>
  </si>
  <si>
    <t>CUST-1391</t>
  </si>
  <si>
    <t>Nishi-ku 6-1-1</t>
  </si>
  <si>
    <t>CUST-1392</t>
  </si>
  <si>
    <t>Diagonal 800</t>
  </si>
  <si>
    <t>CUST-1393</t>
  </si>
  <si>
    <t>Dokki 89</t>
  </si>
  <si>
    <t>CUST-1394</t>
  </si>
  <si>
    <t>+46 31 123 45</t>
  </si>
  <si>
    <t>Kungsportsplatsen 5</t>
  </si>
  <si>
    <t>CUST-1395</t>
  </si>
  <si>
    <t>Chiyoda 7-1-1</t>
  </si>
  <si>
    <t>CUST-1396</t>
  </si>
  <si>
    <t>+92 21 0123456</t>
  </si>
  <si>
    <t>Clifton 93</t>
  </si>
  <si>
    <t>CUST-1397</t>
  </si>
  <si>
    <t>+1 (713) 555-5678</t>
  </si>
  <si>
    <t>Main Street 1000</t>
  </si>
  <si>
    <t>CUST-1398</t>
  </si>
  <si>
    <t>Alexanderplatz 50</t>
  </si>
  <si>
    <t>CUST-1399</t>
  </si>
  <si>
    <t>Calle de Serrano 800</t>
  </si>
  <si>
    <t>CUST-1400</t>
  </si>
  <si>
    <t>Kanagawa 7-1-1</t>
  </si>
  <si>
    <t>CUST-1401</t>
  </si>
  <si>
    <t>Passeig de Gràcia 550</t>
  </si>
  <si>
    <t>CUST-1402</t>
  </si>
  <si>
    <t>Heliopolis 90</t>
  </si>
  <si>
    <t>CUST-1403</t>
  </si>
  <si>
    <t>+46 40 123 45</t>
  </si>
  <si>
    <t>Stortorget 60</t>
  </si>
  <si>
    <t>CUST-1404</t>
  </si>
  <si>
    <t>Shibuya 8-24-12</t>
  </si>
  <si>
    <t>CUST-1405</t>
  </si>
  <si>
    <t>+971 4 345 6789</t>
  </si>
  <si>
    <t>Sheikh Zayed Road 78</t>
  </si>
  <si>
    <t>CUST-1406</t>
  </si>
  <si>
    <t>Ocean Drive 1500</t>
  </si>
  <si>
    <t>CUST-1407</t>
  </si>
  <si>
    <t>Potsdamer Platz 30</t>
  </si>
  <si>
    <t>CUST-1408</t>
  </si>
  <si>
    <t>Calle de Goya 800</t>
  </si>
  <si>
    <t>CUST-1409</t>
  </si>
  <si>
    <t>Aoba-ku 5-1-1</t>
  </si>
  <si>
    <t>CUST-1410</t>
  </si>
  <si>
    <t>Diagonal 900</t>
  </si>
  <si>
    <t>CUST-1411</t>
  </si>
  <si>
    <t>Mohandessin 89</t>
  </si>
  <si>
    <t>CUST-1412</t>
  </si>
  <si>
    <t>Kungsportsavenyn 70</t>
  </si>
  <si>
    <t>CUST-1413</t>
  </si>
  <si>
    <t>Chiyoda 8-1-1</t>
  </si>
  <si>
    <t>CUST-1414</t>
  </si>
  <si>
    <t>+92 42 1234567</t>
  </si>
  <si>
    <t>Cantt 93</t>
  </si>
  <si>
    <t>CUST-1415</t>
  </si>
  <si>
    <t>+1 (214) 555-6789</t>
  </si>
  <si>
    <t>CUST-1416</t>
  </si>
  <si>
    <t>Alexanderplatz 60</t>
  </si>
  <si>
    <t>CUST-1417</t>
  </si>
  <si>
    <t>Calle de Serrano 900</t>
  </si>
  <si>
    <t>CUST-1418</t>
  </si>
  <si>
    <t>Nishi-ku 7-1-1</t>
  </si>
  <si>
    <t>CUST-1419</t>
  </si>
  <si>
    <t>Passeig de Gràcia 600</t>
  </si>
  <si>
    <t>CUST-1420</t>
  </si>
  <si>
    <t>Dokki 90</t>
  </si>
  <si>
    <t>CUST-1421</t>
  </si>
  <si>
    <t>Stortorget 65</t>
  </si>
  <si>
    <t>CUST-1422</t>
  </si>
  <si>
    <t>Shibuya 9-24-12</t>
  </si>
  <si>
    <t>CUST-1423</t>
  </si>
  <si>
    <t>+92 21 1234567</t>
  </si>
  <si>
    <t>Clifton 94</t>
  </si>
  <si>
    <t>CUST-1424</t>
  </si>
  <si>
    <t>+1 (404) 555-6789</t>
  </si>
  <si>
    <t>Peachtree Street 400</t>
  </si>
  <si>
    <t>CUST-1425</t>
  </si>
  <si>
    <t>Kurfürstendamm 30</t>
  </si>
  <si>
    <t>CUST-1426</t>
  </si>
  <si>
    <t>Calle de Goya 900</t>
  </si>
  <si>
    <t>CUST-1427</t>
  </si>
  <si>
    <t>Aoba-ku 6-1-1</t>
  </si>
  <si>
    <t>CUST-1428</t>
  </si>
  <si>
    <t>Diagonal 1000</t>
  </si>
  <si>
    <t>CUST-1429</t>
  </si>
  <si>
    <t>Sporting 89</t>
  </si>
  <si>
    <t>CUST-1430</t>
  </si>
  <si>
    <t>Kungsportsplatsen 6</t>
  </si>
  <si>
    <t>CUST-1431</t>
  </si>
  <si>
    <t>Chiyoda 9-1-1</t>
  </si>
  <si>
    <t>CUST-1432</t>
  </si>
  <si>
    <t>+971 4 456 7890</t>
  </si>
  <si>
    <t>Al Wasl Road 78</t>
  </si>
  <si>
    <t>CUST-1433</t>
  </si>
  <si>
    <t>+1 (215) 555-6789</t>
  </si>
  <si>
    <t>Market Street 500</t>
  </si>
  <si>
    <t>CUST-1434</t>
  </si>
  <si>
    <t>Friedrichstraße 80</t>
  </si>
  <si>
    <t>CUST-1435</t>
  </si>
  <si>
    <t>Calle de Serrano 1000</t>
  </si>
  <si>
    <t>CUST-1436</t>
  </si>
  <si>
    <t>Kanagawa 8-1-1</t>
  </si>
  <si>
    <t>CUST-1437</t>
  </si>
  <si>
    <t>Passeig de Gràcia 650</t>
  </si>
  <si>
    <t>CUST-1438</t>
  </si>
  <si>
    <t>Heliopolis 91</t>
  </si>
  <si>
    <t>CUST-1439</t>
  </si>
  <si>
    <t>Stortorget 70</t>
  </si>
  <si>
    <t>CUST-1440</t>
  </si>
  <si>
    <t>Shibuya 10-24-12</t>
  </si>
  <si>
    <t>CUST-1441</t>
  </si>
  <si>
    <t>+92 42 2345678</t>
  </si>
  <si>
    <t>Cantt 94</t>
  </si>
  <si>
    <t>CUST-1442</t>
  </si>
  <si>
    <t>+1 (602) 555-6789</t>
  </si>
  <si>
    <t>Camelback Road 600</t>
  </si>
  <si>
    <t>CUST-1443</t>
  </si>
  <si>
    <t>Unter den Linden 70</t>
  </si>
  <si>
    <t>CUST-1444</t>
  </si>
  <si>
    <t>Calle de Goya 1000</t>
  </si>
  <si>
    <t>CUST-1445</t>
  </si>
  <si>
    <t>Nishi-ku 8-1-1</t>
  </si>
  <si>
    <t>CUST-1446</t>
  </si>
  <si>
    <t>Diagonal 1100</t>
  </si>
  <si>
    <t>CUST-1447</t>
  </si>
  <si>
    <t>Mohandessin 90</t>
  </si>
  <si>
    <t>CUST-1448</t>
  </si>
  <si>
    <t>Kungsportsavenyn 80</t>
  </si>
  <si>
    <t>CUST-1449</t>
  </si>
  <si>
    <t>Chiyoda 10-1-1</t>
  </si>
  <si>
    <t>CUST-1450</t>
  </si>
  <si>
    <t>+92 21 2345678</t>
  </si>
  <si>
    <t>Clifton 95</t>
  </si>
  <si>
    <t>CUST-1451</t>
  </si>
  <si>
    <t>+1 (713) 555-6789</t>
  </si>
  <si>
    <t>Main Street 1100</t>
  </si>
  <si>
    <t>CUST-1452</t>
  </si>
  <si>
    <t>Alexanderplatz 70</t>
  </si>
  <si>
    <t>CUST-1453</t>
  </si>
  <si>
    <t>Calle de Serrano 1100</t>
  </si>
  <si>
    <t>CUST-1454</t>
  </si>
  <si>
    <t>Aoba-ku 7-1-1</t>
  </si>
  <si>
    <t>CUST-1455</t>
  </si>
  <si>
    <t>Passeig de Gràcia 700</t>
  </si>
  <si>
    <t>CUST-1456</t>
  </si>
  <si>
    <t>Dokki 91</t>
  </si>
  <si>
    <t>CUST-1457</t>
  </si>
  <si>
    <t>Stortorget 75</t>
  </si>
  <si>
    <t>CUST-1458</t>
  </si>
  <si>
    <t>Shibuya 11-24-12</t>
  </si>
  <si>
    <t>CUST-1459</t>
  </si>
  <si>
    <t>+971 4 567 8901</t>
  </si>
  <si>
    <t>Sheikh Zayed Road 89</t>
  </si>
  <si>
    <t>CUST-1460</t>
  </si>
  <si>
    <t>+1 (305) 555-7890</t>
  </si>
  <si>
    <t>Ocean Drive 1600</t>
  </si>
  <si>
    <t>CUST-1461</t>
  </si>
  <si>
    <t>Potsdamer Platz 40</t>
  </si>
  <si>
    <t>CUST-1462</t>
  </si>
  <si>
    <t>Calle de Goya 1100</t>
  </si>
  <si>
    <t>CUST-1463</t>
  </si>
  <si>
    <t>Kanagawa 9-1-1</t>
  </si>
  <si>
    <t>CUST-1464</t>
  </si>
  <si>
    <t>Diagonal 1200</t>
  </si>
  <si>
    <t>CUST-1465</t>
  </si>
  <si>
    <t>Sporting 90</t>
  </si>
  <si>
    <t>CUST-1466</t>
  </si>
  <si>
    <t>Kungsportsplatsen 7</t>
  </si>
  <si>
    <t>CUST-1467</t>
  </si>
  <si>
    <t>Chiyoda 11-1-1</t>
  </si>
  <si>
    <t>CUST-1468</t>
  </si>
  <si>
    <t>+92 42 3456789</t>
  </si>
  <si>
    <t>Cantt 95</t>
  </si>
  <si>
    <t>CUST-1469</t>
  </si>
  <si>
    <t>+1 (214) 555-7890</t>
  </si>
  <si>
    <t>CUST-1470</t>
  </si>
  <si>
    <t>Alexanderplatz 80</t>
  </si>
  <si>
    <t>CUST-1471</t>
  </si>
  <si>
    <t>Calle de Serrano 1200</t>
  </si>
  <si>
    <t>CUST-1472</t>
  </si>
  <si>
    <t>Nishi-ku 9-1-1</t>
  </si>
  <si>
    <t>CUST-1473</t>
  </si>
  <si>
    <t>Passeig de Gràcia 750</t>
  </si>
  <si>
    <t>CUST-1474</t>
  </si>
  <si>
    <t>Heliopolis 92</t>
  </si>
  <si>
    <t>CUST-1475</t>
  </si>
  <si>
    <t>Stortorget 80</t>
  </si>
  <si>
    <t>CUST-1476</t>
  </si>
  <si>
    <t>Shibuya 12-24-12</t>
  </si>
  <si>
    <t>CUST-1477</t>
  </si>
  <si>
    <t>+92 21 3456789</t>
  </si>
  <si>
    <t>Clifton 96</t>
  </si>
  <si>
    <t>CUST-1478</t>
  </si>
  <si>
    <t>Peachtree Street 500</t>
  </si>
  <si>
    <t>CUST-1479</t>
  </si>
  <si>
    <t>Kurfürstendamm 40</t>
  </si>
  <si>
    <t>CUST-1480</t>
  </si>
  <si>
    <t>Calle de Goya 1200</t>
  </si>
  <si>
    <t>CUST-1481</t>
  </si>
  <si>
    <t>Aoba-ku 8-1-1</t>
  </si>
  <si>
    <t>CUST-1482</t>
  </si>
  <si>
    <t>Diagonal 1300</t>
  </si>
  <si>
    <t>CUST-1483</t>
  </si>
  <si>
    <t>Mohandessin 91</t>
  </si>
  <si>
    <t>CUST-1484</t>
  </si>
  <si>
    <t>Kungsportsavenyn 90</t>
  </si>
  <si>
    <t>CUST-1485</t>
  </si>
  <si>
    <t>Chiyoda 12-1-1</t>
  </si>
  <si>
    <t>CUST-1486</t>
  </si>
  <si>
    <t>Al Wasl Road 89</t>
  </si>
  <si>
    <t>CUST-1487</t>
  </si>
  <si>
    <t>Market Street 600</t>
  </si>
  <si>
    <t>CUST-1488</t>
  </si>
  <si>
    <t>Friedrichstraße 90</t>
  </si>
  <si>
    <t>CUST-1489</t>
  </si>
  <si>
    <t>Calle de Serrano 1300</t>
  </si>
  <si>
    <t>CUST-1490</t>
  </si>
  <si>
    <t>Kanagawa 10-1-1</t>
  </si>
  <si>
    <t>CUST-1491</t>
  </si>
  <si>
    <t>Passeig de Gràcia 800</t>
  </si>
  <si>
    <t>CUST-1492</t>
  </si>
  <si>
    <t>Dokki 92</t>
  </si>
  <si>
    <t>CUST-1493</t>
  </si>
  <si>
    <t>Stortorget 85</t>
  </si>
  <si>
    <t>CUST-1494</t>
  </si>
  <si>
    <t>Shibuya 13-24-12</t>
  </si>
  <si>
    <t>CUST-1495</t>
  </si>
  <si>
    <t>Cantt 96</t>
  </si>
  <si>
    <t>CUST-1496</t>
  </si>
  <si>
    <t>Camelback Road 700</t>
  </si>
  <si>
    <t>CUST-1497</t>
  </si>
  <si>
    <t>Unter den Linden 80</t>
  </si>
  <si>
    <t>CUST-1498</t>
  </si>
  <si>
    <t>Calle de Goya 1300</t>
  </si>
  <si>
    <t>CUST-1499</t>
  </si>
  <si>
    <t>Nishi-ku 10-1-1</t>
  </si>
  <si>
    <t>CUST-1500</t>
  </si>
  <si>
    <t>Diagonal 1400</t>
  </si>
  <si>
    <t>CUST-1501</t>
  </si>
  <si>
    <t>Sporting 91</t>
  </si>
  <si>
    <t>CUST-1502</t>
  </si>
  <si>
    <t>Kungsportsplatsen 8</t>
  </si>
  <si>
    <t>CUST-1503</t>
  </si>
  <si>
    <t>Chiyoda 13-1-1</t>
  </si>
  <si>
    <t>CUST-1504</t>
  </si>
  <si>
    <t>+92 21 4567890</t>
  </si>
  <si>
    <t>Clifton 97</t>
  </si>
  <si>
    <t>CUST-1505</t>
  </si>
  <si>
    <t>+1 (713) 555-7890</t>
  </si>
  <si>
    <t>CUST-1506</t>
  </si>
  <si>
    <t>Alexanderplatz 90</t>
  </si>
  <si>
    <t>CUST-1507</t>
  </si>
  <si>
    <t>Calle de Serrano 1400</t>
  </si>
  <si>
    <t>CUST-1508</t>
  </si>
  <si>
    <t>Aoba-ku 9-1-1</t>
  </si>
  <si>
    <t>CUST-1509</t>
  </si>
  <si>
    <t>Passeig de Gràcia 850</t>
  </si>
  <si>
    <t>CUST-1510</t>
  </si>
  <si>
    <t>Heliopolis 93</t>
  </si>
  <si>
    <t>CUST-1511</t>
  </si>
  <si>
    <t>Stortorget 90</t>
  </si>
  <si>
    <t>CUST-1512</t>
  </si>
  <si>
    <t>Shibuya 14-24-12</t>
  </si>
  <si>
    <t>CUST-1513</t>
  </si>
  <si>
    <t>Sheikh Zayed Road 90</t>
  </si>
  <si>
    <t>CUST-1514</t>
  </si>
  <si>
    <t>+1 (305) 555-8901</t>
  </si>
  <si>
    <t>Ocean Drive 1700</t>
  </si>
  <si>
    <t>CUST-1515</t>
  </si>
  <si>
    <t>Potsdamer Platz 50</t>
  </si>
  <si>
    <t>CUST-1516</t>
  </si>
  <si>
    <t>Calle de Goya 1400</t>
  </si>
  <si>
    <t>CUST-1517</t>
  </si>
  <si>
    <t>Kanagawa 11-1-1</t>
  </si>
  <si>
    <t>CUST-1518</t>
  </si>
  <si>
    <t>Diagonal 1500</t>
  </si>
  <si>
    <t>CUST-1519</t>
  </si>
  <si>
    <t>Mohandessin 92</t>
  </si>
  <si>
    <t>CUST-1520</t>
  </si>
  <si>
    <t>Kungsportsavenyn 100</t>
  </si>
  <si>
    <t>CUST-1521</t>
  </si>
  <si>
    <t>Chiyoda 14-1-1</t>
  </si>
  <si>
    <t>CUST-1522</t>
  </si>
  <si>
    <t>Cantt 97</t>
  </si>
  <si>
    <t>CUST-1523</t>
  </si>
  <si>
    <t>+1 (214) 555-8901</t>
  </si>
  <si>
    <t>CUST-1524</t>
  </si>
  <si>
    <t>Alexanderplatz 100</t>
  </si>
  <si>
    <t>CUST-1525</t>
  </si>
  <si>
    <t>Calle de Serrano 1500</t>
  </si>
  <si>
    <t>CUST-1526</t>
  </si>
  <si>
    <t>Nishi-ku 11-1-1</t>
  </si>
  <si>
    <t>CUST-1527</t>
  </si>
  <si>
    <t>Passeig de Gràcia 900</t>
  </si>
  <si>
    <t>CUST-1528</t>
  </si>
  <si>
    <t>Dokki 93</t>
  </si>
  <si>
    <t>CUST-1529</t>
  </si>
  <si>
    <t>Stortorget 95</t>
  </si>
  <si>
    <t>CUST-1530</t>
  </si>
  <si>
    <t>Shibuya 15-24-12</t>
  </si>
  <si>
    <t>CUST-1531</t>
  </si>
  <si>
    <t>Clifton 98</t>
  </si>
  <si>
    <t>CUST-1532</t>
  </si>
  <si>
    <t>+1 (404) 555-8901</t>
  </si>
  <si>
    <t>Peachtree Street 600</t>
  </si>
  <si>
    <t>CUST-1533</t>
  </si>
  <si>
    <t>Kurfürstendamm 50</t>
  </si>
  <si>
    <t>CUST-1534</t>
  </si>
  <si>
    <t>Calle de Goya 1500</t>
  </si>
  <si>
    <t>CUST-1535</t>
  </si>
  <si>
    <t>Aoba-ku 10-1-1</t>
  </si>
  <si>
    <t>CUST-1536</t>
  </si>
  <si>
    <t>Diagonal 1600</t>
  </si>
  <si>
    <t>CUST-1537</t>
  </si>
  <si>
    <t>Sporting 92</t>
  </si>
  <si>
    <t>CUST-1538</t>
  </si>
  <si>
    <t>Kungsportsplatsen 9</t>
  </si>
  <si>
    <t>CUST-1539</t>
  </si>
  <si>
    <t>Chiyoda 15-1-1</t>
  </si>
  <si>
    <t>CUST-1540</t>
  </si>
  <si>
    <t>Al Wasl Road 90</t>
  </si>
  <si>
    <t>CUST-1541</t>
  </si>
  <si>
    <t>+1 (215) 555-8901</t>
  </si>
  <si>
    <t>Market Street 700</t>
  </si>
  <si>
    <t>CUST-1542</t>
  </si>
  <si>
    <t>CUST-1543</t>
  </si>
  <si>
    <t>Calle de Serrano 1600</t>
  </si>
  <si>
    <t>CUST-1544</t>
  </si>
  <si>
    <t>Kanagawa 12-1-1</t>
  </si>
  <si>
    <t>CUST-1545</t>
  </si>
  <si>
    <t>Passeig de Gràcia 950</t>
  </si>
  <si>
    <t>CUST-1546</t>
  </si>
  <si>
    <t>Heliopolis 94</t>
  </si>
  <si>
    <t>CUST-1547</t>
  </si>
  <si>
    <t>Stortorget 100</t>
  </si>
  <si>
    <t>CUST-1548</t>
  </si>
  <si>
    <t>Shibuya 16-24-12</t>
  </si>
  <si>
    <t>CUST-1549</t>
  </si>
  <si>
    <t>Cantt 98</t>
  </si>
  <si>
    <t>CUST-1550</t>
  </si>
  <si>
    <t>+1 (602) 555-8901</t>
  </si>
  <si>
    <t>Camelback Road 800</t>
  </si>
  <si>
    <t>CUST-1551</t>
  </si>
  <si>
    <t>Unter den Linden 90</t>
  </si>
  <si>
    <t>CUST-1552</t>
  </si>
  <si>
    <t>Calle de Goya 1600</t>
  </si>
  <si>
    <t>CUST-1553</t>
  </si>
  <si>
    <t>Nishi-ku 12-1-1</t>
  </si>
  <si>
    <t>CUST-1554</t>
  </si>
  <si>
    <t>Diagonal 1700</t>
  </si>
  <si>
    <t>CUST-1555</t>
  </si>
  <si>
    <t>Mohandessin 93</t>
  </si>
  <si>
    <t>CUST-1556</t>
  </si>
  <si>
    <t>Kungsportsavenyn 110</t>
  </si>
  <si>
    <t>CUST-1557</t>
  </si>
  <si>
    <t>Chiyoda 16-1-1</t>
  </si>
  <si>
    <t>CUST-1558</t>
  </si>
  <si>
    <t>Clifton 99</t>
  </si>
  <si>
    <t>CUST-1559</t>
  </si>
  <si>
    <t>+1 (713) 555-8901</t>
  </si>
  <si>
    <t>Main Street 1300</t>
  </si>
  <si>
    <t>CUST-1560</t>
  </si>
  <si>
    <t>Alexanderplatz 110</t>
  </si>
  <si>
    <t>CUST-1561</t>
  </si>
  <si>
    <t>Calle de Serrano 1700</t>
  </si>
  <si>
    <t>CUST-1562</t>
  </si>
  <si>
    <t>Aoba-ku 11-1-1</t>
  </si>
  <si>
    <t>CUST-1563</t>
  </si>
  <si>
    <t>Passeig de Gràcia 1000</t>
  </si>
  <si>
    <t>CUST-1564</t>
  </si>
  <si>
    <t>Dokki 94</t>
  </si>
  <si>
    <t>CUST-1565</t>
  </si>
  <si>
    <t>Stortorget 105</t>
  </si>
  <si>
    <t>CUST-1566</t>
  </si>
  <si>
    <t>Shibuya 17-24-12</t>
  </si>
  <si>
    <t>CUST-1567</t>
  </si>
  <si>
    <t>Sheikh Zayed Road 91</t>
  </si>
  <si>
    <t>CUST-1568</t>
  </si>
  <si>
    <t>+1 (305) 555-9012</t>
  </si>
  <si>
    <t>Ocean Drive 1800</t>
  </si>
  <si>
    <t>CUST-1569</t>
  </si>
  <si>
    <t>Potsdamer Platz 60</t>
  </si>
  <si>
    <t>CUST-1570</t>
  </si>
  <si>
    <t>Calle de Goya 1700</t>
  </si>
  <si>
    <t>CUST-1571</t>
  </si>
  <si>
    <t>Kanagawa 13-1-1</t>
  </si>
  <si>
    <t>CUST-1572</t>
  </si>
  <si>
    <t>Diagonal 1800</t>
  </si>
  <si>
    <t>CUST-1573</t>
  </si>
  <si>
    <t>Sporting 93</t>
  </si>
  <si>
    <t>CUST-1574</t>
  </si>
  <si>
    <t>Kungsportsplatsen 10</t>
  </si>
  <si>
    <t>CUST-1575</t>
  </si>
  <si>
    <t>Chiyoda 17-1-1</t>
  </si>
  <si>
    <t>CUST-1576</t>
  </si>
  <si>
    <t>Cantt 99</t>
  </si>
  <si>
    <t>CUST-1577</t>
  </si>
  <si>
    <t>+1 (214) 555-9012</t>
  </si>
  <si>
    <t>CUST-1578</t>
  </si>
  <si>
    <t>Alexanderplatz 120</t>
  </si>
  <si>
    <t>CUST-1579</t>
  </si>
  <si>
    <t>Calle de Serrano 1800</t>
  </si>
  <si>
    <t>CUST-1580</t>
  </si>
  <si>
    <t>Nishi-ku 13-1-1</t>
  </si>
  <si>
    <t>CUST-1581</t>
  </si>
  <si>
    <t>Passeig de Gràcia 1050</t>
  </si>
  <si>
    <t>CUST-1582</t>
  </si>
  <si>
    <t>Heliopolis 95</t>
  </si>
  <si>
    <t>CUST-1583</t>
  </si>
  <si>
    <t>Stortorget 110</t>
  </si>
  <si>
    <t>CUST-1584</t>
  </si>
  <si>
    <t>Shibuya 18-24-12</t>
  </si>
  <si>
    <t>CUST-1585</t>
  </si>
  <si>
    <t>Clifton 100</t>
  </si>
  <si>
    <t>CUST-1586</t>
  </si>
  <si>
    <t>+1 (404) 555-9012</t>
  </si>
  <si>
    <t>Peachtree Street 700</t>
  </si>
  <si>
    <t>CUST-1587</t>
  </si>
  <si>
    <t>Kurfürstendamm 60</t>
  </si>
  <si>
    <t>CUST-1588</t>
  </si>
  <si>
    <t>Calle de Goya 1800</t>
  </si>
  <si>
    <t>CUST-1589</t>
  </si>
  <si>
    <t>Aoba-ku 12-1-1</t>
  </si>
  <si>
    <t>CUST-1590</t>
  </si>
  <si>
    <t>Diagonal 1900</t>
  </si>
  <si>
    <t>CUST-1591</t>
  </si>
  <si>
    <t>Mohandessin 94</t>
  </si>
  <si>
    <t>CUST-1592</t>
  </si>
  <si>
    <t>Kungsportsavenyn 120</t>
  </si>
  <si>
    <t>CUST-1593</t>
  </si>
  <si>
    <t>Chiyoda 18-1-1</t>
  </si>
  <si>
    <t>CUST-1594</t>
  </si>
  <si>
    <t>Al Wasl Road 91</t>
  </si>
  <si>
    <t>CUST-1595</t>
  </si>
  <si>
    <t>+1 (215) 555-9012</t>
  </si>
  <si>
    <t>Market Street 800</t>
  </si>
  <si>
    <t>CUST-1596</t>
  </si>
  <si>
    <t>Friedrichstraße 110</t>
  </si>
  <si>
    <t>CUST-1597</t>
  </si>
  <si>
    <t>Calle de Serrano 1900</t>
  </si>
  <si>
    <t>CUST-1598</t>
  </si>
  <si>
    <t>Kanagawa 14-1-1</t>
  </si>
  <si>
    <t>CUST-1599</t>
  </si>
  <si>
    <t>Passeig de Gràcia 1100</t>
  </si>
  <si>
    <t>CUST-1600</t>
  </si>
  <si>
    <t>Dokki 95</t>
  </si>
  <si>
    <t>CUST-1601</t>
  </si>
  <si>
    <t>Stortorget 115</t>
  </si>
  <si>
    <t>CUST-1602</t>
  </si>
  <si>
    <t>Shibuya 19-24-12</t>
  </si>
  <si>
    <t>CUST-1603</t>
  </si>
  <si>
    <t>Cantt 100</t>
  </si>
  <si>
    <t>CUST-1604</t>
  </si>
  <si>
    <t>+1 (713) 555-9012</t>
  </si>
  <si>
    <t>Main Street 1400</t>
  </si>
  <si>
    <t>CUST-1605</t>
  </si>
  <si>
    <t>Alexanderplatz 130</t>
  </si>
  <si>
    <t>CUST-1606</t>
  </si>
  <si>
    <t>Calle de Goya 1900</t>
  </si>
  <si>
    <t>CUST-1607</t>
  </si>
  <si>
    <t>Nishi-ku 14-1-1</t>
  </si>
  <si>
    <t>CUST-1608</t>
  </si>
  <si>
    <t>Diagonal 2000</t>
  </si>
  <si>
    <t>CUST-1609</t>
  </si>
  <si>
    <t>Sporting 94</t>
  </si>
  <si>
    <t>CUST-1610</t>
  </si>
  <si>
    <t>Kungsportsplatsen 11</t>
  </si>
  <si>
    <t>CUST-1611</t>
  </si>
  <si>
    <t>Chiyoda 19-1-1</t>
  </si>
  <si>
    <t>CUST-1612</t>
  </si>
  <si>
    <t>Clifton 101</t>
  </si>
  <si>
    <t>CUST-1613</t>
  </si>
  <si>
    <t>+1 (214) 555-0123</t>
  </si>
  <si>
    <t>CUST-1614</t>
  </si>
  <si>
    <t>Potsdamer Platz 70</t>
  </si>
  <si>
    <t>CUST-1615</t>
  </si>
  <si>
    <t>Calle de Serrano 2000</t>
  </si>
  <si>
    <t>CUST-1616</t>
  </si>
  <si>
    <t>Aoba-ku 13-1-1</t>
  </si>
  <si>
    <t>CUST-1617</t>
  </si>
  <si>
    <t>Passeig de Gràcia 1150</t>
  </si>
  <si>
    <t>CUST-1618</t>
  </si>
  <si>
    <t>Heliopolis 96</t>
  </si>
  <si>
    <t>CUST-1619</t>
  </si>
  <si>
    <t>Stortorget 120</t>
  </si>
  <si>
    <t>CUST-1620</t>
  </si>
  <si>
    <t>Shibuya 20-24-12</t>
  </si>
  <si>
    <t>CUST-1621</t>
  </si>
  <si>
    <t>Sheikh Zayed Road 92</t>
  </si>
  <si>
    <t>CUST-1622</t>
  </si>
  <si>
    <t>+1 (305) 555-0123</t>
  </si>
  <si>
    <t>Ocean Drive 1900</t>
  </si>
  <si>
    <t>CUST-1623</t>
  </si>
  <si>
    <t>Alexanderplatz 140</t>
  </si>
  <si>
    <t>CUST-1624</t>
  </si>
  <si>
    <t>Calle de Goya 2000</t>
  </si>
  <si>
    <t>CUST-1625</t>
  </si>
  <si>
    <t>Kanagawa 15-1-1</t>
  </si>
  <si>
    <t>CUST-1626</t>
  </si>
  <si>
    <t>Diagonal 2100</t>
  </si>
  <si>
    <t>CUST-1627</t>
  </si>
  <si>
    <t>Mohandessin 95</t>
  </si>
  <si>
    <t>CUST-1628</t>
  </si>
  <si>
    <t>Kungsportsavenyn 130</t>
  </si>
  <si>
    <t>CUST-1629</t>
  </si>
  <si>
    <t>Chiyoda 20-1-1</t>
  </si>
  <si>
    <t>CUST-1630</t>
  </si>
  <si>
    <t>Cantt 101</t>
  </si>
  <si>
    <t>CUST-1631</t>
  </si>
  <si>
    <t>+1 (404) 555-0123</t>
  </si>
  <si>
    <t>Peachtree Street 800</t>
  </si>
  <si>
    <t>CUST-1632</t>
  </si>
  <si>
    <t>Kurfürstendamm 70</t>
  </si>
  <si>
    <t>CUST-1633</t>
  </si>
  <si>
    <t>Calle de Serrano 2100</t>
  </si>
  <si>
    <t>CUST-1634</t>
  </si>
  <si>
    <t>Nishi-ku 15-1-1</t>
  </si>
  <si>
    <t>CUST-1635</t>
  </si>
  <si>
    <t>Passeig de Gràcia 1200</t>
  </si>
  <si>
    <t>CUST-1636</t>
  </si>
  <si>
    <t>Dokki 96</t>
  </si>
  <si>
    <t>CUST-1637</t>
  </si>
  <si>
    <t>Stortorget 125</t>
  </si>
  <si>
    <t>CUST-1638</t>
  </si>
  <si>
    <t>Shibuya 21-24-12</t>
  </si>
  <si>
    <t>CUST-1639</t>
  </si>
  <si>
    <t>Clifton 102</t>
  </si>
  <si>
    <t>CUST-1640</t>
  </si>
  <si>
    <t>+1 (713) 555-0123</t>
  </si>
  <si>
    <t>Main Street 1500</t>
  </si>
  <si>
    <t>CUST-1641</t>
  </si>
  <si>
    <t>Alexanderplatz 150</t>
  </si>
  <si>
    <t>CUST-1642</t>
  </si>
  <si>
    <t>Calle de Goya 2100</t>
  </si>
  <si>
    <t>CUST-1643</t>
  </si>
  <si>
    <t>Aoba-ku 14-1-1</t>
  </si>
  <si>
    <t>CUST-1644</t>
  </si>
  <si>
    <t>Diagonal 2200</t>
  </si>
  <si>
    <t>CUST-1645</t>
  </si>
  <si>
    <t>Sporting 95</t>
  </si>
  <si>
    <t>CUST-1646</t>
  </si>
  <si>
    <t>Kungsportsplatsen 12</t>
  </si>
  <si>
    <t>CUST-1647</t>
  </si>
  <si>
    <t>Chiyoda 21-1-1</t>
  </si>
  <si>
    <t>CUST-1648</t>
  </si>
  <si>
    <t>Al Wasl Road 92</t>
  </si>
  <si>
    <t>CUST-1649</t>
  </si>
  <si>
    <t>+1 (215) 555-0123</t>
  </si>
  <si>
    <t>Market Street 900</t>
  </si>
  <si>
    <t>CUST-1650</t>
  </si>
  <si>
    <t>Friedrichstraße 120</t>
  </si>
  <si>
    <t>CUST-1651</t>
  </si>
  <si>
    <t>Calle de Serrano 2200</t>
  </si>
  <si>
    <t>CUST-1652</t>
  </si>
  <si>
    <t>Kanagawa 16-1-1</t>
  </si>
  <si>
    <t>CUST-1653</t>
  </si>
  <si>
    <t>Passeig de Gràcia 1250</t>
  </si>
  <si>
    <t>CUST-1654</t>
  </si>
  <si>
    <t>Heliopolis 97</t>
  </si>
  <si>
    <t>CUST-1655</t>
  </si>
  <si>
    <t>Stortorget 130</t>
  </si>
  <si>
    <t>CUST-1656</t>
  </si>
  <si>
    <t>Shibuya 22-24-12</t>
  </si>
  <si>
    <t>CUST-1657</t>
  </si>
  <si>
    <t>Cantt 102</t>
  </si>
  <si>
    <t>CUST-1658</t>
  </si>
  <si>
    <t>CUST-1659</t>
  </si>
  <si>
    <t>Potsdamer Platz 80</t>
  </si>
  <si>
    <t>CUST-1660</t>
  </si>
  <si>
    <t>Calle de Goya 2200</t>
  </si>
  <si>
    <t>CUST-1661</t>
  </si>
  <si>
    <t>Nishi-ku 16-1-1</t>
  </si>
  <si>
    <t>CUST-1662</t>
  </si>
  <si>
    <t>Diagonal 2300</t>
  </si>
  <si>
    <t>CUST-1663</t>
  </si>
  <si>
    <t>Mohandessin 96</t>
  </si>
  <si>
    <t>CUST-1664</t>
  </si>
  <si>
    <t>Kungsportsavenyn 140</t>
  </si>
  <si>
    <t>CUST-1665</t>
  </si>
  <si>
    <t>Chiyoda 22-1-1</t>
  </si>
  <si>
    <t>CUST-1666</t>
  </si>
  <si>
    <t>Clifton 103</t>
  </si>
  <si>
    <t>CUST-1667</t>
  </si>
  <si>
    <t>+1 (404) 555-1234</t>
  </si>
  <si>
    <t>Peachtree Street 900</t>
  </si>
  <si>
    <t>CUST-1668</t>
  </si>
  <si>
    <t>Alexanderplatz 160</t>
  </si>
  <si>
    <t>CUST-1669</t>
  </si>
  <si>
    <t>Calle de Serrano 2300</t>
  </si>
  <si>
    <t>CUST-1670</t>
  </si>
  <si>
    <t>Aoba-ku 15-1-1</t>
  </si>
  <si>
    <t>CUST-1671</t>
  </si>
  <si>
    <t>Passeig de Gràcia 1300</t>
  </si>
  <si>
    <t>CUST-1672</t>
  </si>
  <si>
    <t>Dokki 97</t>
  </si>
  <si>
    <t>CUST-1673</t>
  </si>
  <si>
    <t>Stortorget 135</t>
  </si>
  <si>
    <t>CUST-1674</t>
  </si>
  <si>
    <t>Shibuya 23-24-12</t>
  </si>
  <si>
    <t>CUST-1675</t>
  </si>
  <si>
    <t>Sheikh Zayed Road 93</t>
  </si>
  <si>
    <t>CUST-1676</t>
  </si>
  <si>
    <t>Ocean Drive 2000</t>
  </si>
  <si>
    <t>CUST-1677</t>
  </si>
  <si>
    <t>Unter den Linden 100</t>
  </si>
  <si>
    <t>CUST-1678</t>
  </si>
  <si>
    <t>Calle de Goya 2300</t>
  </si>
  <si>
    <t>CUST-1679</t>
  </si>
  <si>
    <t>Kanagawa 17-1-1</t>
  </si>
  <si>
    <t>CUST-1680</t>
  </si>
  <si>
    <t>Diagonal 2400</t>
  </si>
  <si>
    <t>CUST-1681</t>
  </si>
  <si>
    <t>Sporting 96</t>
  </si>
  <si>
    <t>CUST-1682</t>
  </si>
  <si>
    <t>Kungsportsplatsen 13</t>
  </si>
  <si>
    <t>CUST-1683</t>
  </si>
  <si>
    <t>Chiyoda 23-1-1</t>
  </si>
  <si>
    <t>CUST-1684</t>
  </si>
  <si>
    <t>Cantt 103</t>
  </si>
  <si>
    <t>CUST-1685</t>
  </si>
  <si>
    <t>Main Street 1600</t>
  </si>
  <si>
    <t>CUST-1686</t>
  </si>
  <si>
    <t>Alexanderplatz 170</t>
  </si>
  <si>
    <t>CUST-1687</t>
  </si>
  <si>
    <t>Calle de Serrano 2400</t>
  </si>
  <si>
    <t>CUST-1688</t>
  </si>
  <si>
    <t>Nishi-ku 17-1-1</t>
  </si>
  <si>
    <t>CUST-1689</t>
  </si>
  <si>
    <t>Passeig de Gràcia 1350</t>
  </si>
  <si>
    <t>CUST-1690</t>
  </si>
  <si>
    <t>Heliopolis 98</t>
  </si>
  <si>
    <t>CUST-1691</t>
  </si>
  <si>
    <t>Stortorget 140</t>
  </si>
  <si>
    <t>CUST-1692</t>
  </si>
  <si>
    <t>Shibuya 24-24-12</t>
  </si>
  <si>
    <t>CUST-1693</t>
  </si>
  <si>
    <t>Clifton 104</t>
  </si>
  <si>
    <t>CUST-1694</t>
  </si>
  <si>
    <t>+1 (214) 555-2345</t>
  </si>
  <si>
    <t>CUST-1695</t>
  </si>
  <si>
    <t>Potsdamer Platz 90</t>
  </si>
  <si>
    <t>CUST-1696</t>
  </si>
  <si>
    <t>Calle de Goya 2400</t>
  </si>
  <si>
    <t>CUST-1697</t>
  </si>
  <si>
    <t>Aoba-ku 16-1-1</t>
  </si>
  <si>
    <t>CUST-1698</t>
  </si>
  <si>
    <t>Diagonal 2500</t>
  </si>
  <si>
    <t>CUST-1699</t>
  </si>
  <si>
    <t>Mohandessin 97</t>
  </si>
  <si>
    <t>CUST-1700</t>
  </si>
  <si>
    <t>Kungsportsavenyn 150</t>
  </si>
  <si>
    <t>CUST-1701</t>
  </si>
  <si>
    <t>Chiyoda 24-1-1</t>
  </si>
  <si>
    <t>CUST-1702</t>
  </si>
  <si>
    <t>Al Wasl Road 93</t>
  </si>
  <si>
    <t>CUST-1703</t>
  </si>
  <si>
    <t>+1 (215) 555-2345</t>
  </si>
  <si>
    <t>Market Street 1000</t>
  </si>
  <si>
    <t>CUST-1704</t>
  </si>
  <si>
    <t>Friedrichstraße 130</t>
  </si>
  <si>
    <t>CUST-1705</t>
  </si>
  <si>
    <t>Calle de Serrano 2500</t>
  </si>
  <si>
    <t>CUST-1706</t>
  </si>
  <si>
    <t>Kanagawa 18-1-1</t>
  </si>
  <si>
    <t>CUST-1707</t>
  </si>
  <si>
    <t>Passeig de Gràcia 1400</t>
  </si>
  <si>
    <t>CUST-1708</t>
  </si>
  <si>
    <t>Dokki 98</t>
  </si>
  <si>
    <t>CUST-1709</t>
  </si>
  <si>
    <t>Stortorget 145</t>
  </si>
  <si>
    <t>CUST-1710</t>
  </si>
  <si>
    <t>Shibuya 25-24-12</t>
  </si>
  <si>
    <t>CUST-1711</t>
  </si>
  <si>
    <t>Cantt 104</t>
  </si>
  <si>
    <t>CUST-1712</t>
  </si>
  <si>
    <t>+1 (404) 555-2345</t>
  </si>
  <si>
    <t>Peachtree Street 1000</t>
  </si>
  <si>
    <t>CUST-1713</t>
  </si>
  <si>
    <t>Alexanderplatz 180</t>
  </si>
  <si>
    <t>CUST-1714</t>
  </si>
  <si>
    <t>Calle de Goya 2500</t>
  </si>
  <si>
    <t>CUST-1715</t>
  </si>
  <si>
    <t>Nishi-ku 18-1-1</t>
  </si>
  <si>
    <t>CUST-1716</t>
  </si>
  <si>
    <t>Diagonal 2600</t>
  </si>
  <si>
    <t>CUST-1717</t>
  </si>
  <si>
    <t>Sporting 97</t>
  </si>
  <si>
    <t>CUST-1718</t>
  </si>
  <si>
    <t>Kungsportsplatsen 14</t>
  </si>
  <si>
    <t>CUST-1719</t>
  </si>
  <si>
    <t>Chiyoda 25-1-1</t>
  </si>
  <si>
    <t>CUST-1720</t>
  </si>
  <si>
    <t>Clifton 105</t>
  </si>
  <si>
    <t>CUST-1721</t>
  </si>
  <si>
    <t>+1 (713) 555-2345</t>
  </si>
  <si>
    <t>Main Street 1700</t>
  </si>
  <si>
    <t>CUST-1722</t>
  </si>
  <si>
    <t>Potsdamer Platz 100</t>
  </si>
  <si>
    <t>CUST-1723</t>
  </si>
  <si>
    <t>Calle de Serrano 2600</t>
  </si>
  <si>
    <t>CUST-1724</t>
  </si>
  <si>
    <t>Aoba-ku 17-1-1</t>
  </si>
  <si>
    <t>CUST-1725</t>
  </si>
  <si>
    <t>Passeig de Gràcia 1450</t>
  </si>
  <si>
    <t>CUST-1726</t>
  </si>
  <si>
    <t>Heliopolis 99</t>
  </si>
  <si>
    <t>CUST-1727</t>
  </si>
  <si>
    <t>Stortorget 150</t>
  </si>
  <si>
    <t>CUST-1728</t>
  </si>
  <si>
    <t>Shibuya 26-24-12</t>
  </si>
  <si>
    <t>CUST-1729</t>
  </si>
  <si>
    <t>Sheikh Zayed Road 94</t>
  </si>
  <si>
    <t>CUST-1730</t>
  </si>
  <si>
    <t>+1 (305) 555-2345</t>
  </si>
  <si>
    <t>Ocean Drive 2100</t>
  </si>
  <si>
    <t>CUST-1731</t>
  </si>
  <si>
    <t>Alexanderplatz 190</t>
  </si>
  <si>
    <t>CUST-1732</t>
  </si>
  <si>
    <t>Calle de Goya 2600</t>
  </si>
  <si>
    <t>CUST-1733</t>
  </si>
  <si>
    <t>Kanagawa 19-1-1</t>
  </si>
  <si>
    <t>CUST-1734</t>
  </si>
  <si>
    <t>Diagonal 2700</t>
  </si>
  <si>
    <t>CUST-1735</t>
  </si>
  <si>
    <t>Mohandessin 98</t>
  </si>
  <si>
    <t>CUST-1736</t>
  </si>
  <si>
    <t>Kungsportsavenyn 160</t>
  </si>
  <si>
    <t>CUST-1737</t>
  </si>
  <si>
    <t>Chiyoda 26-1-1</t>
  </si>
  <si>
    <t>CUST-1738</t>
  </si>
  <si>
    <t>Cantt 105</t>
  </si>
  <si>
    <t>CUST-1739</t>
  </si>
  <si>
    <t>+1 (214) 555-3456</t>
  </si>
  <si>
    <t>CUST-1740</t>
  </si>
  <si>
    <t>Kurfürstendamm 80</t>
  </si>
  <si>
    <t>CUST-1741</t>
  </si>
  <si>
    <t>Calle de Serrano 2700</t>
  </si>
  <si>
    <t>CUST-1742</t>
  </si>
  <si>
    <t>Nishi-ku 19-1-1</t>
  </si>
  <si>
    <t>CUST-1743</t>
  </si>
  <si>
    <t>Passeig de Gràcia 1500</t>
  </si>
  <si>
    <t>CUST-1744</t>
  </si>
  <si>
    <t>Dokki 99</t>
  </si>
  <si>
    <t>CUST-1745</t>
  </si>
  <si>
    <t>Stortorget 155</t>
  </si>
  <si>
    <t>CUST-1746</t>
  </si>
  <si>
    <t>Shibuya 27-24-12</t>
  </si>
  <si>
    <t>CUST-1747</t>
  </si>
  <si>
    <t>Clifton 106</t>
  </si>
  <si>
    <t>CUST-1748</t>
  </si>
  <si>
    <t>+1 (404) 555-3456</t>
  </si>
  <si>
    <t>Peachtree Street 1100</t>
  </si>
  <si>
    <t>CUST-1749</t>
  </si>
  <si>
    <t>Alexanderplatz 200</t>
  </si>
  <si>
    <t>CUST-1750</t>
  </si>
  <si>
    <t>Calle de Goya 2700</t>
  </si>
  <si>
    <t>CUST-1751</t>
  </si>
  <si>
    <t>Aoba-ku 18-1-1</t>
  </si>
  <si>
    <t>CUST-1752</t>
  </si>
  <si>
    <t>Diagonal 2800</t>
  </si>
  <si>
    <t>CUST-1753</t>
  </si>
  <si>
    <t>Sporting 98</t>
  </si>
  <si>
    <t>CUST-1754</t>
  </si>
  <si>
    <t>Kungsportsplatsen 15</t>
  </si>
  <si>
    <t>CUST-1755</t>
  </si>
  <si>
    <t>Chiyoda 27-1-1</t>
  </si>
  <si>
    <t>CUST-1756</t>
  </si>
  <si>
    <t>Al Wasl Road 94</t>
  </si>
  <si>
    <t>CUST-1757</t>
  </si>
  <si>
    <t>+1 (215) 555-3456</t>
  </si>
  <si>
    <t>Market Street 1100</t>
  </si>
  <si>
    <t>CUST-1758</t>
  </si>
  <si>
    <t>Friedrichstraße 140</t>
  </si>
  <si>
    <t>CUST-1759</t>
  </si>
  <si>
    <t>Calle de Serrano 2800</t>
  </si>
  <si>
    <t>CUST-1760</t>
  </si>
  <si>
    <t>Kanagawa 20-1-1</t>
  </si>
  <si>
    <t>CUST-1761</t>
  </si>
  <si>
    <t>Passeig de Gràcia 1550</t>
  </si>
  <si>
    <t>CUST-1762</t>
  </si>
  <si>
    <t>Heliopolis 100</t>
  </si>
  <si>
    <t>CUST-1763</t>
  </si>
  <si>
    <t>Stortorget 160</t>
  </si>
  <si>
    <t>CUST-1764</t>
  </si>
  <si>
    <t>Shibuya 28-24-12</t>
  </si>
  <si>
    <t>CUST-1765</t>
  </si>
  <si>
    <t>Cantt 106</t>
  </si>
  <si>
    <t>CUST-1766</t>
  </si>
  <si>
    <t>Main Street 1800</t>
  </si>
  <si>
    <t>CUST-1767</t>
  </si>
  <si>
    <t>Unter den Linden 110</t>
  </si>
  <si>
    <t>CUST-1768</t>
  </si>
  <si>
    <t>Calle de Goya 2800</t>
  </si>
  <si>
    <t>CUST-1769</t>
  </si>
  <si>
    <t>Nishi-ku 20-1-1</t>
  </si>
  <si>
    <t>CUST-1770</t>
  </si>
  <si>
    <t>Diagonal 2900</t>
  </si>
  <si>
    <t>CUST-1771</t>
  </si>
  <si>
    <t>Mohandessin 99</t>
  </si>
  <si>
    <t>CUST-1772</t>
  </si>
  <si>
    <t>Kungsportsavenyn 170</t>
  </si>
  <si>
    <t>CUST-1773</t>
  </si>
  <si>
    <t>Chiyoda 28-1-1</t>
  </si>
  <si>
    <t>CUST-1774</t>
  </si>
  <si>
    <t>Clifton 107</t>
  </si>
  <si>
    <t>CUST-1775</t>
  </si>
  <si>
    <t>CUST-1776</t>
  </si>
  <si>
    <t>Alexanderplatz 210</t>
  </si>
  <si>
    <t>CUST-1777</t>
  </si>
  <si>
    <t>Calle de Serrano 2900</t>
  </si>
  <si>
    <t>CUST-1778</t>
  </si>
  <si>
    <t>Aoba-ku 19-1-1</t>
  </si>
  <si>
    <t>CUST-1779</t>
  </si>
  <si>
    <t>Passeig de Gràcia 1600</t>
  </si>
  <si>
    <t>CUST-1780</t>
  </si>
  <si>
    <t>Dokki 100</t>
  </si>
  <si>
    <t>CUST-1781</t>
  </si>
  <si>
    <t>Stortorget 165</t>
  </si>
  <si>
    <t>CUST-1782</t>
  </si>
  <si>
    <t>Shibuya 29-24-12</t>
  </si>
  <si>
    <t>CUST-1783</t>
  </si>
  <si>
    <t>Sheikh Zayed Road 95</t>
  </si>
  <si>
    <t>CUST-1784</t>
  </si>
  <si>
    <t>Ocean Drive 2200</t>
  </si>
  <si>
    <t>CUST-1785</t>
  </si>
  <si>
    <t>Potsdamer Platz 110</t>
  </si>
  <si>
    <t>CUST-1786</t>
  </si>
  <si>
    <t>Calle de Goya 2900</t>
  </si>
  <si>
    <t>CUST-1787</t>
  </si>
  <si>
    <t>Kanagawa 21-1-1</t>
  </si>
  <si>
    <t>CUST-1788</t>
  </si>
  <si>
    <t>Diagonal 3000</t>
  </si>
  <si>
    <t>CUST-1789</t>
  </si>
  <si>
    <t>Sporting 99</t>
  </si>
  <si>
    <t>CUST-1790</t>
  </si>
  <si>
    <t>Kungsportsplatsen 16</t>
  </si>
  <si>
    <t>CUST-1791</t>
  </si>
  <si>
    <t>Chiyoda 29-1-1</t>
  </si>
  <si>
    <t>CUST-1792</t>
  </si>
  <si>
    <t>Cantt 107</t>
  </si>
  <si>
    <t>CUST-1793</t>
  </si>
  <si>
    <t>Peachtree Street 1200</t>
  </si>
  <si>
    <t>CUST-1794</t>
  </si>
  <si>
    <t>Alexanderplatz 220</t>
  </si>
  <si>
    <t>CUST-1795</t>
  </si>
  <si>
    <t>Calle de Serrano 3000</t>
  </si>
  <si>
    <t>CUST-1796</t>
  </si>
  <si>
    <t>Nishi-ku 21-1-1</t>
  </si>
  <si>
    <t>CUST-1797</t>
  </si>
  <si>
    <t>Passeig de Gràcia 1650</t>
  </si>
  <si>
    <t>CUST-1798</t>
  </si>
  <si>
    <t>Heliopolis 101</t>
  </si>
  <si>
    <t>CUST-1799</t>
  </si>
  <si>
    <t>Stortorget 170</t>
  </si>
  <si>
    <t>CUST-1800</t>
  </si>
  <si>
    <t>Shibuya 30-24-12</t>
  </si>
  <si>
    <t>CUST-1801</t>
  </si>
  <si>
    <t>Clifton 108</t>
  </si>
  <si>
    <t>CUST-1802</t>
  </si>
  <si>
    <t>Main Street 1900</t>
  </si>
  <si>
    <t>CUST-1803</t>
  </si>
  <si>
    <t>Potsdamer Platz 120</t>
  </si>
  <si>
    <t>CUST-1804</t>
  </si>
  <si>
    <t>Calle de Goya 3000</t>
  </si>
  <si>
    <t>CUST-1805</t>
  </si>
  <si>
    <t>Aoba-ku 20-1-1</t>
  </si>
  <si>
    <t>CUST-1806</t>
  </si>
  <si>
    <t>Diagonal 3100</t>
  </si>
  <si>
    <t>CUST-1807</t>
  </si>
  <si>
    <t>Mohandessin 100</t>
  </si>
  <si>
    <t>CUST-1808</t>
  </si>
  <si>
    <t>Kungsportsavenyn 180</t>
  </si>
  <si>
    <t>CUST-1809</t>
  </si>
  <si>
    <t>Chiyoda 30-1-1</t>
  </si>
  <si>
    <t>CUST-1810</t>
  </si>
  <si>
    <t>Al Wasl Road 95</t>
  </si>
  <si>
    <t>CUST-1811</t>
  </si>
  <si>
    <t>Market Street 1200</t>
  </si>
  <si>
    <t>CUST-1812</t>
  </si>
  <si>
    <t>Friedrichstraße 150</t>
  </si>
  <si>
    <t>CUST-1813</t>
  </si>
  <si>
    <t>Calle de Serrano 3100</t>
  </si>
  <si>
    <t>CUST-1814</t>
  </si>
  <si>
    <t>Kanagawa 22-1-1</t>
  </si>
  <si>
    <t>CUST-1815</t>
  </si>
  <si>
    <t>Passeig de Gràcia 1700</t>
  </si>
  <si>
    <t>CUST-1816</t>
  </si>
  <si>
    <t>Dokki 101</t>
  </si>
  <si>
    <t>CUST-1817</t>
  </si>
  <si>
    <t>Stortorget 175</t>
  </si>
  <si>
    <t>CUST-1818</t>
  </si>
  <si>
    <t>Shibuya 31-24-12</t>
  </si>
  <si>
    <t>CUST-1819</t>
  </si>
  <si>
    <t>Cantt 108</t>
  </si>
  <si>
    <t>CUST-1820</t>
  </si>
  <si>
    <t>CUST-1821</t>
  </si>
  <si>
    <t>Alexanderplatz 230</t>
  </si>
  <si>
    <t>CUST-1822</t>
  </si>
  <si>
    <t>Calle de Goya 3100</t>
  </si>
  <si>
    <t>CUST-1823</t>
  </si>
  <si>
    <t>Nishi-ku 22-1-1</t>
  </si>
  <si>
    <t>CUST-1824</t>
  </si>
  <si>
    <t>Diagonal 3200</t>
  </si>
  <si>
    <t>CUST-1825</t>
  </si>
  <si>
    <t>Sporting 100</t>
  </si>
  <si>
    <t>CUST-1826</t>
  </si>
  <si>
    <t>Kungsportsplatsen 17</t>
  </si>
  <si>
    <t>CUST-1827</t>
  </si>
  <si>
    <t>Chiyoda 31-1-1</t>
  </si>
  <si>
    <t>CUST-1828</t>
  </si>
  <si>
    <t>Clifton 109</t>
  </si>
  <si>
    <t>CUST-1829</t>
  </si>
  <si>
    <t>Peachtree Street 1300</t>
  </si>
  <si>
    <t>CUST-1830</t>
  </si>
  <si>
    <t>Potsdamer Platz 130</t>
  </si>
  <si>
    <t>CUST-1831</t>
  </si>
  <si>
    <t>Calle de Serrano 3200</t>
  </si>
  <si>
    <t>CUST-1832</t>
  </si>
  <si>
    <t>Aoba-ku 21-1-1</t>
  </si>
  <si>
    <t>CUST-1833</t>
  </si>
  <si>
    <t>Passeig de Gràcia 1750</t>
  </si>
  <si>
    <t>CUST-1834</t>
  </si>
  <si>
    <t>Heliopolis 102</t>
  </si>
  <si>
    <t>CUST-1835</t>
  </si>
  <si>
    <t>Stortorget 180</t>
  </si>
  <si>
    <t>CUST-1836</t>
  </si>
  <si>
    <t>Shibuya 32-24-12</t>
  </si>
  <si>
    <t>CUST-1837</t>
  </si>
  <si>
    <t>Sheikh Zayed Road 96</t>
  </si>
  <si>
    <t>CUST-1838</t>
  </si>
  <si>
    <t>Ocean Drive 2300</t>
  </si>
  <si>
    <t>CUST-1839</t>
  </si>
  <si>
    <t>Alexanderplatz 240</t>
  </si>
  <si>
    <t>CUST-1840</t>
  </si>
  <si>
    <t>Calle de Goya 3200</t>
  </si>
  <si>
    <t>CUST-1841</t>
  </si>
  <si>
    <t>Kanagawa 23-1-1</t>
  </si>
  <si>
    <t>CUST-1842</t>
  </si>
  <si>
    <t>Diagonal 3300</t>
  </si>
  <si>
    <t>CUST-1843</t>
  </si>
  <si>
    <t>Mohandessin 101</t>
  </si>
  <si>
    <t>CUST-1844</t>
  </si>
  <si>
    <t>Kungsportsavenyn 190</t>
  </si>
  <si>
    <t>CUST-1845</t>
  </si>
  <si>
    <t>Chiyoda 32-1-1</t>
  </si>
  <si>
    <t>CUST-1846</t>
  </si>
  <si>
    <t>Cantt 109</t>
  </si>
  <si>
    <t>CUST-1847</t>
  </si>
  <si>
    <t>Main Street 2000</t>
  </si>
  <si>
    <t>CUST-1848</t>
  </si>
  <si>
    <t>Kurfürstendamm 90</t>
  </si>
  <si>
    <t>CUST-1849</t>
  </si>
  <si>
    <t>Calle de Serrano 3300</t>
  </si>
  <si>
    <t>CUST-1850</t>
  </si>
  <si>
    <t>Nishi-ku 23-1-1</t>
  </si>
  <si>
    <t>CUST-1851</t>
  </si>
  <si>
    <t>Passeig de Gràcia 1800</t>
  </si>
  <si>
    <t>CUST-1852</t>
  </si>
  <si>
    <t>Dokki 102</t>
  </si>
  <si>
    <t>CUST-1853</t>
  </si>
  <si>
    <t>Stortorget 185</t>
  </si>
  <si>
    <t>CUST-1854</t>
  </si>
  <si>
    <t>Shibuya 33-24-12</t>
  </si>
  <si>
    <t>CUST-1855</t>
  </si>
  <si>
    <t>Clifton 110</t>
  </si>
  <si>
    <t>CUST-1856</t>
  </si>
  <si>
    <t>CUST-1857</t>
  </si>
  <si>
    <t>Alexanderplatz 250</t>
  </si>
  <si>
    <t>CUST-1858</t>
  </si>
  <si>
    <t>Calle de Goya 3300</t>
  </si>
  <si>
    <t>CUST-1859</t>
  </si>
  <si>
    <t>Aoba-ku 22-1-1</t>
  </si>
  <si>
    <t>CUST-1860</t>
  </si>
  <si>
    <t>Diagonal 3400</t>
  </si>
  <si>
    <t>CUST-1861</t>
  </si>
  <si>
    <t>Sporting 101</t>
  </si>
  <si>
    <t>CUST-1862</t>
  </si>
  <si>
    <t>Kungsportsplatsen 18</t>
  </si>
  <si>
    <t>CUST-1863</t>
  </si>
  <si>
    <t>Chiyoda 33-1-1</t>
  </si>
  <si>
    <t>CUST-1864</t>
  </si>
  <si>
    <t>Al Wasl Road 96</t>
  </si>
  <si>
    <t>CUST-1865</t>
  </si>
  <si>
    <t>Market Street 1300</t>
  </si>
  <si>
    <t>CUST-1866</t>
  </si>
  <si>
    <t>Friedrichstraße 160</t>
  </si>
  <si>
    <t>CUST-1867</t>
  </si>
  <si>
    <t>Calle de Serrano 3400</t>
  </si>
  <si>
    <t>CUST-1868</t>
  </si>
  <si>
    <t>Kanagawa 24-1-1</t>
  </si>
  <si>
    <t>CUST-1869</t>
  </si>
  <si>
    <t>Passeig de Gràcia 1850</t>
  </si>
  <si>
    <t>CUST-1870</t>
  </si>
  <si>
    <t>Heliopolis 103</t>
  </si>
  <si>
    <t>CUST-1871</t>
  </si>
  <si>
    <t>Stortorget 190</t>
  </si>
  <si>
    <t>CUST-1872</t>
  </si>
  <si>
    <t>Shibuya 34-24-12</t>
  </si>
  <si>
    <t>CUST-1873</t>
  </si>
  <si>
    <t>Cantt 110</t>
  </si>
  <si>
    <t>CUST-1874</t>
  </si>
  <si>
    <t>Peachtree Street 1400</t>
  </si>
  <si>
    <t>CUST-1875</t>
  </si>
  <si>
    <t>Unter den Linden 120</t>
  </si>
  <si>
    <t>CUST-1876</t>
  </si>
  <si>
    <t>Calle de Goya 3400</t>
  </si>
  <si>
    <t>CUST-1877</t>
  </si>
  <si>
    <t>Nishi-ku 24-1-1</t>
  </si>
  <si>
    <t>CUST-1878</t>
  </si>
  <si>
    <t>Diagonal 3500</t>
  </si>
  <si>
    <t>CUST-1879</t>
  </si>
  <si>
    <t>Mohandessin 102</t>
  </si>
  <si>
    <t>CUST-1880</t>
  </si>
  <si>
    <t>Kungsportsavenyn 200</t>
  </si>
  <si>
    <t>CUST-1881</t>
  </si>
  <si>
    <t>Chiyoda 34-1-1</t>
  </si>
  <si>
    <t>CUST-1882</t>
  </si>
  <si>
    <t>Clifton 111</t>
  </si>
  <si>
    <t>CUST-1883</t>
  </si>
  <si>
    <t>Main Street 2100</t>
  </si>
  <si>
    <t>CUST-1884</t>
  </si>
  <si>
    <t>Alexanderplatz 260</t>
  </si>
  <si>
    <t>CUST-1885</t>
  </si>
  <si>
    <t>Calle de Serrano 3500</t>
  </si>
  <si>
    <t>CUST-1886</t>
  </si>
  <si>
    <t>Aoba-ku 23-1-1</t>
  </si>
  <si>
    <t>CUST-1887</t>
  </si>
  <si>
    <t>Passeig de Gràcia 1900</t>
  </si>
  <si>
    <t>CUST-1888</t>
  </si>
  <si>
    <t>Dokki 103</t>
  </si>
  <si>
    <t>CUST-1889</t>
  </si>
  <si>
    <t>Stortorget 195</t>
  </si>
  <si>
    <t>CUST-1890</t>
  </si>
  <si>
    <t>Shibuya 35-24-12</t>
  </si>
  <si>
    <t>CUST-1891</t>
  </si>
  <si>
    <t>Sheikh Zayed Road 97</t>
  </si>
  <si>
    <t>CUST-1892</t>
  </si>
  <si>
    <t>Ocean Drive 2400</t>
  </si>
  <si>
    <t>CUST-1893</t>
  </si>
  <si>
    <t>Potsdamer Platz 140</t>
  </si>
  <si>
    <t>CUST-1894</t>
  </si>
  <si>
    <t>Calle de Goya 3500</t>
  </si>
  <si>
    <t>CUST-1895</t>
  </si>
  <si>
    <t>Kanagawa 25-1-1</t>
  </si>
  <si>
    <t>CUST-1896</t>
  </si>
  <si>
    <t>Diagonal 3600</t>
  </si>
  <si>
    <t>CUST-1897</t>
  </si>
  <si>
    <t>Sporting 102</t>
  </si>
  <si>
    <t>CUST-1898</t>
  </si>
  <si>
    <t>Kungsportsplatsen 19</t>
  </si>
  <si>
    <t>CUST-1899</t>
  </si>
  <si>
    <t>Chiyoda 35-1-1</t>
  </si>
  <si>
    <t>CUST-1900</t>
  </si>
  <si>
    <t>Cantt 111</t>
  </si>
  <si>
    <t>CUST-1901</t>
  </si>
  <si>
    <t>CUST-1902</t>
  </si>
  <si>
    <t>Alexanderplatz 270</t>
  </si>
  <si>
    <t>CUST-1903</t>
  </si>
  <si>
    <t>Calle de Serrano 3600</t>
  </si>
  <si>
    <t>CUST-1904</t>
  </si>
  <si>
    <t>Nishi-ku 25-1-1</t>
  </si>
  <si>
    <t>CUST-1905</t>
  </si>
  <si>
    <t>Passeig de Gràcia 1950</t>
  </si>
  <si>
    <t>CUST-1906</t>
  </si>
  <si>
    <t>Heliopolis 104</t>
  </si>
  <si>
    <t>CUST-1907</t>
  </si>
  <si>
    <t>Stortorget 200</t>
  </si>
  <si>
    <t>CUST-1908</t>
  </si>
  <si>
    <t>Shibuya 36-24-12</t>
  </si>
  <si>
    <t>CUST-1909</t>
  </si>
  <si>
    <t>Clifton 112</t>
  </si>
  <si>
    <t>CUST-1910</t>
  </si>
  <si>
    <t>Peachtree Street 1500</t>
  </si>
  <si>
    <t>CUST-1911</t>
  </si>
  <si>
    <t>Potsdamer Platz 150</t>
  </si>
  <si>
    <t>CUST-1912</t>
  </si>
  <si>
    <t>Calle de Goya 3600</t>
  </si>
  <si>
    <t>CUST-1913</t>
  </si>
  <si>
    <t>Aoba-ku 24-1-1</t>
  </si>
  <si>
    <t>CUST-1914</t>
  </si>
  <si>
    <t>Diagonal 3700</t>
  </si>
  <si>
    <t>CUST-1915</t>
  </si>
  <si>
    <t>Mohandessin 103</t>
  </si>
  <si>
    <t>CUST-1916</t>
  </si>
  <si>
    <t>Kungsportsavenyn 210</t>
  </si>
  <si>
    <t>CUST-1917</t>
  </si>
  <si>
    <t>Chiyoda 36-1-1</t>
  </si>
  <si>
    <t>CUST-1918</t>
  </si>
  <si>
    <t>Al Wasl Road 97</t>
  </si>
  <si>
    <t>CUST-1919</t>
  </si>
  <si>
    <t>Market Street 1400</t>
  </si>
  <si>
    <t>CUST-1920</t>
  </si>
  <si>
    <t>Friedrichstraße 170</t>
  </si>
  <si>
    <t>CUST-1921</t>
  </si>
  <si>
    <t>Calle de Serrano 3700</t>
  </si>
  <si>
    <t>CUST-1922</t>
  </si>
  <si>
    <t>Kanagawa 26-1-1</t>
  </si>
  <si>
    <t>CUST-1923</t>
  </si>
  <si>
    <t>Passeig de Gràcia 2000</t>
  </si>
  <si>
    <t>CUST-1924</t>
  </si>
  <si>
    <t>Dokki 104</t>
  </si>
  <si>
    <t>CUST-1925</t>
  </si>
  <si>
    <t>Stortorget 205</t>
  </si>
  <si>
    <t>CUST-1926</t>
  </si>
  <si>
    <t>Shibuya 37-24-12</t>
  </si>
  <si>
    <t>CUST-1927</t>
  </si>
  <si>
    <t>Cantt 112</t>
  </si>
  <si>
    <t>CUST-1928</t>
  </si>
  <si>
    <t>Main Street 2200</t>
  </si>
  <si>
    <t>CUST-1929</t>
  </si>
  <si>
    <t>Alexanderplatz 280</t>
  </si>
  <si>
    <t>CUST-1930</t>
  </si>
  <si>
    <t>Calle de Goya 3700</t>
  </si>
  <si>
    <t>CUST-1931</t>
  </si>
  <si>
    <t>Nishi-ku 26-1-1</t>
  </si>
  <si>
    <t>CUST-1932</t>
  </si>
  <si>
    <t>Diagonal 3800</t>
  </si>
  <si>
    <t>CUST-1933</t>
  </si>
  <si>
    <t>Sporting 103</t>
  </si>
  <si>
    <t>CUST-1934</t>
  </si>
  <si>
    <t>Kungsportsplatsen 20</t>
  </si>
  <si>
    <t>CUST-1935</t>
  </si>
  <si>
    <t>Chiyoda 37-1-1</t>
  </si>
  <si>
    <t>CUST-1936</t>
  </si>
  <si>
    <t>Clifton 113</t>
  </si>
  <si>
    <t>CUST-1937</t>
  </si>
  <si>
    <t>CUST-1938</t>
  </si>
  <si>
    <t>Kurfürstendamm 100</t>
  </si>
  <si>
    <t>CUST-1939</t>
  </si>
  <si>
    <t>Calle de Serrano 3800</t>
  </si>
  <si>
    <t>CUST-1940</t>
  </si>
  <si>
    <t>Aoba-ku 25-1-1</t>
  </si>
  <si>
    <t>CUST-1941</t>
  </si>
  <si>
    <t>Passeig de Gràcia 2050</t>
  </si>
  <si>
    <t>CUST-1942</t>
  </si>
  <si>
    <t>Heliopolis 105</t>
  </si>
  <si>
    <t>CUST-1943</t>
  </si>
  <si>
    <t>Stortorget 210</t>
  </si>
  <si>
    <t>CUST-1944</t>
  </si>
  <si>
    <t>Shibuya 38-24-12</t>
  </si>
  <si>
    <t>CUST-1945</t>
  </si>
  <si>
    <t>Sheikh Zayed Road 98</t>
  </si>
  <si>
    <t>CUST-1946</t>
  </si>
  <si>
    <t>Ocean Drive 2500</t>
  </si>
  <si>
    <t>CUST-1947</t>
  </si>
  <si>
    <t>Alexanderplatz 290</t>
  </si>
  <si>
    <t>CUST-1948</t>
  </si>
  <si>
    <t>Calle de Goya 3800</t>
  </si>
  <si>
    <t>CUST-1949</t>
  </si>
  <si>
    <t>Kanagawa 27-1-1</t>
  </si>
  <si>
    <t>CUST-1950</t>
  </si>
  <si>
    <t>Diagonal 3900</t>
  </si>
  <si>
    <t>CUST-1951</t>
  </si>
  <si>
    <t>Mohandessin 104</t>
  </si>
  <si>
    <t>CUST-1952</t>
  </si>
  <si>
    <t>Kungsportsavenyn 220</t>
  </si>
  <si>
    <t>CUST-1953</t>
  </si>
  <si>
    <t>Chiyoda 38-1-1</t>
  </si>
  <si>
    <t>CUST-1954</t>
  </si>
  <si>
    <t>Cantt 113</t>
  </si>
  <si>
    <t>CUST-1955</t>
  </si>
  <si>
    <t>Peachtree Street 1600</t>
  </si>
  <si>
    <t>CUST-1956</t>
  </si>
  <si>
    <t>Unter den Linden 130</t>
  </si>
  <si>
    <t>CUST-1957</t>
  </si>
  <si>
    <t>Calle de Serrano 3900</t>
  </si>
  <si>
    <t>CUST-1958</t>
  </si>
  <si>
    <t>Nishi-ku 27-1-1</t>
  </si>
  <si>
    <t>CUST-1959</t>
  </si>
  <si>
    <t>Passeig de Gràcia 2100</t>
  </si>
  <si>
    <t>CUST-1960</t>
  </si>
  <si>
    <t>Dokki 105</t>
  </si>
  <si>
    <t>CUST-1961</t>
  </si>
  <si>
    <t>Stortorget 215</t>
  </si>
  <si>
    <t>CUST-1962</t>
  </si>
  <si>
    <t>Shibuya 39-24-12</t>
  </si>
  <si>
    <t>CUST-1963</t>
  </si>
  <si>
    <t>Clifton 114</t>
  </si>
  <si>
    <t>CUST-1964</t>
  </si>
  <si>
    <t>Main Street 2300</t>
  </si>
  <si>
    <t>CUST-1965</t>
  </si>
  <si>
    <t>Alexanderplatz 300</t>
  </si>
  <si>
    <t>CUST-1966</t>
  </si>
  <si>
    <t>Calle de Goya 3900</t>
  </si>
  <si>
    <t>CUST-1967</t>
  </si>
  <si>
    <t>Aoba-ku 26-1-1</t>
  </si>
  <si>
    <t>CUST-1968</t>
  </si>
  <si>
    <t>Diagonal 4000</t>
  </si>
  <si>
    <t>CUST-1969</t>
  </si>
  <si>
    <t>Sporting 104</t>
  </si>
  <si>
    <t>CUST-1970</t>
  </si>
  <si>
    <t>Kungsportsplatsen 21</t>
  </si>
  <si>
    <t>CUST-1971</t>
  </si>
  <si>
    <t>Chiyoda 39-1-1</t>
  </si>
  <si>
    <t>CUST-1972</t>
  </si>
  <si>
    <t>Al Wasl Road 98</t>
  </si>
  <si>
    <t>CUST-1973</t>
  </si>
  <si>
    <t>Market Street 1500</t>
  </si>
  <si>
    <t>CUST-1974</t>
  </si>
  <si>
    <t>Friedrichstraße 180</t>
  </si>
  <si>
    <t>CUST-1975</t>
  </si>
  <si>
    <t>Calle de Serrano 4000</t>
  </si>
  <si>
    <t>CUST-1976</t>
  </si>
  <si>
    <t>Kanagawa 28-1-1</t>
  </si>
  <si>
    <t>CUST-1977</t>
  </si>
  <si>
    <t>Passeig de Gràcia 2150</t>
  </si>
  <si>
    <t>CUST-1978</t>
  </si>
  <si>
    <t>Heliopolis 106</t>
  </si>
  <si>
    <t>CUST-1979</t>
  </si>
  <si>
    <t>Stortorget 220</t>
  </si>
  <si>
    <t>CUST-1980</t>
  </si>
  <si>
    <t>Shibuya 40-24-12</t>
  </si>
  <si>
    <t>CUST-1981</t>
  </si>
  <si>
    <t>Cantt 114</t>
  </si>
  <si>
    <t>CUST-1982</t>
  </si>
  <si>
    <t>CUST-1983</t>
  </si>
  <si>
    <t>Potsdamer Platz 160</t>
  </si>
  <si>
    <t>CUST-1984</t>
  </si>
  <si>
    <t>Calle de Goya 4000</t>
  </si>
  <si>
    <t>CUST-1985</t>
  </si>
  <si>
    <t>Nishi-ku 28-1-1</t>
  </si>
  <si>
    <t>CUST-1986</t>
  </si>
  <si>
    <t>Diagonal 4100</t>
  </si>
  <si>
    <t>CUST-1987</t>
  </si>
  <si>
    <t>Mohandessin 105</t>
  </si>
  <si>
    <t>CUST-1988</t>
  </si>
  <si>
    <t>Kungsportsavenyn 230</t>
  </si>
  <si>
    <t>CUST-1989</t>
  </si>
  <si>
    <t>Chiyoda 40-1-1</t>
  </si>
  <si>
    <t>CUST-1990</t>
  </si>
  <si>
    <t>Clifton 115</t>
  </si>
  <si>
    <t>CUST-1991</t>
  </si>
  <si>
    <t>Peachtree Street 1700</t>
  </si>
  <si>
    <t>CUST-1992</t>
  </si>
  <si>
    <t>Alexanderplatz 310</t>
  </si>
  <si>
    <t>CUST-1993</t>
  </si>
  <si>
    <t>Calle de Serrano 4100</t>
  </si>
  <si>
    <t>CUST-1994</t>
  </si>
  <si>
    <t>Aoba-ku 27-1-1</t>
  </si>
  <si>
    <t>CUST-1995</t>
  </si>
  <si>
    <t>Passeig de Gràcia 2200</t>
  </si>
  <si>
    <t>CUST-1996</t>
  </si>
  <si>
    <t>Dokki 106</t>
  </si>
  <si>
    <t>CUST-1997</t>
  </si>
  <si>
    <t>Stortorget 225</t>
  </si>
  <si>
    <t>CUST-1998</t>
  </si>
  <si>
    <t>Shibuya 41-24-12</t>
  </si>
  <si>
    <t>CUST-1999</t>
  </si>
  <si>
    <t>Sheikh Zayed Road 99</t>
  </si>
  <si>
    <t>CUST-2000</t>
  </si>
  <si>
    <t>Ocean Drive 2600</t>
  </si>
  <si>
    <t>Book_Title</t>
  </si>
  <si>
    <t>Author</t>
  </si>
  <si>
    <t>Retail_Price</t>
  </si>
  <si>
    <t>Sophia Martinez</t>
  </si>
  <si>
    <t>Isabella Garcia</t>
  </si>
  <si>
    <t>Amelia Thompson</t>
  </si>
  <si>
    <t>James Anderson</t>
  </si>
  <si>
    <t>David King</t>
  </si>
  <si>
    <t>Grace Lee</t>
  </si>
  <si>
    <t>Customer_ID</t>
  </si>
  <si>
    <t>joshua.green1@hotmail.com</t>
  </si>
  <si>
    <t>amelia.martin2@hotmail.com</t>
  </si>
  <si>
    <t>david.martinez3@yahoo.com</t>
  </si>
  <si>
    <t>ella.taylor4@gmail.com</t>
  </si>
  <si>
    <t>steven.rodriguez5@yahoo.com</t>
  </si>
  <si>
    <t>thomas.young6@hotmail.com</t>
  </si>
  <si>
    <t>lily.johnson7@outlook.com</t>
  </si>
  <si>
    <t>chloe.wright8@hotmail.com</t>
  </si>
  <si>
    <t>daniel.lewis9@hotmail.com</t>
  </si>
  <si>
    <t>isabella.jackson10@outlook.com</t>
  </si>
  <si>
    <t>joshua.hall11@outlook.com</t>
  </si>
  <si>
    <t>anna.garcia12@outlook.com</t>
  </si>
  <si>
    <t>steven.scott13@hotmail.com</t>
  </si>
  <si>
    <t>mia.jackson14@yahoo.com</t>
  </si>
  <si>
    <t>william.johnson15@gmail.com</t>
  </si>
  <si>
    <t>ryan.white16@hotmail.com</t>
  </si>
  <si>
    <t>paul.garcia17@hotmail.com</t>
  </si>
  <si>
    <t>emily.anderson18@gmail.com</t>
  </si>
  <si>
    <t>ava.young19@outlook.com</t>
  </si>
  <si>
    <t>mark.garcia20@outlook.com</t>
  </si>
  <si>
    <t>grace.johnson21@yahoo.com</t>
  </si>
  <si>
    <t>ryan.baker22@yahoo.com</t>
  </si>
  <si>
    <t>michael.young23@yahoo.com</t>
  </si>
  <si>
    <t>zoe.lopez24@gmail.com</t>
  </si>
  <si>
    <t>edward.scott25@gmail.com</t>
  </si>
  <si>
    <t>ella.taylor26@yahoo.com</t>
  </si>
  <si>
    <t>peter.allen27@gmail.com</t>
  </si>
  <si>
    <t>daniel.hall28@gmail.com</t>
  </si>
  <si>
    <t>steven.adams29@outlook.com</t>
  </si>
  <si>
    <t>michael.johnson30@gmail.com</t>
  </si>
  <si>
    <t>isabella.wright31@yahoo.com</t>
  </si>
  <si>
    <t>peter.martin32@gmail.com</t>
  </si>
  <si>
    <t>james.smith33@outlook.com</t>
  </si>
  <si>
    <t>emily.walker34@hotmail.com</t>
  </si>
  <si>
    <t>zoe.smith35@gmail.com</t>
  </si>
  <si>
    <t>peter.thompson36@gmail.com</t>
  </si>
  <si>
    <t>sarah.hill37@outlook.com</t>
  </si>
  <si>
    <t>john.wright38@yahoo.com</t>
  </si>
  <si>
    <t>kevin.rodriguez39@hotmail.com</t>
  </si>
  <si>
    <t>william.adams40@hotmail.com</t>
  </si>
  <si>
    <t>mia.white41@yahoo.com</t>
  </si>
  <si>
    <t>sophia.white42@yahoo.com</t>
  </si>
  <si>
    <t>kevin.thompson43@hotmail.com</t>
  </si>
  <si>
    <t>lily.lewis44@gmail.com</t>
  </si>
  <si>
    <t>sophia.thomas45@outlook.com</t>
  </si>
  <si>
    <t>mia.lewis46@hotmail.com</t>
  </si>
  <si>
    <t>lucy.thomas47@outlook.com</t>
  </si>
  <si>
    <t>amelia.green48@gmail.com</t>
  </si>
  <si>
    <t>ava.adams49@outlook.com</t>
  </si>
  <si>
    <t>paul.brown50@hotmail.com</t>
  </si>
  <si>
    <t>robert.taylor51@gmail.com</t>
  </si>
  <si>
    <t>ella.martinez52@yahoo.com</t>
  </si>
  <si>
    <t>amelia.jackson53@gmail.com</t>
  </si>
  <si>
    <t>amelia.thomas54@hotmail.com</t>
  </si>
  <si>
    <t>andrew.brown55@yahoo.com</t>
  </si>
  <si>
    <t>steven.harris56@yahoo.com</t>
  </si>
  <si>
    <t>anthony.hall57@gmail.com</t>
  </si>
  <si>
    <t>amelia.lewis58@yahoo.com</t>
  </si>
  <si>
    <t>sarah.green59@outlook.com</t>
  </si>
  <si>
    <t>mark.adams60@gmail.com</t>
  </si>
  <si>
    <t>mark.hall61@outlook.com</t>
  </si>
  <si>
    <t>joshua.anderson62@hotmail.com</t>
  </si>
  <si>
    <t>thomas.lee63@outlook.com</t>
  </si>
  <si>
    <t>andrew.walker64@yahoo.com</t>
  </si>
  <si>
    <t>robert.adams65@yahoo.com</t>
  </si>
  <si>
    <t>isabella.smith66@hotmail.com</t>
  </si>
  <si>
    <t>john.martinez67@hotmail.com</t>
  </si>
  <si>
    <t>james.king68@outlook.com</t>
  </si>
  <si>
    <t>emily.smith69@yahoo.com</t>
  </si>
  <si>
    <t>william.thomas70@outlook.com</t>
  </si>
  <si>
    <t>ryan.martin71@yahoo.com</t>
  </si>
  <si>
    <t>ava.king72@hotmail.com</t>
  </si>
  <si>
    <t>mia.scott73@yahoo.com</t>
  </si>
  <si>
    <t>robert.garcia74@hotmail.com</t>
  </si>
  <si>
    <t>amelia.harris75@outlook.com</t>
  </si>
  <si>
    <t>jessica.baker76@outlook.com</t>
  </si>
  <si>
    <t>mia.lewis77@yahoo.com</t>
  </si>
  <si>
    <t>emma.king78@gmail.com</t>
  </si>
  <si>
    <t>peter.martin79@hotmail.com</t>
  </si>
  <si>
    <t>joshua.hill80@hotmail.com</t>
  </si>
  <si>
    <t>hannah.anderson81@gmail.com</t>
  </si>
  <si>
    <t>anthony.wright82@yahoo.com</t>
  </si>
  <si>
    <t>william.anderson83@yahoo.com</t>
  </si>
  <si>
    <t>brian.robinson84@gmail.com</t>
  </si>
  <si>
    <t>william.adams85@outlook.com</t>
  </si>
  <si>
    <t>andrew.smith86@hotmail.com</t>
  </si>
  <si>
    <t>amelia.johnson87@gmail.com</t>
  </si>
  <si>
    <t>john.rodriguez88@hotmail.com</t>
  </si>
  <si>
    <t>mark.green89@hotmail.com</t>
  </si>
  <si>
    <t>amelia.martin90@yahoo.com</t>
  </si>
  <si>
    <t>isabella.green91@hotmail.com</t>
  </si>
  <si>
    <t>amelia.martin92@outlook.com</t>
  </si>
  <si>
    <t>isabella.clark93@outlook.com</t>
  </si>
  <si>
    <t>olivia.johnson94@hotmail.com</t>
  </si>
  <si>
    <t>chloe.adams95@gmail.com</t>
  </si>
  <si>
    <t>john.rodriguez96@yahoo.com</t>
  </si>
  <si>
    <t>sarah.king97@outlook.com</t>
  </si>
  <si>
    <t>hannah.white98@yahoo.com</t>
  </si>
  <si>
    <t>lily.allen99@yahoo.com</t>
  </si>
  <si>
    <t>lucy.green100@gmail.com</t>
  </si>
  <si>
    <t>lucy.lopez101@yahoo.com</t>
  </si>
  <si>
    <t>george.allen102@outlook.com</t>
  </si>
  <si>
    <t>steven.clark103@gmail.com</t>
  </si>
  <si>
    <t>lucy.clark104@yahoo.com</t>
  </si>
  <si>
    <t>emily.lee105@outlook.com</t>
  </si>
  <si>
    <t>mark.allen106@hotmail.com</t>
  </si>
  <si>
    <t>kevin.lee107@yahoo.com</t>
  </si>
  <si>
    <t>james.baker108@yahoo.com</t>
  </si>
  <si>
    <t>hannah.lee109@outlook.com</t>
  </si>
  <si>
    <t>kevin.lopez110@outlook.com</t>
  </si>
  <si>
    <t>james.anderson111@gmail.com</t>
  </si>
  <si>
    <t>joshua.harris112@yahoo.com</t>
  </si>
  <si>
    <t>james.adams113@gmail.com</t>
  </si>
  <si>
    <t>james.harris114@outlook.com</t>
  </si>
  <si>
    <t>grace.johnson115@hotmail.com</t>
  </si>
  <si>
    <t>amelia.taylor116@hotmail.com</t>
  </si>
  <si>
    <t>david.wright117@hotmail.com</t>
  </si>
  <si>
    <t>chloe.robinson118@outlook.com</t>
  </si>
  <si>
    <t>ella.adams119@hotmail.com</t>
  </si>
  <si>
    <t>emma.thomas120@outlook.com</t>
  </si>
  <si>
    <t>grace.hill121@outlook.com</t>
  </si>
  <si>
    <t>anna.anderson122@yahoo.com</t>
  </si>
  <si>
    <t>andrew.hall123@yahoo.com</t>
  </si>
  <si>
    <t>william.garcia124@yahoo.com</t>
  </si>
  <si>
    <t>peter.rodriguez125@yahoo.com</t>
  </si>
  <si>
    <t>anthony.hill126@gmail.com</t>
  </si>
  <si>
    <t>chloe.thomas127@outlook.com</t>
  </si>
  <si>
    <t>paul.lopez128@outlook.com</t>
  </si>
  <si>
    <t>lily.martin129@gmail.com</t>
  </si>
  <si>
    <t>lucy.thompson130@hotmail.com</t>
  </si>
  <si>
    <t>steven.hill131@yahoo.com</t>
  </si>
  <si>
    <t>anthony.thomas132@yahoo.com</t>
  </si>
  <si>
    <t>amelia.walker133@gmail.com</t>
  </si>
  <si>
    <t>sophia.martinez134@yahoo.com</t>
  </si>
  <si>
    <t>david.lopez135@gmail.com</t>
  </si>
  <si>
    <t>sophia.king136@hotmail.com</t>
  </si>
  <si>
    <t>lily.lewis137@yahoo.com</t>
  </si>
  <si>
    <t>ryan.harris138@yahoo.com</t>
  </si>
  <si>
    <t>mark.garcia139@yahoo.com</t>
  </si>
  <si>
    <t>anna.king140@outlook.com</t>
  </si>
  <si>
    <t>charlotte.thomas141@gmail.com</t>
  </si>
  <si>
    <t>edward.baker142@gmail.com</t>
  </si>
  <si>
    <t>grace.lopez143@outlook.com</t>
  </si>
  <si>
    <t>sarah.johnson144@outlook.com</t>
  </si>
  <si>
    <t>emma.johnson145@yahoo.com</t>
  </si>
  <si>
    <t>emma.thomas146@yahoo.com</t>
  </si>
  <si>
    <t>emily.garcia147@yahoo.com</t>
  </si>
  <si>
    <t>lily.scott148@gmail.com</t>
  </si>
  <si>
    <t>thomas.anderson149@hotmail.com</t>
  </si>
  <si>
    <t>olivia.robinson150@gmail.com</t>
  </si>
  <si>
    <t>daniel.thompson151@gmail.com</t>
  </si>
  <si>
    <t>andrew.robinson152@yahoo.com</t>
  </si>
  <si>
    <t>john.lopez153@gmail.com</t>
  </si>
  <si>
    <t>chloe.robinson154@outlook.com</t>
  </si>
  <si>
    <t>peter.hall155@hotmail.com</t>
  </si>
  <si>
    <t>john.anderson156@yahoo.com</t>
  </si>
  <si>
    <t>mia.robinson157@outlook.com</t>
  </si>
  <si>
    <t>emma.brown158@gmail.com</t>
  </si>
  <si>
    <t>ava.clark159@outlook.com</t>
  </si>
  <si>
    <t>mark.hall160@yahoo.com</t>
  </si>
  <si>
    <t>emily.lee161@gmail.com</t>
  </si>
  <si>
    <t>brian.lopez162@outlook.com</t>
  </si>
  <si>
    <t>hannah.adams163@yahoo.com</t>
  </si>
  <si>
    <t>amelia.young164@hotmail.com</t>
  </si>
  <si>
    <t>amelia.green165@yahoo.com</t>
  </si>
  <si>
    <t>sarah.smith166@hotmail.com</t>
  </si>
  <si>
    <t>chloe.garcia167@yahoo.com</t>
  </si>
  <si>
    <t>anthony.hall168@yahoo.com</t>
  </si>
  <si>
    <t>mia.lewis169@outlook.com</t>
  </si>
  <si>
    <t>steven.taylor170@yahoo.com</t>
  </si>
  <si>
    <t>brian.anderson171@yahoo.com</t>
  </si>
  <si>
    <t>charlotte.clark172@outlook.com</t>
  </si>
  <si>
    <t>jessica.jackson173@outlook.com</t>
  </si>
  <si>
    <t>steven.lewis174@yahoo.com</t>
  </si>
  <si>
    <t>edward.walker175@outlook.com</t>
  </si>
  <si>
    <t>brian.thomas176@yahoo.com</t>
  </si>
  <si>
    <t>anthony.martinez177@gmail.com</t>
  </si>
  <si>
    <t>sarah.smith178@gmail.com</t>
  </si>
  <si>
    <t>jessica.anderson179@yahoo.com</t>
  </si>
  <si>
    <t>paul.martinez180@hotmail.com</t>
  </si>
  <si>
    <t>brian.wright181@outlook.com</t>
  </si>
  <si>
    <t>olivia.lewis182@gmail.com</t>
  </si>
  <si>
    <t>mia.anderson183@gmail.com</t>
  </si>
  <si>
    <t>edward.scott184@gmail.com</t>
  </si>
  <si>
    <t>jessica.king185@hotmail.com</t>
  </si>
  <si>
    <t>brian.thompson186@hotmail.com</t>
  </si>
  <si>
    <t>daniel.smith187@gmail.com</t>
  </si>
  <si>
    <t>jessica.clark188@gmail.com</t>
  </si>
  <si>
    <t>james.green189@gmail.com</t>
  </si>
  <si>
    <t>david.anderson190@yahoo.com</t>
  </si>
  <si>
    <t>sophia.smith191@yahoo.com</t>
  </si>
  <si>
    <t>william.adams192@hotmail.com</t>
  </si>
  <si>
    <t>daniel.walker193@gmail.com</t>
  </si>
  <si>
    <t>zoe.lee194@hotmail.com</t>
  </si>
  <si>
    <t>laura.adams195@outlook.com</t>
  </si>
  <si>
    <t>hannah.white196@yahoo.com</t>
  </si>
  <si>
    <t>james.lee197@hotmail.com</t>
  </si>
  <si>
    <t>emma.johnson198@yahoo.com</t>
  </si>
  <si>
    <t>kevin.walker199@hotmail.com</t>
  </si>
  <si>
    <t>mia.thomas200@outlook.com</t>
  </si>
  <si>
    <t>daniel.anderson201@yahoo.com</t>
  </si>
  <si>
    <t>amelia.lopez202@outlook.com</t>
  </si>
  <si>
    <t>james.taylor203@gmail.com</t>
  </si>
  <si>
    <t>paul.king204@gmail.com</t>
  </si>
  <si>
    <t>john.martin205@yahoo.com</t>
  </si>
  <si>
    <t>emma.lewis206@yahoo.com</t>
  </si>
  <si>
    <t>ella.walker207@hotmail.com</t>
  </si>
  <si>
    <t>ella.adams208@outlook.com</t>
  </si>
  <si>
    <t>amelia.thompson209@hotmail.com</t>
  </si>
  <si>
    <t>michael.rodriguez210@gmail.com</t>
  </si>
  <si>
    <t>joshua.white211@gmail.com</t>
  </si>
  <si>
    <t>paul.lewis212@gmail.com</t>
  </si>
  <si>
    <t>william.anderson213@hotmail.com</t>
  </si>
  <si>
    <t>michael.hill214@hotmail.com</t>
  </si>
  <si>
    <t>john.walker215@outlook.com</t>
  </si>
  <si>
    <t>grace.harris216@outlook.com</t>
  </si>
  <si>
    <t>isabella.king217@gmail.com</t>
  </si>
  <si>
    <t>amelia.adams218@outlook.com</t>
  </si>
  <si>
    <t>hannah.martin219@gmail.com</t>
  </si>
  <si>
    <t>steven.clark220@outlook.com</t>
  </si>
  <si>
    <t>anthony.thomas221@gmail.com</t>
  </si>
  <si>
    <t>lucy.king222@outlook.com</t>
  </si>
  <si>
    <t>james.brown223@hotmail.com</t>
  </si>
  <si>
    <t>thomas.martin224@yahoo.com</t>
  </si>
  <si>
    <t>olivia.taylor225@yahoo.com</t>
  </si>
  <si>
    <t>lucy.hall226@outlook.com</t>
  </si>
  <si>
    <t>emma.lopez227@gmail.com</t>
  </si>
  <si>
    <t>paul.thompson228@gmail.com</t>
  </si>
  <si>
    <t>olivia.clark229@yahoo.com</t>
  </si>
  <si>
    <t>ava.lewis230@hotmail.com</t>
  </si>
  <si>
    <t>edward.garcia231@gmail.com</t>
  </si>
  <si>
    <t>brian.clark232@yahoo.com</t>
  </si>
  <si>
    <t>amelia.harris233@outlook.com</t>
  </si>
  <si>
    <t>andrew.jackson234@gmail.com</t>
  </si>
  <si>
    <t>zoe.lee235@outlook.com</t>
  </si>
  <si>
    <t>steven.martin236@yahoo.com</t>
  </si>
  <si>
    <t>robert.king237@outlook.com</t>
  </si>
  <si>
    <t>jessica.wright238@gmail.com</t>
  </si>
  <si>
    <t>brian.clark239@gmail.com</t>
  </si>
  <si>
    <t>anthony.harris240@hotmail.com</t>
  </si>
  <si>
    <t>thomas.brown241@outlook.com</t>
  </si>
  <si>
    <t>david.garcia242@yahoo.com</t>
  </si>
  <si>
    <t>kevin.allen243@gmail.com</t>
  </si>
  <si>
    <t>hannah.clark244@gmail.com</t>
  </si>
  <si>
    <t>john.green245@hotmail.com</t>
  </si>
  <si>
    <t>mark.taylor246@outlook.com</t>
  </si>
  <si>
    <t>steven.harris247@outlook.com</t>
  </si>
  <si>
    <t>hannah.king248@outlook.com</t>
  </si>
  <si>
    <t>david.martinez249@yahoo.com</t>
  </si>
  <si>
    <t>anna.jackson250@outlook.com</t>
  </si>
  <si>
    <t>sarah.martinez251@outlook.com</t>
  </si>
  <si>
    <t>sarah.smith252@yahoo.com</t>
  </si>
  <si>
    <t>ava.jackson253@hotmail.com</t>
  </si>
  <si>
    <t>john.baker254@hotmail.com</t>
  </si>
  <si>
    <t>edward.clark255@yahoo.com</t>
  </si>
  <si>
    <t>isabella.wright256@yahoo.com</t>
  </si>
  <si>
    <t>anthony.lopez257@yahoo.com</t>
  </si>
  <si>
    <t>ryan.anderson258@yahoo.com</t>
  </si>
  <si>
    <t>ella.clark259@outlook.com</t>
  </si>
  <si>
    <t>hannah.king260@hotmail.com</t>
  </si>
  <si>
    <t>james.green261@gmail.com</t>
  </si>
  <si>
    <t>thomas.robinson262@hotmail.com</t>
  </si>
  <si>
    <t>mark.thomas263@yahoo.com</t>
  </si>
  <si>
    <t>michael.jackson264@yahoo.com</t>
  </si>
  <si>
    <t>peter.smith265@outlook.com</t>
  </si>
  <si>
    <t>andrew.clark266@hotmail.com</t>
  </si>
  <si>
    <t>anna.smith267@yahoo.com</t>
  </si>
  <si>
    <t>emily.johnson268@outlook.com</t>
  </si>
  <si>
    <t>kevin.hill269@hotmail.com</t>
  </si>
  <si>
    <t>steven.hill270@hotmail.com</t>
  </si>
  <si>
    <t>james.rodriguez271@yahoo.com</t>
  </si>
  <si>
    <t>william.allen272@hotmail.com</t>
  </si>
  <si>
    <t>grace.garcia273@hotmail.com</t>
  </si>
  <si>
    <t>anna.green274@gmail.com</t>
  </si>
  <si>
    <t>paul.adams275@yahoo.com</t>
  </si>
  <si>
    <t>hannah.wright276@gmail.com</t>
  </si>
  <si>
    <t>robert.king277@outlook.com</t>
  </si>
  <si>
    <t>ryan.rodriguez278@hotmail.com</t>
  </si>
  <si>
    <t>sarah.clark279@gmail.com</t>
  </si>
  <si>
    <t>edward.anderson280@hotmail.com</t>
  </si>
  <si>
    <t>emily.baker281@yahoo.com</t>
  </si>
  <si>
    <t>chloe.hall282@yahoo.com</t>
  </si>
  <si>
    <t>jessica.king283@yahoo.com</t>
  </si>
  <si>
    <t>james.scott284@gmail.com</t>
  </si>
  <si>
    <t>michael.hall285@yahoo.com</t>
  </si>
  <si>
    <t>chloe.smith286@outlook.com</t>
  </si>
  <si>
    <t>anthony.smith287@gmail.com</t>
  </si>
  <si>
    <t>ava.hill288@gmail.com</t>
  </si>
  <si>
    <t>andrew.smith289@gmail.com</t>
  </si>
  <si>
    <t>michael.johnson290@gmail.com</t>
  </si>
  <si>
    <t>sophia.taylor291@gmail.com</t>
  </si>
  <si>
    <t>laura.robinson292@yahoo.com</t>
  </si>
  <si>
    <t>robert.hill293@hotmail.com</t>
  </si>
  <si>
    <t>mia.jackson294@outlook.com</t>
  </si>
  <si>
    <t>mia.lee295@outlook.com</t>
  </si>
  <si>
    <t>grace.young296@outlook.com</t>
  </si>
  <si>
    <t>mark.anderson297@gmail.com</t>
  </si>
  <si>
    <t>david.anderson298@outlook.com</t>
  </si>
  <si>
    <t>isabella.brown299@outlook.com</t>
  </si>
  <si>
    <t>robert.baker300@hotmail.com</t>
  </si>
  <si>
    <t>david.walker301@hotmail.com</t>
  </si>
  <si>
    <t>olivia.martin302@hotmail.com</t>
  </si>
  <si>
    <t>ryan.adams303@hotmail.com</t>
  </si>
  <si>
    <t>chloe.wright304@gmail.com</t>
  </si>
  <si>
    <t>olivia.walker305@hotmail.com</t>
  </si>
  <si>
    <t>michael.brown306@hotmail.com</t>
  </si>
  <si>
    <t>sophia.thompson307@gmail.com</t>
  </si>
  <si>
    <t>anna.green308@outlook.com</t>
  </si>
  <si>
    <t>james.johnson309@outlook.com</t>
  </si>
  <si>
    <t>ryan.young310@hotmail.com</t>
  </si>
  <si>
    <t>emily.harris311@hotmail.com</t>
  </si>
  <si>
    <t>emma.johnson312@hotmail.com</t>
  </si>
  <si>
    <t>steven.scott313@gmail.com</t>
  </si>
  <si>
    <t>jessica.king314@outlook.com</t>
  </si>
  <si>
    <t>sophia.lee315@outlook.com</t>
  </si>
  <si>
    <t>steven.allen316@hotmail.com</t>
  </si>
  <si>
    <t>kevin.hall317@gmail.com</t>
  </si>
  <si>
    <t>paul.anderson318@gmail.com</t>
  </si>
  <si>
    <t>ryan.johnson319@yahoo.com</t>
  </si>
  <si>
    <t>ava.harris320@gmail.com</t>
  </si>
  <si>
    <t>emily.green321@yahoo.com</t>
  </si>
  <si>
    <t>laura.garcia322@hotmail.com</t>
  </si>
  <si>
    <t>edward.thompson323@outlook.com</t>
  </si>
  <si>
    <t>ella.lewis324@yahoo.com</t>
  </si>
  <si>
    <t>david.king325@outlook.com</t>
  </si>
  <si>
    <t>sophia.lee326@hotmail.com</t>
  </si>
  <si>
    <t>isabella.harris327@yahoo.com</t>
  </si>
  <si>
    <t>emma.johnson328@yahoo.com</t>
  </si>
  <si>
    <t>isabella.martin329@outlook.com</t>
  </si>
  <si>
    <t>emily.wright330@gmail.com</t>
  </si>
  <si>
    <t>william.adams331@outlook.com</t>
  </si>
  <si>
    <t>zoe.lewis332@gmail.com</t>
  </si>
  <si>
    <t>emma.walker333@outlook.com</t>
  </si>
  <si>
    <t>edward.allen334@gmail.com</t>
  </si>
  <si>
    <t>anthony.robinson335@hotmail.com</t>
  </si>
  <si>
    <t>ryan.martinez336@hotmail.com</t>
  </si>
  <si>
    <t>laura.johnson337@outlook.com</t>
  </si>
  <si>
    <t>mark.young338@yahoo.com</t>
  </si>
  <si>
    <t>joshua.clark339@yahoo.com</t>
  </si>
  <si>
    <t>peter.wright340@gmail.com</t>
  </si>
  <si>
    <t>thomas.smith341@gmail.com</t>
  </si>
  <si>
    <t>daniel.lopez342@yahoo.com</t>
  </si>
  <si>
    <t>mia.lewis343@yahoo.com</t>
  </si>
  <si>
    <t>emma.scott344@yahoo.com</t>
  </si>
  <si>
    <t>emily.adams345@gmail.com</t>
  </si>
  <si>
    <t>michael.johnson346@outlook.com</t>
  </si>
  <si>
    <t>lily.thompson347@hotmail.com</t>
  </si>
  <si>
    <t>george.robinson348@outlook.com</t>
  </si>
  <si>
    <t>jessica.robinson349@hotmail.com</t>
  </si>
  <si>
    <t>emily.baker350@hotmail.com</t>
  </si>
  <si>
    <t>david.baker351@yahoo.com</t>
  </si>
  <si>
    <t>kevin.jackson352@yahoo.com</t>
  </si>
  <si>
    <t>peter.wright353@hotmail.com</t>
  </si>
  <si>
    <t>michael.martin354@hotmail.com</t>
  </si>
  <si>
    <t>laura.martinez355@hotmail.com</t>
  </si>
  <si>
    <t>michael.baker356@outlook.com</t>
  </si>
  <si>
    <t>hannah.martin357@yahoo.com</t>
  </si>
  <si>
    <t>hannah.walker358@yahoo.com</t>
  </si>
  <si>
    <t>steven.baker359@hotmail.com</t>
  </si>
  <si>
    <t>jessica.johnson360@hotmail.com</t>
  </si>
  <si>
    <t>ryan.lopez361@yahoo.com</t>
  </si>
  <si>
    <t>olivia.allen362@hotmail.com</t>
  </si>
  <si>
    <t>steven.johnson363@hotmail.com</t>
  </si>
  <si>
    <t>charlotte.harris364@outlook.com</t>
  </si>
  <si>
    <t>george.johnson365@hotmail.com</t>
  </si>
  <si>
    <t>david.johnson366@yahoo.com</t>
  </si>
  <si>
    <t>joshua.thompson367@gmail.com</t>
  </si>
  <si>
    <t>anna.martinez368@outlook.com</t>
  </si>
  <si>
    <t>paul.hill369@hotmail.com</t>
  </si>
  <si>
    <t>sarah.adams370@yahoo.com</t>
  </si>
  <si>
    <t>james.anderson371@yahoo.com</t>
  </si>
  <si>
    <t>joshua.walker372@hotmail.com</t>
  </si>
  <si>
    <t>andrew.walker373@outlook.com</t>
  </si>
  <si>
    <t>sarah.anderson374@outlook.com</t>
  </si>
  <si>
    <t>mark.lopez375@hotmail.com</t>
  </si>
  <si>
    <t>chloe.young376@hotmail.com</t>
  </si>
  <si>
    <t>steven.thomas377@hotmail.com</t>
  </si>
  <si>
    <t>hannah.allen378@gmail.com</t>
  </si>
  <si>
    <t>thomas.johnson379@hotmail.com</t>
  </si>
  <si>
    <t>peter.adams380@gmail.com</t>
  </si>
  <si>
    <t>david.lewis381@hotmail.com</t>
  </si>
  <si>
    <t>ryan.rodriguez382@outlook.com</t>
  </si>
  <si>
    <t>robert.smith383@outlook.com</t>
  </si>
  <si>
    <t>david.jackson384@hotmail.com</t>
  </si>
  <si>
    <t>paul.lewis385@outlook.com</t>
  </si>
  <si>
    <t>ava.wright386@hotmail.com</t>
  </si>
  <si>
    <t>anna.allen387@hotmail.com</t>
  </si>
  <si>
    <t>anthony.johnson388@outlook.com</t>
  </si>
  <si>
    <t>david.rodriguez389@yahoo.com</t>
  </si>
  <si>
    <t>brian.harris390@outlook.com</t>
  </si>
  <si>
    <t>brian.king391@gmail.com</t>
  </si>
  <si>
    <t>mia.wright392@outlook.com</t>
  </si>
  <si>
    <t>anna.johnson393@yahoo.com</t>
  </si>
  <si>
    <t>charlotte.thomas394@yahoo.com</t>
  </si>
  <si>
    <t>brian.green395@outlook.com</t>
  </si>
  <si>
    <t>emma.clark396@yahoo.com</t>
  </si>
  <si>
    <t>lucy.adams397@gmail.com</t>
  </si>
  <si>
    <t>daniel.hall398@yahoo.com</t>
  </si>
  <si>
    <t>thomas.garcia399@gmail.com</t>
  </si>
  <si>
    <t>thomas.hill400@yahoo.com</t>
  </si>
  <si>
    <t>david.garcia401@gmail.com</t>
  </si>
  <si>
    <t>grace.walker402@hotmail.com</t>
  </si>
  <si>
    <t>ella.garcia403@gmail.com</t>
  </si>
  <si>
    <t>sarah.baker404@gmail.com</t>
  </si>
  <si>
    <t>olivia.wright405@gmail.com</t>
  </si>
  <si>
    <t>zoe.johnson406@hotmail.com</t>
  </si>
  <si>
    <t>michael.baker407@yahoo.com</t>
  </si>
  <si>
    <t>paul.adams408@gmail.com</t>
  </si>
  <si>
    <t>peter.lee409@hotmail.com</t>
  </si>
  <si>
    <t>paul.garcia410@hotmail.com</t>
  </si>
  <si>
    <t>brian.king411@hotmail.com</t>
  </si>
  <si>
    <t>lily.walker412@outlook.com</t>
  </si>
  <si>
    <t>amelia.hill413@yahoo.com</t>
  </si>
  <si>
    <t>robert.baker414@yahoo.com</t>
  </si>
  <si>
    <t>andrew.robinson415@gmail.com</t>
  </si>
  <si>
    <t>paul.jackson416@outlook.com</t>
  </si>
  <si>
    <t>peter.allen417@outlook.com</t>
  </si>
  <si>
    <t>ella.thomas418@outlook.com</t>
  </si>
  <si>
    <t>william.rodriguez419@gmail.com</t>
  </si>
  <si>
    <t>steven.brown420@yahoo.com</t>
  </si>
  <si>
    <t>laura.lewis421@yahoo.com</t>
  </si>
  <si>
    <t>brian.white422@yahoo.com</t>
  </si>
  <si>
    <t>olivia.green423@gmail.com</t>
  </si>
  <si>
    <t>anthony.taylor424@hotmail.com</t>
  </si>
  <si>
    <t>brian.adams425@yahoo.com</t>
  </si>
  <si>
    <t>paul.thompson426@outlook.com</t>
  </si>
  <si>
    <t>kevin.walker427@outlook.com</t>
  </si>
  <si>
    <t>david.jackson428@hotmail.com</t>
  </si>
  <si>
    <t>ava.thompson429@outlook.com</t>
  </si>
  <si>
    <t>edward.rodriguez430@hotmail.com</t>
  </si>
  <si>
    <t>thomas.rodriguez431@gmail.com</t>
  </si>
  <si>
    <t>amelia.harris432@yahoo.com</t>
  </si>
  <si>
    <t>emma.king433@yahoo.com</t>
  </si>
  <si>
    <t>ella.anderson434@outlook.com</t>
  </si>
  <si>
    <t>david.young435@gmail.com</t>
  </si>
  <si>
    <t>anthony.johnson436@gmail.com</t>
  </si>
  <si>
    <t>james.harris437@gmail.com</t>
  </si>
  <si>
    <t>sarah.white438@outlook.com</t>
  </si>
  <si>
    <t>peter.thomas439@outlook.com</t>
  </si>
  <si>
    <t>james.allen440@outlook.com</t>
  </si>
  <si>
    <t>steven.wright441@hotmail.com</t>
  </si>
  <si>
    <t>zoe.king442@gmail.com</t>
  </si>
  <si>
    <t>lucy.johnson443@hotmail.com</t>
  </si>
  <si>
    <t>lily.green444@outlook.com</t>
  </si>
  <si>
    <t>emma.rodriguez445@hotmail.com</t>
  </si>
  <si>
    <t>ava.thompson446@outlook.com</t>
  </si>
  <si>
    <t>anthony.martinez447@yahoo.com</t>
  </si>
  <si>
    <t>charlotte.green448@hotmail.com</t>
  </si>
  <si>
    <t>brian.smith449@outlook.com</t>
  </si>
  <si>
    <t>ava.taylor450@yahoo.com</t>
  </si>
  <si>
    <t>brian.martinez451@gmail.com</t>
  </si>
  <si>
    <t>emily.king452@gmail.com</t>
  </si>
  <si>
    <t>brian.baker453@outlook.com</t>
  </si>
  <si>
    <t>sarah.taylor454@yahoo.com</t>
  </si>
  <si>
    <t>emma.smith455@yahoo.com</t>
  </si>
  <si>
    <t>brian.jackson456@yahoo.com</t>
  </si>
  <si>
    <t>mark.rodriguez457@hotmail.com</t>
  </si>
  <si>
    <t>michael.harris458@outlook.com</t>
  </si>
  <si>
    <t>emma.walker459@hotmail.com</t>
  </si>
  <si>
    <t>ryan.scott460@yahoo.com</t>
  </si>
  <si>
    <t>laura.martinez461@yahoo.com</t>
  </si>
  <si>
    <t>edward.johnson462@yahoo.com</t>
  </si>
  <si>
    <t>anthony.king463@outlook.com</t>
  </si>
  <si>
    <t>andrew.thomas464@hotmail.com</t>
  </si>
  <si>
    <t>paul.lopez465@hotmail.com</t>
  </si>
  <si>
    <t>emma.scott466@hotmail.com</t>
  </si>
  <si>
    <t>sophia.lee467@yahoo.com</t>
  </si>
  <si>
    <t>jessica.hall468@hotmail.com</t>
  </si>
  <si>
    <t>joshua.young469@outlook.com</t>
  </si>
  <si>
    <t>ella.white470@hotmail.com</t>
  </si>
  <si>
    <t>ava.lee471@outlook.com</t>
  </si>
  <si>
    <t>joshua.baker472@yahoo.com</t>
  </si>
  <si>
    <t>john.young473@gmail.com</t>
  </si>
  <si>
    <t>sarah.allen474@hotmail.com</t>
  </si>
  <si>
    <t>anthony.hall475@hotmail.com</t>
  </si>
  <si>
    <t>david.rodriguez476@outlook.com</t>
  </si>
  <si>
    <t>anna.young477@gmail.com</t>
  </si>
  <si>
    <t>thomas.rodriguez478@gmail.com</t>
  </si>
  <si>
    <t>brian.robinson479@hotmail.com</t>
  </si>
  <si>
    <t>peter.adams480@outlook.com</t>
  </si>
  <si>
    <t>mia.hall481@hotmail.com</t>
  </si>
  <si>
    <t>james.young482@yahoo.com</t>
  </si>
  <si>
    <t>sarah.martin483@hotmail.com</t>
  </si>
  <si>
    <t>joshua.martinez484@yahoo.com</t>
  </si>
  <si>
    <t>andrew.lee485@yahoo.com</t>
  </si>
  <si>
    <t>andrew.thomas486@gmail.com</t>
  </si>
  <si>
    <t>mia.young487@gmail.com</t>
  </si>
  <si>
    <t>ava.taylor488@yahoo.com</t>
  </si>
  <si>
    <t>peter.young489@gmail.com</t>
  </si>
  <si>
    <t>lily.lewis490@hotmail.com</t>
  </si>
  <si>
    <t>sophia.brown491@outlook.com</t>
  </si>
  <si>
    <t>steven.robinson492@outlook.com</t>
  </si>
  <si>
    <t>charlotte.brown493@outlook.com</t>
  </si>
  <si>
    <t>lucy.baker494@hotmail.com</t>
  </si>
  <si>
    <t>amelia.hill495@outlook.com</t>
  </si>
  <si>
    <t>john.white496@hotmail.com</t>
  </si>
  <si>
    <t>olivia.thompson497@hotmail.com</t>
  </si>
  <si>
    <t>laura.clark498@outlook.com</t>
  </si>
  <si>
    <t>emma.wright499@hotmail.com</t>
  </si>
  <si>
    <t>brian.thompson500@gmail.com</t>
  </si>
  <si>
    <t>mark.anderson501@hotmail.com</t>
  </si>
  <si>
    <t>george.scott502@outlook.com</t>
  </si>
  <si>
    <t>ava.garcia503@outlook.com</t>
  </si>
  <si>
    <t>lucy.lopez504@outlook.com</t>
  </si>
  <si>
    <t>emily.walker505@yahoo.com</t>
  </si>
  <si>
    <t>laura.clark506@gmail.com</t>
  </si>
  <si>
    <t>laura.martinez507@hotmail.com</t>
  </si>
  <si>
    <t>daniel.martinez508@outlook.com</t>
  </si>
  <si>
    <t>ella.lewis509@outlook.com</t>
  </si>
  <si>
    <t>mia.king510@gmail.com</t>
  </si>
  <si>
    <t>george.green511@outlook.com</t>
  </si>
  <si>
    <t>james.green512@yahoo.com</t>
  </si>
  <si>
    <t>kevin.white513@gmail.com</t>
  </si>
  <si>
    <t>zoe.baker514@hotmail.com</t>
  </si>
  <si>
    <t>emily.jackson515@hotmail.com</t>
  </si>
  <si>
    <t>john.lopez516@gmail.com</t>
  </si>
  <si>
    <t>anthony.rodriguez517@gmail.com</t>
  </si>
  <si>
    <t>joshua.harris518@outlook.com</t>
  </si>
  <si>
    <t>george.robinson519@gmail.com</t>
  </si>
  <si>
    <t>george.garcia520@gmail.com</t>
  </si>
  <si>
    <t>robert.scott521@hotmail.com</t>
  </si>
  <si>
    <t>david.hall522@hotmail.com</t>
  </si>
  <si>
    <t>lucy.harris523@hotmail.com</t>
  </si>
  <si>
    <t>edward.allen524@gmail.com</t>
  </si>
  <si>
    <t>ryan.allen525@yahoo.com</t>
  </si>
  <si>
    <t>lucy.king526@gmail.com</t>
  </si>
  <si>
    <t>amelia.brown527@hotmail.com</t>
  </si>
  <si>
    <t>edward.young528@gmail.com</t>
  </si>
  <si>
    <t>ella.adams529@hotmail.com</t>
  </si>
  <si>
    <t>isabella.lewis530@hotmail.com</t>
  </si>
  <si>
    <t>chloe.johnson531@hotmail.com</t>
  </si>
  <si>
    <t>lily.taylor532@outlook.com</t>
  </si>
  <si>
    <t>olivia.taylor533@yahoo.com</t>
  </si>
  <si>
    <t>john.harris534@hotmail.com</t>
  </si>
  <si>
    <t>david.walker535@outlook.com</t>
  </si>
  <si>
    <t>edward.rodriguez536@gmail.com</t>
  </si>
  <si>
    <t>david.jackson537@yahoo.com</t>
  </si>
  <si>
    <t>edward.lee538@yahoo.com</t>
  </si>
  <si>
    <t>amelia.lopez539@outlook.com</t>
  </si>
  <si>
    <t>ella.wright540@outlook.com</t>
  </si>
  <si>
    <t>paul.thomas541@hotmail.com</t>
  </si>
  <si>
    <t>paul.robinson542@gmail.com</t>
  </si>
  <si>
    <t>jessica.anderson543@outlook.com</t>
  </si>
  <si>
    <t>michael.baker544@gmail.com</t>
  </si>
  <si>
    <t>edward.garcia545@yahoo.com</t>
  </si>
  <si>
    <t>chloe.jackson546@yahoo.com</t>
  </si>
  <si>
    <t>george.hall547@hotmail.com</t>
  </si>
  <si>
    <t>zoe.anderson548@hotmail.com</t>
  </si>
  <si>
    <t>robert.jackson549@gmail.com</t>
  </si>
  <si>
    <t>charlotte.walker550@gmail.com</t>
  </si>
  <si>
    <t>sophia.green551@outlook.com</t>
  </si>
  <si>
    <t>hannah.king552@gmail.com</t>
  </si>
  <si>
    <t>anna.lee553@hotmail.com</t>
  </si>
  <si>
    <t>anthony.thompson554@outlook.com</t>
  </si>
  <si>
    <t>ella.martin555@yahoo.com</t>
  </si>
  <si>
    <t>hannah.rodriguez556@gmail.com</t>
  </si>
  <si>
    <t>amelia.rodriguez557@outlook.com</t>
  </si>
  <si>
    <t>john.robinson558@hotmail.com</t>
  </si>
  <si>
    <t>michael.martin559@gmail.com</t>
  </si>
  <si>
    <t>chloe.robinson560@gmail.com</t>
  </si>
  <si>
    <t>emily.walker561@yahoo.com</t>
  </si>
  <si>
    <t>sophia.hall562@yahoo.com</t>
  </si>
  <si>
    <t>isabella.garcia563@gmail.com</t>
  </si>
  <si>
    <t>olivia.baker564@gmail.com</t>
  </si>
  <si>
    <t>charlotte.thompson565@hotmail.com</t>
  </si>
  <si>
    <t>steven.hall566@yahoo.com</t>
  </si>
  <si>
    <t>andrew.king567@hotmail.com</t>
  </si>
  <si>
    <t>isabella.hall568@outlook.com</t>
  </si>
  <si>
    <t>charlotte.brown569@outlook.com</t>
  </si>
  <si>
    <t>hannah.anderson570@hotmail.com</t>
  </si>
  <si>
    <t>olivia.lopez571@yahoo.com</t>
  </si>
  <si>
    <t>steven.johnson572@outlook.com</t>
  </si>
  <si>
    <t>andrew.green573@outlook.com</t>
  </si>
  <si>
    <t>emma.white574@outlook.com</t>
  </si>
  <si>
    <t>jessica.white575@yahoo.com</t>
  </si>
  <si>
    <t>michael.jackson576@hotmail.com</t>
  </si>
  <si>
    <t>daniel.lopez577@hotmail.com</t>
  </si>
  <si>
    <t>laura.taylor578@hotmail.com</t>
  </si>
  <si>
    <t>zoe.harris579@yahoo.com</t>
  </si>
  <si>
    <t>william.king580@yahoo.com</t>
  </si>
  <si>
    <t>ella.rodriguez581@yahoo.com</t>
  </si>
  <si>
    <t>isabella.garcia582@yahoo.com</t>
  </si>
  <si>
    <t>kevin.white583@hotmail.com</t>
  </si>
  <si>
    <t>amelia.scott584@hotmail.com</t>
  </si>
  <si>
    <t>mark.green585@gmail.com</t>
  </si>
  <si>
    <t>peter.baker586@gmail.com</t>
  </si>
  <si>
    <t>mia.king587@yahoo.com</t>
  </si>
  <si>
    <t>emma.anderson588@yahoo.com</t>
  </si>
  <si>
    <t>daniel.harris589@yahoo.com</t>
  </si>
  <si>
    <t>andrew.thompson590@yahoo.com</t>
  </si>
  <si>
    <t>jessica.young591@hotmail.com</t>
  </si>
  <si>
    <t>hannah.johnson592@gmail.com</t>
  </si>
  <si>
    <t>steven.allen593@yahoo.com</t>
  </si>
  <si>
    <t>sophia.king594@gmail.com</t>
  </si>
  <si>
    <t>paul.brown595@hotmail.com</t>
  </si>
  <si>
    <t>sophia.robinson596@outlook.com</t>
  </si>
  <si>
    <t>anna.lopez597@outlook.com</t>
  </si>
  <si>
    <t>ryan.baker598@outlook.com</t>
  </si>
  <si>
    <t>laura.martinez599@yahoo.com</t>
  </si>
  <si>
    <t>thomas.johnson600@outlook.com</t>
  </si>
  <si>
    <t>robert.scott601@outlook.com</t>
  </si>
  <si>
    <t>peter.robinson602@outlook.com</t>
  </si>
  <si>
    <t>anna.green603@hotmail.com</t>
  </si>
  <si>
    <t>lucy.scott604@hotmail.com</t>
  </si>
  <si>
    <t>grace.thompson605@outlook.com</t>
  </si>
  <si>
    <t>sarah.anderson606@hotmail.com</t>
  </si>
  <si>
    <t>edward.adams607@gmail.com</t>
  </si>
  <si>
    <t>olivia.baker608@hotmail.com</t>
  </si>
  <si>
    <t>david.lewis609@hotmail.com</t>
  </si>
  <si>
    <t>brian.thompson610@gmail.com</t>
  </si>
  <si>
    <t>ella.garcia611@gmail.com</t>
  </si>
  <si>
    <t>kevin.lopez612@gmail.com</t>
  </si>
  <si>
    <t>ava.lopez613@yahoo.com</t>
  </si>
  <si>
    <t>peter.clark614@gmail.com</t>
  </si>
  <si>
    <t>sophia.robinson615@yahoo.com</t>
  </si>
  <si>
    <t>kevin.adams616@gmail.com</t>
  </si>
  <si>
    <t>mia.walker617@gmail.com</t>
  </si>
  <si>
    <t>william.scott618@hotmail.com</t>
  </si>
  <si>
    <t>ryan.jackson619@gmail.com</t>
  </si>
  <si>
    <t>steven.lee620@gmail.com</t>
  </si>
  <si>
    <t>sophia.brown621@yahoo.com</t>
  </si>
  <si>
    <t>william.martin622@gmail.com</t>
  </si>
  <si>
    <t>daniel.allen623@gmail.com</t>
  </si>
  <si>
    <t>george.thompson624@gmail.com</t>
  </si>
  <si>
    <t>john.harris625@outlook.com</t>
  </si>
  <si>
    <t>amelia.adams626@outlook.com</t>
  </si>
  <si>
    <t>george.garcia627@gmail.com</t>
  </si>
  <si>
    <t>john.thomas628@outlook.com</t>
  </si>
  <si>
    <t>george.johnson629@yahoo.com</t>
  </si>
  <si>
    <t>emily.white630@yahoo.com</t>
  </si>
  <si>
    <t>robert.rodriguez631@gmail.com</t>
  </si>
  <si>
    <t>mark.walker632@outlook.com</t>
  </si>
  <si>
    <t>lily.scott633@hotmail.com</t>
  </si>
  <si>
    <t>emily.anderson634@outlook.com</t>
  </si>
  <si>
    <t>zoe.smith635@gmail.com</t>
  </si>
  <si>
    <t>steven.garcia636@outlook.com</t>
  </si>
  <si>
    <t>joshua.green637@yahoo.com</t>
  </si>
  <si>
    <t>ava.anderson638@hotmail.com</t>
  </si>
  <si>
    <t>sophia.martinez639@hotmail.com</t>
  </si>
  <si>
    <t>amelia.thomas640@yahoo.com</t>
  </si>
  <si>
    <t>edward.adams641@gmail.com</t>
  </si>
  <si>
    <t>jessica.baker642@yahoo.com</t>
  </si>
  <si>
    <t>mark.harris643@hotmail.com</t>
  </si>
  <si>
    <t>mark.king644@yahoo.com</t>
  </si>
  <si>
    <t>kevin.rodriguez645@outlook.com</t>
  </si>
  <si>
    <t>joshua.walker646@yahoo.com</t>
  </si>
  <si>
    <t>mia.lee647@yahoo.com</t>
  </si>
  <si>
    <t>emma.walker648@outlook.com</t>
  </si>
  <si>
    <t>emma.rodriguez649@yahoo.com</t>
  </si>
  <si>
    <t>sarah.baker650@yahoo.com</t>
  </si>
  <si>
    <t>emily.green651@yahoo.com</t>
  </si>
  <si>
    <t>lucy.martinez652@yahoo.com</t>
  </si>
  <si>
    <t>charlotte.smith653@hotmail.com</t>
  </si>
  <si>
    <t>john.lee654@yahoo.com</t>
  </si>
  <si>
    <t>george.brown655@gmail.com</t>
  </si>
  <si>
    <t>lucy.scott656@yahoo.com</t>
  </si>
  <si>
    <t>james.brown657@hotmail.com</t>
  </si>
  <si>
    <t>paul.hill658@hotmail.com</t>
  </si>
  <si>
    <t>john.white659@outlook.com</t>
  </si>
  <si>
    <t>hannah.brown660@outlook.com</t>
  </si>
  <si>
    <t>paul.johnson661@hotmail.com</t>
  </si>
  <si>
    <t>robert.robinson662@outlook.com</t>
  </si>
  <si>
    <t>sarah.lewis663@gmail.com</t>
  </si>
  <si>
    <t>mia.hall664@gmail.com</t>
  </si>
  <si>
    <t>edward.garcia665@yahoo.com</t>
  </si>
  <si>
    <t>edward.jackson666@outlook.com</t>
  </si>
  <si>
    <t>jessica.martin667@hotmail.com</t>
  </si>
  <si>
    <t>george.rodriguez668@gmail.com</t>
  </si>
  <si>
    <t>isabella.jackson669@yahoo.com</t>
  </si>
  <si>
    <t>ava.scott670@yahoo.com</t>
  </si>
  <si>
    <t>sarah.hall671@hotmail.com</t>
  </si>
  <si>
    <t>george.martinez672@gmail.com</t>
  </si>
  <si>
    <t>laura.thomas673@yahoo.com</t>
  </si>
  <si>
    <t>andrew.brown674@gmail.com</t>
  </si>
  <si>
    <t>michael.martin675@yahoo.com</t>
  </si>
  <si>
    <t>mia.garcia676@outlook.com</t>
  </si>
  <si>
    <t>steven.garcia677@hotmail.com</t>
  </si>
  <si>
    <t>chloe.hall678@gmail.com</t>
  </si>
  <si>
    <t>edward.hill679@gmail.com</t>
  </si>
  <si>
    <t>charlotte.taylor680@hotmail.com</t>
  </si>
  <si>
    <t>sophia.white681@hotmail.com</t>
  </si>
  <si>
    <t>isabella.baker682@gmail.com</t>
  </si>
  <si>
    <t>james.johnson683@hotmail.com</t>
  </si>
  <si>
    <t>william.anderson684@hotmail.com</t>
  </si>
  <si>
    <t>chloe.jackson685@outlook.com</t>
  </si>
  <si>
    <t>peter.adams686@yahoo.com</t>
  </si>
  <si>
    <t>emily.allen687@outlook.com</t>
  </si>
  <si>
    <t>jessica.scott688@yahoo.com</t>
  </si>
  <si>
    <t>lily.young689@yahoo.com</t>
  </si>
  <si>
    <t>james.jackson690@hotmail.com</t>
  </si>
  <si>
    <t>james.robinson691@yahoo.com</t>
  </si>
  <si>
    <t>ryan.lewis692@gmail.com</t>
  </si>
  <si>
    <t>lily.allen693@outlook.com</t>
  </si>
  <si>
    <t>lily.young694@yahoo.com</t>
  </si>
  <si>
    <t>anna.martin695@gmail.com</t>
  </si>
  <si>
    <t>brian.white696@yahoo.com</t>
  </si>
  <si>
    <t>joshua.lopez697@gmail.com</t>
  </si>
  <si>
    <t>mark.thomas698@hotmail.com</t>
  </si>
  <si>
    <t>grace.green699@gmail.com</t>
  </si>
  <si>
    <t>brian.king700@hotmail.com</t>
  </si>
  <si>
    <t>james.hill701@hotmail.com</t>
  </si>
  <si>
    <t>brian.hill702@hotmail.com</t>
  </si>
  <si>
    <t>william.smith703@yahoo.com</t>
  </si>
  <si>
    <t>joshua.taylor704@yahoo.com</t>
  </si>
  <si>
    <t>william.jackson705@hotmail.com</t>
  </si>
  <si>
    <t>hannah.robinson706@hotmail.com</t>
  </si>
  <si>
    <t>grace.clark707@outlook.com</t>
  </si>
  <si>
    <t>joshua.robinson708@gmail.com</t>
  </si>
  <si>
    <t>george.anderson709@outlook.com</t>
  </si>
  <si>
    <t>zoe.lewis710@outlook.com</t>
  </si>
  <si>
    <t>robert.lee711@outlook.com</t>
  </si>
  <si>
    <t>steven.hill712@outlook.com</t>
  </si>
  <si>
    <t>ryan.martinez713@gmail.com</t>
  </si>
  <si>
    <t>kevin.thomas714@outlook.com</t>
  </si>
  <si>
    <t>emily.young715@hotmail.com</t>
  </si>
  <si>
    <t>anna.robinson716@hotmail.com</t>
  </si>
  <si>
    <t>peter.lewis717@outlook.com</t>
  </si>
  <si>
    <t>anthony.scott718@hotmail.com</t>
  </si>
  <si>
    <t>mark.baker719@gmail.com</t>
  </si>
  <si>
    <t>john.scott720@hotmail.com</t>
  </si>
  <si>
    <t>michael.taylor721@hotmail.com</t>
  </si>
  <si>
    <t>grace.anderson722@outlook.com</t>
  </si>
  <si>
    <t>george.thompson723@outlook.com</t>
  </si>
  <si>
    <t>anna.allen724@hotmail.com</t>
  </si>
  <si>
    <t>william.baker725@gmail.com</t>
  </si>
  <si>
    <t>robert.allen726@outlook.com</t>
  </si>
  <si>
    <t>grace.green727@yahoo.com</t>
  </si>
  <si>
    <t>andrew.garcia728@outlook.com</t>
  </si>
  <si>
    <t>james.robinson729@yahoo.com</t>
  </si>
  <si>
    <t>emma.walker730@yahoo.com</t>
  </si>
  <si>
    <t>daniel.hall731@gmail.com</t>
  </si>
  <si>
    <t>ella.harris732@outlook.com</t>
  </si>
  <si>
    <t>james.scott733@hotmail.com</t>
  </si>
  <si>
    <t>william.hill734@hotmail.com</t>
  </si>
  <si>
    <t>emma.wright735@outlook.com</t>
  </si>
  <si>
    <t>ryan.lopez736@gmail.com</t>
  </si>
  <si>
    <t>james.taylor737@outlook.com</t>
  </si>
  <si>
    <t>grace.lewis738@hotmail.com</t>
  </si>
  <si>
    <t>zoe.johnson739@gmail.com</t>
  </si>
  <si>
    <t>zoe.green740@hotmail.com</t>
  </si>
  <si>
    <t>zoe.baker741@hotmail.com</t>
  </si>
  <si>
    <t>emma.lewis742@outlook.com</t>
  </si>
  <si>
    <t>paul.robinson743@hotmail.com</t>
  </si>
  <si>
    <t>amelia.martin744@gmail.com</t>
  </si>
  <si>
    <t>andrew.johnson745@outlook.com</t>
  </si>
  <si>
    <t>sarah.wright746@hotmail.com</t>
  </si>
  <si>
    <t>anthony.garcia747@yahoo.com</t>
  </si>
  <si>
    <t>john.green748@outlook.com</t>
  </si>
  <si>
    <t>edward.king749@hotmail.com</t>
  </si>
  <si>
    <t>emma.lopez750@gmail.com</t>
  </si>
  <si>
    <t>john.thompson751@yahoo.com</t>
  </si>
  <si>
    <t>anna.clark752@outlook.com</t>
  </si>
  <si>
    <t>anna.harris753@hotmail.com</t>
  </si>
  <si>
    <t>ryan.thompson754@gmail.com</t>
  </si>
  <si>
    <t>michael.young755@hotmail.com</t>
  </si>
  <si>
    <t>chloe.johnson756@outlook.com</t>
  </si>
  <si>
    <t>andrew.walker757@hotmail.com</t>
  </si>
  <si>
    <t>amelia.allen758@gmail.com</t>
  </si>
  <si>
    <t>jessica.wright759@hotmail.com</t>
  </si>
  <si>
    <t>charlotte.adams760@outlook.com</t>
  </si>
  <si>
    <t>ella.harris761@outlook.com</t>
  </si>
  <si>
    <t>isabella.green762@outlook.com</t>
  </si>
  <si>
    <t>mia.brown763@yahoo.com</t>
  </si>
  <si>
    <t>grace.rodriguez764@outlook.com</t>
  </si>
  <si>
    <t>isabella.thompson765@hotmail.com</t>
  </si>
  <si>
    <t>ella.king766@hotmail.com</t>
  </si>
  <si>
    <t>john.rodriguez767@outlook.com</t>
  </si>
  <si>
    <t>sophia.brown768@hotmail.com</t>
  </si>
  <si>
    <t>zoe.martin769@gmail.com</t>
  </si>
  <si>
    <t>robert.lopez770@yahoo.com</t>
  </si>
  <si>
    <t>olivia.king771@gmail.com</t>
  </si>
  <si>
    <t>emily.robinson772@yahoo.com</t>
  </si>
  <si>
    <t>charlotte.young773@hotmail.com</t>
  </si>
  <si>
    <t>john.wright774@hotmail.com</t>
  </si>
  <si>
    <t>charlotte.scott775@outlook.com</t>
  </si>
  <si>
    <t>james.lewis776@gmail.com</t>
  </si>
  <si>
    <t>charlotte.clark777@gmail.com</t>
  </si>
  <si>
    <t>paul.white778@yahoo.com</t>
  </si>
  <si>
    <t>thomas.king779@hotmail.com</t>
  </si>
  <si>
    <t>joshua.thompson780@hotmail.com</t>
  </si>
  <si>
    <t>brian.adams781@yahoo.com</t>
  </si>
  <si>
    <t>mark.wright782@outlook.com</t>
  </si>
  <si>
    <t>laura.walker783@hotmail.com</t>
  </si>
  <si>
    <t>amelia.adams784@yahoo.com</t>
  </si>
  <si>
    <t>ryan.harris785@yahoo.com</t>
  </si>
  <si>
    <t>olivia.harris786@gmail.com</t>
  </si>
  <si>
    <t>anna.thomas787@outlook.com</t>
  </si>
  <si>
    <t>thomas.white788@outlook.com</t>
  </si>
  <si>
    <t>daniel.martin789@gmail.com</t>
  </si>
  <si>
    <t>laura.thompson790@outlook.com</t>
  </si>
  <si>
    <t>peter.lee791@yahoo.com</t>
  </si>
  <si>
    <t>kevin.robinson792@gmail.com</t>
  </si>
  <si>
    <t>george.brown793@yahoo.com</t>
  </si>
  <si>
    <t>thomas.lewis794@outlook.com</t>
  </si>
  <si>
    <t>zoe.thompson795@gmail.com</t>
  </si>
  <si>
    <t>kevin.green796@outlook.com</t>
  </si>
  <si>
    <t>kevin.baker797@yahoo.com</t>
  </si>
  <si>
    <t>ryan.green798@yahoo.com</t>
  </si>
  <si>
    <t>michael.scott799@gmail.com</t>
  </si>
  <si>
    <t>sophia.young800@hotmail.com</t>
  </si>
  <si>
    <t>andrew.wright801@gmail.com</t>
  </si>
  <si>
    <t>james.garcia802@hotmail.com</t>
  </si>
  <si>
    <t>peter.thomas803@hotmail.com</t>
  </si>
  <si>
    <t>daniel.adams804@outlook.com</t>
  </si>
  <si>
    <t>steven.lopez805@hotmail.com</t>
  </si>
  <si>
    <t>andrew.johnson806@hotmail.com</t>
  </si>
  <si>
    <t>james.harris807@gmail.com</t>
  </si>
  <si>
    <t>hannah.garcia808@outlook.com</t>
  </si>
  <si>
    <t>thomas.taylor809@hotmail.com</t>
  </si>
  <si>
    <t>david.scott810@gmail.com</t>
  </si>
  <si>
    <t>sophia.clark811@yahoo.com</t>
  </si>
  <si>
    <t>hannah.wright812@outlook.com</t>
  </si>
  <si>
    <t>ryan.anderson813@yahoo.com</t>
  </si>
  <si>
    <t>john.green814@outlook.com</t>
  </si>
  <si>
    <t>andrew.thomas815@gmail.com</t>
  </si>
  <si>
    <t>emma.lewis816@yahoo.com</t>
  </si>
  <si>
    <t>emily.taylor817@outlook.com</t>
  </si>
  <si>
    <t>robert.smith818@gmail.com</t>
  </si>
  <si>
    <t>robert.taylor819@yahoo.com</t>
  </si>
  <si>
    <t>lily.lopez820@gmail.com</t>
  </si>
  <si>
    <t>daniel.jackson821@gmail.com</t>
  </si>
  <si>
    <t>anthony.smith822@hotmail.com</t>
  </si>
  <si>
    <t>zoe.clark823@hotmail.com</t>
  </si>
  <si>
    <t>sophia.harris824@yahoo.com</t>
  </si>
  <si>
    <t>grace.baker825@outlook.com</t>
  </si>
  <si>
    <t>mark.thompson826@outlook.com</t>
  </si>
  <si>
    <t>zoe.lewis827@yahoo.com</t>
  </si>
  <si>
    <t>steven.martin828@hotmail.com</t>
  </si>
  <si>
    <t>sophia.clark829@outlook.com</t>
  </si>
  <si>
    <t>michael.walker830@gmail.com</t>
  </si>
  <si>
    <t>paul.martinez831@outlook.com</t>
  </si>
  <si>
    <t>brian.hall832@hotmail.com</t>
  </si>
  <si>
    <t>emma.jackson833@outlook.com</t>
  </si>
  <si>
    <t>kevin.young834@outlook.com</t>
  </si>
  <si>
    <t>robert.jackson835@yahoo.com</t>
  </si>
  <si>
    <t>joshua.king836@hotmail.com</t>
  </si>
  <si>
    <t>john.white837@yahoo.com</t>
  </si>
  <si>
    <t>george.green838@yahoo.com</t>
  </si>
  <si>
    <t>jessica.hall839@gmail.com</t>
  </si>
  <si>
    <t>olivia.lee840@hotmail.com</t>
  </si>
  <si>
    <t>william.hill841@outlook.com</t>
  </si>
  <si>
    <t>thomas.jackson842@outlook.com</t>
  </si>
  <si>
    <t>robert.martin843@gmail.com</t>
  </si>
  <si>
    <t>anna.baker844@outlook.com</t>
  </si>
  <si>
    <t>james.wright845@gmail.com</t>
  </si>
  <si>
    <t>james.allen846@yahoo.com</t>
  </si>
  <si>
    <t>mark.allen847@gmail.com</t>
  </si>
  <si>
    <t>robert.lopez848@gmail.com</t>
  </si>
  <si>
    <t>hannah.young849@yahoo.com</t>
  </si>
  <si>
    <t>william.martinez850@gmail.com</t>
  </si>
  <si>
    <t>charlotte.king851@yahoo.com</t>
  </si>
  <si>
    <t>thomas.anderson852@hotmail.com</t>
  </si>
  <si>
    <t>ava.johnson853@yahoo.com</t>
  </si>
  <si>
    <t>lily.white854@yahoo.com</t>
  </si>
  <si>
    <t>emma.lopez855@yahoo.com</t>
  </si>
  <si>
    <t>emily.white856@yahoo.com</t>
  </si>
  <si>
    <t>lily.lewis857@outlook.com</t>
  </si>
  <si>
    <t>john.wright858@hotmail.com</t>
  </si>
  <si>
    <t>john.lee859@hotmail.com</t>
  </si>
  <si>
    <t>lucy.scott860@outlook.com</t>
  </si>
  <si>
    <t>kevin.wright861@hotmail.com</t>
  </si>
  <si>
    <t>paul.clark862@yahoo.com</t>
  </si>
  <si>
    <t>peter.young863@gmail.com</t>
  </si>
  <si>
    <t>amelia.martinez864@yahoo.com</t>
  </si>
  <si>
    <t>edward.lopez865@yahoo.com</t>
  </si>
  <si>
    <t>laura.brown866@outlook.com</t>
  </si>
  <si>
    <t>zoe.thompson867@hotmail.com</t>
  </si>
  <si>
    <t>peter.johnson868@hotmail.com</t>
  </si>
  <si>
    <t>charlotte.harris869@outlook.com</t>
  </si>
  <si>
    <t>mia.king870@outlook.com</t>
  </si>
  <si>
    <t>zoe.smith871@hotmail.com</t>
  </si>
  <si>
    <t>thomas.hill872@gmail.com</t>
  </si>
  <si>
    <t>hannah.anderson873@yahoo.com</t>
  </si>
  <si>
    <t>lucy.young874@yahoo.com</t>
  </si>
  <si>
    <t>sarah.lopez875@gmail.com</t>
  </si>
  <si>
    <t>mia.garcia876@hotmail.com</t>
  </si>
  <si>
    <t>david.jackson877@gmail.com</t>
  </si>
  <si>
    <t>david.hill878@yahoo.com</t>
  </si>
  <si>
    <t>john.martinez879@gmail.com</t>
  </si>
  <si>
    <t>sophia.johnson880@outlook.com</t>
  </si>
  <si>
    <t>ella.clark881@yahoo.com</t>
  </si>
  <si>
    <t>isabella.thomas882@yahoo.com</t>
  </si>
  <si>
    <t>james.allen883@yahoo.com</t>
  </si>
  <si>
    <t>william.white884@yahoo.com</t>
  </si>
  <si>
    <t>ava.lewis885@outlook.com</t>
  </si>
  <si>
    <t>olivia.harris886@outlook.com</t>
  </si>
  <si>
    <t>ava.rodriguez887@yahoo.com</t>
  </si>
  <si>
    <t>mia.jackson888@yahoo.com</t>
  </si>
  <si>
    <t>mia.thomas889@hotmail.com</t>
  </si>
  <si>
    <t>edward.robinson890@gmail.com</t>
  </si>
  <si>
    <t>mark.jackson891@hotmail.com</t>
  </si>
  <si>
    <t>grace.lee892@outlook.com</t>
  </si>
  <si>
    <t>andrew.taylor893@outlook.com</t>
  </si>
  <si>
    <t>isabella.white894@hotmail.com</t>
  </si>
  <si>
    <t>grace.robinson895@outlook.com</t>
  </si>
  <si>
    <t>david.anderson896@gmail.com</t>
  </si>
  <si>
    <t>emma.allen897@outlook.com</t>
  </si>
  <si>
    <t>brian.walker898@gmail.com</t>
  </si>
  <si>
    <t>steven.rodriguez899@hotmail.com</t>
  </si>
  <si>
    <t>peter.allen900@gmail.com</t>
  </si>
  <si>
    <t>zoe.martinez901@outlook.com</t>
  </si>
  <si>
    <t>thomas.thomas902@outlook.com</t>
  </si>
  <si>
    <t>lily.lee903@yahoo.com</t>
  </si>
  <si>
    <t>brian.lee904@gmail.com</t>
  </si>
  <si>
    <t>brian.robinson905@outlook.com</t>
  </si>
  <si>
    <t>ava.robinson906@yahoo.com</t>
  </si>
  <si>
    <t>isabella.lee907@outlook.com</t>
  </si>
  <si>
    <t>isabella.thomas908@hotmail.com</t>
  </si>
  <si>
    <t>zoe.taylor909@yahoo.com</t>
  </si>
  <si>
    <t>joshua.martin910@yahoo.com</t>
  </si>
  <si>
    <t>mia.green911@gmail.com</t>
  </si>
  <si>
    <t>ella.white912@hotmail.com</t>
  </si>
  <si>
    <t>amelia.wright913@yahoo.com</t>
  </si>
  <si>
    <t>thomas.white914@hotmail.com</t>
  </si>
  <si>
    <t>steven.thomas915@hotmail.com</t>
  </si>
  <si>
    <t>anna.anderson916@hotmail.com</t>
  </si>
  <si>
    <t>jessica.walker917@yahoo.com</t>
  </si>
  <si>
    <t>michael.lopez918@yahoo.com</t>
  </si>
  <si>
    <t>peter.brown919@outlook.com</t>
  </si>
  <si>
    <t>john.thompson920@hotmail.com</t>
  </si>
  <si>
    <t>sarah.garcia921@hotmail.com</t>
  </si>
  <si>
    <t>mia.smith922@yahoo.com</t>
  </si>
  <si>
    <t>andrew.johnson923@yahoo.com</t>
  </si>
  <si>
    <t>sophia.martin924@yahoo.com</t>
  </si>
  <si>
    <t>mark.baker925@yahoo.com</t>
  </si>
  <si>
    <t>anna.hill926@yahoo.com</t>
  </si>
  <si>
    <t>jessica.harris927@outlook.com</t>
  </si>
  <si>
    <t>john.garcia928@hotmail.com</t>
  </si>
  <si>
    <t>ella.green929@hotmail.com</t>
  </si>
  <si>
    <t>paul.taylor930@outlook.com</t>
  </si>
  <si>
    <t>chloe.garcia931@gmail.com</t>
  </si>
  <si>
    <t>sarah.anderson932@yahoo.com</t>
  </si>
  <si>
    <t>laura.scott933@outlook.com</t>
  </si>
  <si>
    <t>steven.hall934@yahoo.com</t>
  </si>
  <si>
    <t>james.young935@yahoo.com</t>
  </si>
  <si>
    <t>laura.martin936@outlook.com</t>
  </si>
  <si>
    <t>james.clark937@gmail.com</t>
  </si>
  <si>
    <t>mark.clark938@outlook.com</t>
  </si>
  <si>
    <t>laura.white939@outlook.com</t>
  </si>
  <si>
    <t>ryan.lewis940@yahoo.com</t>
  </si>
  <si>
    <t>sophia.smith941@hotmail.com</t>
  </si>
  <si>
    <t>william.lewis942@yahoo.com</t>
  </si>
  <si>
    <t>edward.smith943@outlook.com</t>
  </si>
  <si>
    <t>charlotte.king944@yahoo.com</t>
  </si>
  <si>
    <t>john.hill945@hotmail.com</t>
  </si>
  <si>
    <t>ava.harris946@outlook.com</t>
  </si>
  <si>
    <t>chloe.lewis947@hotmail.com</t>
  </si>
  <si>
    <t>daniel.scott948@gmail.com</t>
  </si>
  <si>
    <t>brian.anderson949@hotmail.com</t>
  </si>
  <si>
    <t>mia.white950@gmail.com</t>
  </si>
  <si>
    <t>mark.johnson951@hotmail.com</t>
  </si>
  <si>
    <t>lucy.lee952@hotmail.com</t>
  </si>
  <si>
    <t>george.allen953@hotmail.com</t>
  </si>
  <si>
    <t>ryan.brown954@gmail.com</t>
  </si>
  <si>
    <t>isabella.thomas955@yahoo.com</t>
  </si>
  <si>
    <t>ella.brown956@yahoo.com</t>
  </si>
  <si>
    <t>grace.baker957@gmail.com</t>
  </si>
  <si>
    <t>james.baker958@yahoo.com</t>
  </si>
  <si>
    <t>zoe.white959@outlook.com</t>
  </si>
  <si>
    <t>paul.clark960@yahoo.com</t>
  </si>
  <si>
    <t>jessica.adams961@gmail.com</t>
  </si>
  <si>
    <t>robert.baker962@yahoo.com</t>
  </si>
  <si>
    <t>daniel.scott963@yahoo.com</t>
  </si>
  <si>
    <t>sarah.king964@outlook.com</t>
  </si>
  <si>
    <t>daniel.young965@hotmail.com</t>
  </si>
  <si>
    <t>emma.martin966@yahoo.com</t>
  </si>
  <si>
    <t>edward.lopez967@hotmail.com</t>
  </si>
  <si>
    <t>lucy.scott968@hotmail.com</t>
  </si>
  <si>
    <t>andrew.white969@hotmail.com</t>
  </si>
  <si>
    <t>sophia.baker970@yahoo.com</t>
  </si>
  <si>
    <t>david.king971@gmail.com</t>
  </si>
  <si>
    <t>mark.jackson972@outlook.com</t>
  </si>
  <si>
    <t>george.thompson973@outlook.com</t>
  </si>
  <si>
    <t>amelia.king974@yahoo.com</t>
  </si>
  <si>
    <t>andrew.robinson975@gmail.com</t>
  </si>
  <si>
    <t>sophia.thomas976@outlook.com</t>
  </si>
  <si>
    <t>ella.thompson977@hotmail.com</t>
  </si>
  <si>
    <t>steven.adams978@yahoo.com</t>
  </si>
  <si>
    <t>thomas.garcia979@outlook.com</t>
  </si>
  <si>
    <t>isabella.lewis980@outlook.com</t>
  </si>
  <si>
    <t>ryan.thomas981@yahoo.com</t>
  </si>
  <si>
    <t>chloe.lee982@hotmail.com</t>
  </si>
  <si>
    <t>Joshua Green</t>
  </si>
  <si>
    <t>Amelia Martin</t>
  </si>
  <si>
    <t>David Martinez</t>
  </si>
  <si>
    <t>Ella Taylor</t>
  </si>
  <si>
    <t>Steven Rodriguez</t>
  </si>
  <si>
    <t>Thomas Young</t>
  </si>
  <si>
    <t>Lily Johnson</t>
  </si>
  <si>
    <t>Chloe Wright</t>
  </si>
  <si>
    <t>Daniel Lewis</t>
  </si>
  <si>
    <t>Isabella Jackson</t>
  </si>
  <si>
    <t>Joshua Hall</t>
  </si>
  <si>
    <t>Anna Garcia</t>
  </si>
  <si>
    <t>Steven Scott</t>
  </si>
  <si>
    <t>Mia Jackson</t>
  </si>
  <si>
    <t>William Johnson</t>
  </si>
  <si>
    <t>Ryan White</t>
  </si>
  <si>
    <t>Paul Garcia</t>
  </si>
  <si>
    <t>Emily Anderson</t>
  </si>
  <si>
    <t>Ava Young</t>
  </si>
  <si>
    <t>Mark Garcia</t>
  </si>
  <si>
    <t>Grace Johnson</t>
  </si>
  <si>
    <t>Ryan Baker</t>
  </si>
  <si>
    <t>Michael Young</t>
  </si>
  <si>
    <t>Zoe Lopez</t>
  </si>
  <si>
    <t>Edward Scott</t>
  </si>
  <si>
    <t>Peter Allen</t>
  </si>
  <si>
    <t>Daniel Hall</t>
  </si>
  <si>
    <t>Steven Adams</t>
  </si>
  <si>
    <t>Michael Johnson</t>
  </si>
  <si>
    <t>Isabella Wright</t>
  </si>
  <si>
    <t>Peter Martin</t>
  </si>
  <si>
    <t>James Smith</t>
  </si>
  <si>
    <t>Emily Walker</t>
  </si>
  <si>
    <t>Zoe Smith</t>
  </si>
  <si>
    <t>Peter Thompson</t>
  </si>
  <si>
    <t>Sarah Hill</t>
  </si>
  <si>
    <t>John Wright</t>
  </si>
  <si>
    <t>Kevin Rodriguez</t>
  </si>
  <si>
    <t>William Adams</t>
  </si>
  <si>
    <t>Mia White</t>
  </si>
  <si>
    <t>Sophia White</t>
  </si>
  <si>
    <t>Kevin Thompson</t>
  </si>
  <si>
    <t>Lily Lewis</t>
  </si>
  <si>
    <t>Sophia Thomas</t>
  </si>
  <si>
    <t>Mia Lewis</t>
  </si>
  <si>
    <t>Lucy Thomas</t>
  </si>
  <si>
    <t>Amelia Green</t>
  </si>
  <si>
    <t>Ava Adams</t>
  </si>
  <si>
    <t>Paul Brown</t>
  </si>
  <si>
    <t>Robert Taylor</t>
  </si>
  <si>
    <t>Ella Martinez</t>
  </si>
  <si>
    <t>Amelia Jackson</t>
  </si>
  <si>
    <t>Amelia Thomas</t>
  </si>
  <si>
    <t>Andrew Brown</t>
  </si>
  <si>
    <t>Steven Harris</t>
  </si>
  <si>
    <t>Anthony Hall</t>
  </si>
  <si>
    <t>Amelia Lewis</t>
  </si>
  <si>
    <t>Sarah Green</t>
  </si>
  <si>
    <t>Mark Adams</t>
  </si>
  <si>
    <t>Mark Hall</t>
  </si>
  <si>
    <t>Joshua Anderson</t>
  </si>
  <si>
    <t>Thomas Lee</t>
  </si>
  <si>
    <t>Andrew Walker</t>
  </si>
  <si>
    <t>Robert Adams</t>
  </si>
  <si>
    <t>Isabella Smith</t>
  </si>
  <si>
    <t>John Martinez</t>
  </si>
  <si>
    <t>James King</t>
  </si>
  <si>
    <t>Emily Smith</t>
  </si>
  <si>
    <t>William Thomas</t>
  </si>
  <si>
    <t>Ryan Martin</t>
  </si>
  <si>
    <t>Ava King</t>
  </si>
  <si>
    <t>Mia Scott</t>
  </si>
  <si>
    <t>Robert Garcia</t>
  </si>
  <si>
    <t>Amelia Harris</t>
  </si>
  <si>
    <t>Jessica Baker</t>
  </si>
  <si>
    <t>Emma King</t>
  </si>
  <si>
    <t>Joshua Hill</t>
  </si>
  <si>
    <t>Hannah Anderson</t>
  </si>
  <si>
    <t>Anthony Wright</t>
  </si>
  <si>
    <t>William Anderson</t>
  </si>
  <si>
    <t>Brian Robinson</t>
  </si>
  <si>
    <t>Andrew Smith</t>
  </si>
  <si>
    <t>Amelia Johnson</t>
  </si>
  <si>
    <t>John Rodriguez</t>
  </si>
  <si>
    <t>Mark Green</t>
  </si>
  <si>
    <t>Isabella Green</t>
  </si>
  <si>
    <t>Isabella Clark</t>
  </si>
  <si>
    <t>Olivia Johnson</t>
  </si>
  <si>
    <t>Chloe Adams</t>
  </si>
  <si>
    <t>Sarah King</t>
  </si>
  <si>
    <t>Hannah White</t>
  </si>
  <si>
    <t>Lily Allen</t>
  </si>
  <si>
    <t>Lucy Green</t>
  </si>
  <si>
    <t>Lucy Lopez</t>
  </si>
  <si>
    <t>George Allen</t>
  </si>
  <si>
    <t>Steven Clark</t>
  </si>
  <si>
    <t>Lucy Clark</t>
  </si>
  <si>
    <t>Emily Lee</t>
  </si>
  <si>
    <t>Mark Allen</t>
  </si>
  <si>
    <t>Kevin Lee</t>
  </si>
  <si>
    <t>James Baker</t>
  </si>
  <si>
    <t>Hannah Lee</t>
  </si>
  <si>
    <t>Kevin Lopez</t>
  </si>
  <si>
    <t>Joshua Harris</t>
  </si>
  <si>
    <t>James Adams</t>
  </si>
  <si>
    <t>James Harris</t>
  </si>
  <si>
    <t>Amelia Taylor</t>
  </si>
  <si>
    <t>David Wright</t>
  </si>
  <si>
    <t>Chloe Robinson</t>
  </si>
  <si>
    <t>Ella Adams</t>
  </si>
  <si>
    <t>Emma Thomas</t>
  </si>
  <si>
    <t>Grace Hill</t>
  </si>
  <si>
    <t>Anna Anderson</t>
  </si>
  <si>
    <t>Andrew Hall</t>
  </si>
  <si>
    <t>William Garcia</t>
  </si>
  <si>
    <t>Peter Rodriguez</t>
  </si>
  <si>
    <t>Anthony Hill</t>
  </si>
  <si>
    <t>Chloe Thomas</t>
  </si>
  <si>
    <t>Paul Lopez</t>
  </si>
  <si>
    <t>Lily Martin</t>
  </si>
  <si>
    <t>Lucy Thompson</t>
  </si>
  <si>
    <t>Steven Hill</t>
  </si>
  <si>
    <t>Anthony Thomas</t>
  </si>
  <si>
    <t>Amelia Walker</t>
  </si>
  <si>
    <t>David Lopez</t>
  </si>
  <si>
    <t>Sophia King</t>
  </si>
  <si>
    <t>Ryan Harris</t>
  </si>
  <si>
    <t>Anna King</t>
  </si>
  <si>
    <t>Charlotte Thomas</t>
  </si>
  <si>
    <t>Edward Baker</t>
  </si>
  <si>
    <t>Grace Lopez</t>
  </si>
  <si>
    <t>Sarah Johnson</t>
  </si>
  <si>
    <t>Emma Johnson</t>
  </si>
  <si>
    <t>Emily Garcia</t>
  </si>
  <si>
    <t>Lily Scott</t>
  </si>
  <si>
    <t>Thomas Anderson</t>
  </si>
  <si>
    <t>Olivia Robinson</t>
  </si>
  <si>
    <t>Daniel Thompson</t>
  </si>
  <si>
    <t>Andrew Robinson</t>
  </si>
  <si>
    <t>John Lopez</t>
  </si>
  <si>
    <t>Peter Hall</t>
  </si>
  <si>
    <t>John Anderson</t>
  </si>
  <si>
    <t>Mia Robinson</t>
  </si>
  <si>
    <t>Emma Brown</t>
  </si>
  <si>
    <t>Ava Clark</t>
  </si>
  <si>
    <t>Brian Lopez</t>
  </si>
  <si>
    <t>Hannah Adams</t>
  </si>
  <si>
    <t>Amelia Young</t>
  </si>
  <si>
    <t>Sarah Smith</t>
  </si>
  <si>
    <t>Chloe Garcia</t>
  </si>
  <si>
    <t>Steven Taylor</t>
  </si>
  <si>
    <t>Brian Anderson</t>
  </si>
  <si>
    <t>Charlotte Clark</t>
  </si>
  <si>
    <t>Jessica Jackson</t>
  </si>
  <si>
    <t>Steven Lewis</t>
  </si>
  <si>
    <t>Edward Walker</t>
  </si>
  <si>
    <t>Brian Thomas</t>
  </si>
  <si>
    <t>Anthony Martinez</t>
  </si>
  <si>
    <t>Jessica Anderson</t>
  </si>
  <si>
    <t>Paul Martinez</t>
  </si>
  <si>
    <t>Brian Wright</t>
  </si>
  <si>
    <t>Olivia Lewis</t>
  </si>
  <si>
    <t>Mia Anderson</t>
  </si>
  <si>
    <t>Jessica King</t>
  </si>
  <si>
    <t>Brian Thompson</t>
  </si>
  <si>
    <t>Daniel Smith</t>
  </si>
  <si>
    <t>Jessica Clark</t>
  </si>
  <si>
    <t>James Green</t>
  </si>
  <si>
    <t>Sophia Smith</t>
  </si>
  <si>
    <t>Daniel Walker</t>
  </si>
  <si>
    <t>Zoe Lee</t>
  </si>
  <si>
    <t>Laura Adams</t>
  </si>
  <si>
    <t>James Lee</t>
  </si>
  <si>
    <t>Kevin Walker</t>
  </si>
  <si>
    <t>Mia Thomas</t>
  </si>
  <si>
    <t>Daniel Anderson</t>
  </si>
  <si>
    <t>Amelia Lopez</t>
  </si>
  <si>
    <t>James Taylor</t>
  </si>
  <si>
    <t>Paul King</t>
  </si>
  <si>
    <t>John Martin</t>
  </si>
  <si>
    <t>Emma Lewis</t>
  </si>
  <si>
    <t>Ella Walker</t>
  </si>
  <si>
    <t>Michael Rodriguez</t>
  </si>
  <si>
    <t>Joshua White</t>
  </si>
  <si>
    <t>Paul Lewis</t>
  </si>
  <si>
    <t>Michael Hill</t>
  </si>
  <si>
    <t>John Walker</t>
  </si>
  <si>
    <t>Grace Harris</t>
  </si>
  <si>
    <t>Isabella King</t>
  </si>
  <si>
    <t>Amelia Adams</t>
  </si>
  <si>
    <t>Hannah Martin</t>
  </si>
  <si>
    <t>Lucy King</t>
  </si>
  <si>
    <t>James Brown</t>
  </si>
  <si>
    <t>Thomas Martin</t>
  </si>
  <si>
    <t>Olivia Taylor</t>
  </si>
  <si>
    <t>Lucy Hall</t>
  </si>
  <si>
    <t>Emma Lopez</t>
  </si>
  <si>
    <t>Paul Thompson</t>
  </si>
  <si>
    <t>Olivia Clark</t>
  </si>
  <si>
    <t>Ava Lewis</t>
  </si>
  <si>
    <t>Edward Garcia</t>
  </si>
  <si>
    <t>Brian Clark</t>
  </si>
  <si>
    <t>Andrew Jackson</t>
  </si>
  <si>
    <t>Steven Martin</t>
  </si>
  <si>
    <t>Robert King</t>
  </si>
  <si>
    <t>Jessica Wright</t>
  </si>
  <si>
    <t>Anthony Harris</t>
  </si>
  <si>
    <t>Thomas Brown</t>
  </si>
  <si>
    <t>David Garcia</t>
  </si>
  <si>
    <t>Kevin Allen</t>
  </si>
  <si>
    <t>Hannah Clark</t>
  </si>
  <si>
    <t>John Green</t>
  </si>
  <si>
    <t>Hannah King</t>
  </si>
  <si>
    <t>Anna Jackson</t>
  </si>
  <si>
    <t>Sarah Martinez</t>
  </si>
  <si>
    <t>Ava Jackson</t>
  </si>
  <si>
    <t>John Baker</t>
  </si>
  <si>
    <t>Edward Clark</t>
  </si>
  <si>
    <t>Anthony Lopez</t>
  </si>
  <si>
    <t>Ryan Anderson</t>
  </si>
  <si>
    <t>Ella Clark</t>
  </si>
  <si>
    <t>Thomas Robinson</t>
  </si>
  <si>
    <t>Mark Thomas</t>
  </si>
  <si>
    <t>Michael Jackson</t>
  </si>
  <si>
    <t>Peter Smith</t>
  </si>
  <si>
    <t>Andrew Clark</t>
  </si>
  <si>
    <t>Anna Smith</t>
  </si>
  <si>
    <t>Emily Johnson</t>
  </si>
  <si>
    <t>Kevin Hill</t>
  </si>
  <si>
    <t>James Rodriguez</t>
  </si>
  <si>
    <t>William Allen</t>
  </si>
  <si>
    <t>Grace Garcia</t>
  </si>
  <si>
    <t>Anna Green</t>
  </si>
  <si>
    <t>Paul Adams</t>
  </si>
  <si>
    <t>Hannah Wright</t>
  </si>
  <si>
    <t>Ryan Rodriguez</t>
  </si>
  <si>
    <t>Sarah Clark</t>
  </si>
  <si>
    <t>Edward Anderson</t>
  </si>
  <si>
    <t>Emily Baker</t>
  </si>
  <si>
    <t>Chloe Hall</t>
  </si>
  <si>
    <t>James Scott</t>
  </si>
  <si>
    <t>Michael Hall</t>
  </si>
  <si>
    <t>Chloe Smith</t>
  </si>
  <si>
    <t>Anthony Smith</t>
  </si>
  <si>
    <t>Ava Hill</t>
  </si>
  <si>
    <t>Sophia Taylor</t>
  </si>
  <si>
    <t>Laura Robinson</t>
  </si>
  <si>
    <t>Robert Hill</t>
  </si>
  <si>
    <t>Mia Lee</t>
  </si>
  <si>
    <t>Grace Young</t>
  </si>
  <si>
    <t>Mark Anderson</t>
  </si>
  <si>
    <t>Isabella Brown</t>
  </si>
  <si>
    <t>Robert Baker</t>
  </si>
  <si>
    <t>David Walker</t>
  </si>
  <si>
    <t>Olivia Martin</t>
  </si>
  <si>
    <t>Ryan Adams</t>
  </si>
  <si>
    <t>Olivia Walker</t>
  </si>
  <si>
    <t>Michael Brown</t>
  </si>
  <si>
    <t>Sophia Thompson</t>
  </si>
  <si>
    <t>James Johnson</t>
  </si>
  <si>
    <t>Ryan Young</t>
  </si>
  <si>
    <t>Emily Harris</t>
  </si>
  <si>
    <t>Sophia Lee</t>
  </si>
  <si>
    <t>Steven Allen</t>
  </si>
  <si>
    <t>Kevin Hall</t>
  </si>
  <si>
    <t>Paul Anderson</t>
  </si>
  <si>
    <t>Ryan Johnson</t>
  </si>
  <si>
    <t>Ava Harris</t>
  </si>
  <si>
    <t>Emily Green</t>
  </si>
  <si>
    <t>Laura Garcia</t>
  </si>
  <si>
    <t>Edward Thompson</t>
  </si>
  <si>
    <t>Ella Lewis</t>
  </si>
  <si>
    <t>Isabella Harris</t>
  </si>
  <si>
    <t>Isabella Martin</t>
  </si>
  <si>
    <t>Emily Wright</t>
  </si>
  <si>
    <t>Zoe Lewis</t>
  </si>
  <si>
    <t>Emma Walker</t>
  </si>
  <si>
    <t>Edward Allen</t>
  </si>
  <si>
    <t>Anthony Robinson</t>
  </si>
  <si>
    <t>Ryan Martinez</t>
  </si>
  <si>
    <t>Laura Johnson</t>
  </si>
  <si>
    <t>Mark Young</t>
  </si>
  <si>
    <t>Joshua Clark</t>
  </si>
  <si>
    <t>Peter Wright</t>
  </si>
  <si>
    <t>Thomas Smith</t>
  </si>
  <si>
    <t>Daniel Lopez</t>
  </si>
  <si>
    <t>Emma Scott</t>
  </si>
  <si>
    <t>Emily Adams</t>
  </si>
  <si>
    <t>Lily Thompson</t>
  </si>
  <si>
    <t>George Robinson</t>
  </si>
  <si>
    <t>Jessica Robinson</t>
  </si>
  <si>
    <t>David Baker</t>
  </si>
  <si>
    <t>Kevin Jackson</t>
  </si>
  <si>
    <t>Michael Martin</t>
  </si>
  <si>
    <t>Laura Martinez</t>
  </si>
  <si>
    <t>Michael Baker</t>
  </si>
  <si>
    <t>Hannah Walker</t>
  </si>
  <si>
    <t>Steven Baker</t>
  </si>
  <si>
    <t>Jessica Johnson</t>
  </si>
  <si>
    <t>Ryan Lopez</t>
  </si>
  <si>
    <t>Olivia Allen</t>
  </si>
  <si>
    <t>Steven Johnson</t>
  </si>
  <si>
    <t>Charlotte Harris</t>
  </si>
  <si>
    <t>George Johnson</t>
  </si>
  <si>
    <t>David Johnson</t>
  </si>
  <si>
    <t>Joshua Thompson</t>
  </si>
  <si>
    <t>Anna Martinez</t>
  </si>
  <si>
    <t>Paul Hill</t>
  </si>
  <si>
    <t>Sarah Adams</t>
  </si>
  <si>
    <t>Joshua Walker</t>
  </si>
  <si>
    <t>Sarah Anderson</t>
  </si>
  <si>
    <t>Mark Lopez</t>
  </si>
  <si>
    <t>Chloe Young</t>
  </si>
  <si>
    <t>Steven Thomas</t>
  </si>
  <si>
    <t>Hannah Allen</t>
  </si>
  <si>
    <t>Thomas Johnson</t>
  </si>
  <si>
    <t>Peter Adams</t>
  </si>
  <si>
    <t>David Lewis</t>
  </si>
  <si>
    <t>Robert Smith</t>
  </si>
  <si>
    <t>Ava Wright</t>
  </si>
  <si>
    <t>Anna Allen</t>
  </si>
  <si>
    <t>Anthony Johnson</t>
  </si>
  <si>
    <t>David Rodriguez</t>
  </si>
  <si>
    <t>Brian Harris</t>
  </si>
  <si>
    <t>Brian King</t>
  </si>
  <si>
    <t>Mia Wright</t>
  </si>
  <si>
    <t>Anna Johnson</t>
  </si>
  <si>
    <t>Brian Green</t>
  </si>
  <si>
    <t>Emma Clark</t>
  </si>
  <si>
    <t>Lucy Adams</t>
  </si>
  <si>
    <t>Thomas Garcia</t>
  </si>
  <si>
    <t>Thomas Hill</t>
  </si>
  <si>
    <t>Grace Walker</t>
  </si>
  <si>
    <t>Ella Garcia</t>
  </si>
  <si>
    <t>Sarah Baker</t>
  </si>
  <si>
    <t>Olivia Wright</t>
  </si>
  <si>
    <t>Zoe Johnson</t>
  </si>
  <si>
    <t>Peter Lee</t>
  </si>
  <si>
    <t>Lily Walker</t>
  </si>
  <si>
    <t>Amelia Hill</t>
  </si>
  <si>
    <t>Paul Jackson</t>
  </si>
  <si>
    <t>Ella Thomas</t>
  </si>
  <si>
    <t>William Rodriguez</t>
  </si>
  <si>
    <t>Steven Brown</t>
  </si>
  <si>
    <t>Laura Lewis</t>
  </si>
  <si>
    <t>Brian White</t>
  </si>
  <si>
    <t>Olivia Green</t>
  </si>
  <si>
    <t>Anthony Taylor</t>
  </si>
  <si>
    <t>Brian Adams</t>
  </si>
  <si>
    <t>Ava Thompson</t>
  </si>
  <si>
    <t>Edward Rodriguez</t>
  </si>
  <si>
    <t>Thomas Rodriguez</t>
  </si>
  <si>
    <t>Ella Anderson</t>
  </si>
  <si>
    <t>David Young</t>
  </si>
  <si>
    <t>Sarah White</t>
  </si>
  <si>
    <t>Peter Thomas</t>
  </si>
  <si>
    <t>James Allen</t>
  </si>
  <si>
    <t>Steven Wright</t>
  </si>
  <si>
    <t>Zoe King</t>
  </si>
  <si>
    <t>Lucy Johnson</t>
  </si>
  <si>
    <t>Lily Green</t>
  </si>
  <si>
    <t>Emma Rodriguez</t>
  </si>
  <si>
    <t>Charlotte Green</t>
  </si>
  <si>
    <t>Brian Smith</t>
  </si>
  <si>
    <t>Ava Taylor</t>
  </si>
  <si>
    <t>Brian Martinez</t>
  </si>
  <si>
    <t>Emily King</t>
  </si>
  <si>
    <t>Brian Baker</t>
  </si>
  <si>
    <t>Sarah Taylor</t>
  </si>
  <si>
    <t>Emma Smith</t>
  </si>
  <si>
    <t>Brian Jackson</t>
  </si>
  <si>
    <t>Mark Rodriguez</t>
  </si>
  <si>
    <t>Michael Harris</t>
  </si>
  <si>
    <t>Ryan Scott</t>
  </si>
  <si>
    <t>Edward Johnson</t>
  </si>
  <si>
    <t>Anthony King</t>
  </si>
  <si>
    <t>Andrew Thomas</t>
  </si>
  <si>
    <t>Jessica Hall</t>
  </si>
  <si>
    <t>Joshua Young</t>
  </si>
  <si>
    <t>Ella White</t>
  </si>
  <si>
    <t>Ava Lee</t>
  </si>
  <si>
    <t>Joshua Baker</t>
  </si>
  <si>
    <t>John Young</t>
  </si>
  <si>
    <t>Sarah Allen</t>
  </si>
  <si>
    <t>Anna Young</t>
  </si>
  <si>
    <t>Mia Hall</t>
  </si>
  <si>
    <t>James Young</t>
  </si>
  <si>
    <t>Sarah Martin</t>
  </si>
  <si>
    <t>Joshua Martinez</t>
  </si>
  <si>
    <t>Andrew Lee</t>
  </si>
  <si>
    <t>Mia Young</t>
  </si>
  <si>
    <t>Peter Young</t>
  </si>
  <si>
    <t>Sophia Brown</t>
  </si>
  <si>
    <t>Steven Robinson</t>
  </si>
  <si>
    <t>Charlotte Brown</t>
  </si>
  <si>
    <t>Lucy Baker</t>
  </si>
  <si>
    <t>John White</t>
  </si>
  <si>
    <t>Olivia Thompson</t>
  </si>
  <si>
    <t>Laura Clark</t>
  </si>
  <si>
    <t>Emma Wright</t>
  </si>
  <si>
    <t>George Scott</t>
  </si>
  <si>
    <t>Ava Garcia</t>
  </si>
  <si>
    <t>Daniel Martinez</t>
  </si>
  <si>
    <t>Mia King</t>
  </si>
  <si>
    <t>George Green</t>
  </si>
  <si>
    <t>Kevin White</t>
  </si>
  <si>
    <t>Zoe Baker</t>
  </si>
  <si>
    <t>Emily Jackson</t>
  </si>
  <si>
    <t>Anthony Rodriguez</t>
  </si>
  <si>
    <t>George Garcia</t>
  </si>
  <si>
    <t>Robert Scott</t>
  </si>
  <si>
    <t>David Hall</t>
  </si>
  <si>
    <t>Lucy Harris</t>
  </si>
  <si>
    <t>Ryan Allen</t>
  </si>
  <si>
    <t>Amelia Brown</t>
  </si>
  <si>
    <t>Edward Young</t>
  </si>
  <si>
    <t>Isabella Lewis</t>
  </si>
  <si>
    <t>Chloe Johnson</t>
  </si>
  <si>
    <t>Lily Taylor</t>
  </si>
  <si>
    <t>John Harris</t>
  </si>
  <si>
    <t>Edward Lee</t>
  </si>
  <si>
    <t>Ella Wright</t>
  </si>
  <si>
    <t>Paul Thomas</t>
  </si>
  <si>
    <t>Paul Robinson</t>
  </si>
  <si>
    <t>Chloe Jackson</t>
  </si>
  <si>
    <t>George Hall</t>
  </si>
  <si>
    <t>Zoe Anderson</t>
  </si>
  <si>
    <t>Robert Jackson</t>
  </si>
  <si>
    <t>Charlotte Walker</t>
  </si>
  <si>
    <t>Sophia Green</t>
  </si>
  <si>
    <t>Anna Lee</t>
  </si>
  <si>
    <t>Anthony Thompson</t>
  </si>
  <si>
    <t>Ella Martin</t>
  </si>
  <si>
    <t>Hannah Rodriguez</t>
  </si>
  <si>
    <t>Amelia Rodriguez</t>
  </si>
  <si>
    <t>John Robinson</t>
  </si>
  <si>
    <t>Sophia Hall</t>
  </si>
  <si>
    <t>Olivia Baker</t>
  </si>
  <si>
    <t>Charlotte Thompson</t>
  </si>
  <si>
    <t>Steven Hall</t>
  </si>
  <si>
    <t>Andrew King</t>
  </si>
  <si>
    <t>Isabella Hall</t>
  </si>
  <si>
    <t>Olivia Lopez</t>
  </si>
  <si>
    <t>Andrew Green</t>
  </si>
  <si>
    <t>Emma White</t>
  </si>
  <si>
    <t>Jessica White</t>
  </si>
  <si>
    <t>Laura Taylor</t>
  </si>
  <si>
    <t>Zoe Harris</t>
  </si>
  <si>
    <t>William King</t>
  </si>
  <si>
    <t>Ella Rodriguez</t>
  </si>
  <si>
    <t>Amelia Scott</t>
  </si>
  <si>
    <t>Peter Baker</t>
  </si>
  <si>
    <t>Emma Anderson</t>
  </si>
  <si>
    <t>Daniel Harris</t>
  </si>
  <si>
    <t>Andrew Thompson</t>
  </si>
  <si>
    <t>Jessica Young</t>
  </si>
  <si>
    <t>Hannah Johnson</t>
  </si>
  <si>
    <t>Sophia Robinson</t>
  </si>
  <si>
    <t>Anna Lopez</t>
  </si>
  <si>
    <t>Peter Robinson</t>
  </si>
  <si>
    <t>Lucy Scott</t>
  </si>
  <si>
    <t>Grace Thompson</t>
  </si>
  <si>
    <t>Edward Adams</t>
  </si>
  <si>
    <t>Ava Lopez</t>
  </si>
  <si>
    <t>Peter Clark</t>
  </si>
  <si>
    <t>Kevin Adams</t>
  </si>
  <si>
    <t>Mia Walker</t>
  </si>
  <si>
    <t>William Scott</t>
  </si>
  <si>
    <t>Ryan Jackson</t>
  </si>
  <si>
    <t>Steven Lee</t>
  </si>
  <si>
    <t>William Martin</t>
  </si>
  <si>
    <t>Daniel Allen</t>
  </si>
  <si>
    <t>George Thompson</t>
  </si>
  <si>
    <t>John Thomas</t>
  </si>
  <si>
    <t>Emily White</t>
  </si>
  <si>
    <t>Robert Rodriguez</t>
  </si>
  <si>
    <t>Mark Walker</t>
  </si>
  <si>
    <t>Steven Garcia</t>
  </si>
  <si>
    <t>Ava Anderson</t>
  </si>
  <si>
    <t>Mark Harris</t>
  </si>
  <si>
    <t>Mark King</t>
  </si>
  <si>
    <t>Lucy Martinez</t>
  </si>
  <si>
    <t>Charlotte Smith</t>
  </si>
  <si>
    <t>John Lee</t>
  </si>
  <si>
    <t>George Brown</t>
  </si>
  <si>
    <t>Hannah Brown</t>
  </si>
  <si>
    <t>Paul Johnson</t>
  </si>
  <si>
    <t>Robert Robinson</t>
  </si>
  <si>
    <t>Sarah Lewis</t>
  </si>
  <si>
    <t>Edward Jackson</t>
  </si>
  <si>
    <t>Jessica Martin</t>
  </si>
  <si>
    <t>George Rodriguez</t>
  </si>
  <si>
    <t>Ava Scott</t>
  </si>
  <si>
    <t>Sarah Hall</t>
  </si>
  <si>
    <t>George Martinez</t>
  </si>
  <si>
    <t>Laura Thomas</t>
  </si>
  <si>
    <t>Mia Garcia</t>
  </si>
  <si>
    <t>Edward Hill</t>
  </si>
  <si>
    <t>Charlotte Taylor</t>
  </si>
  <si>
    <t>Isabella Baker</t>
  </si>
  <si>
    <t>Emily Allen</t>
  </si>
  <si>
    <t>Jessica Scott</t>
  </si>
  <si>
    <t>Lily Young</t>
  </si>
  <si>
    <t>James Jackson</t>
  </si>
  <si>
    <t>James Robinson</t>
  </si>
  <si>
    <t>Ryan Lewis</t>
  </si>
  <si>
    <t>Anna Martin</t>
  </si>
  <si>
    <t>Joshua Lopez</t>
  </si>
  <si>
    <t>Grace Green</t>
  </si>
  <si>
    <t>James Hill</t>
  </si>
  <si>
    <t>Brian Hill</t>
  </si>
  <si>
    <t>William Smith</t>
  </si>
  <si>
    <t>Joshua Taylor</t>
  </si>
  <si>
    <t>William Jackson</t>
  </si>
  <si>
    <t>Hannah Robinson</t>
  </si>
  <si>
    <t>Grace Clark</t>
  </si>
  <si>
    <t>Joshua Robinson</t>
  </si>
  <si>
    <t>George Anderson</t>
  </si>
  <si>
    <t>Robert Lee</t>
  </si>
  <si>
    <t>Kevin Thomas</t>
  </si>
  <si>
    <t>Emily Young</t>
  </si>
  <si>
    <t>Anna Robinson</t>
  </si>
  <si>
    <t>Peter Lewis</t>
  </si>
  <si>
    <t>Anthony Scott</t>
  </si>
  <si>
    <t>Mark Baker</t>
  </si>
  <si>
    <t>John Scott</t>
  </si>
  <si>
    <t>Michael Taylor</t>
  </si>
  <si>
    <t>Grace Anderson</t>
  </si>
  <si>
    <t>William Baker</t>
  </si>
  <si>
    <t>Robert Allen</t>
  </si>
  <si>
    <t>Andrew Garcia</t>
  </si>
  <si>
    <t>Ella Harris</t>
  </si>
  <si>
    <t>William Hill</t>
  </si>
  <si>
    <t>Grace Lewis</t>
  </si>
  <si>
    <t>Zoe Green</t>
  </si>
  <si>
    <t>Andrew Johnson</t>
  </si>
  <si>
    <t>Sarah Wright</t>
  </si>
  <si>
    <t>Anthony Garcia</t>
  </si>
  <si>
    <t>Edward King</t>
  </si>
  <si>
    <t>John Thompson</t>
  </si>
  <si>
    <t>Anna Clark</t>
  </si>
  <si>
    <t>Anna Harris</t>
  </si>
  <si>
    <t>Ryan Thompson</t>
  </si>
  <si>
    <t>Amelia Allen</t>
  </si>
  <si>
    <t>Charlotte Adams</t>
  </si>
  <si>
    <t>Mia Brown</t>
  </si>
  <si>
    <t>Grace Rodriguez</t>
  </si>
  <si>
    <t>Isabella Thompson</t>
  </si>
  <si>
    <t>Ella King</t>
  </si>
  <si>
    <t>Zoe Martin</t>
  </si>
  <si>
    <t>Robert Lopez</t>
  </si>
  <si>
    <t>Olivia King</t>
  </si>
  <si>
    <t>Emily Robinson</t>
  </si>
  <si>
    <t>Charlotte Young</t>
  </si>
  <si>
    <t>Charlotte Scott</t>
  </si>
  <si>
    <t>James Lewis</t>
  </si>
  <si>
    <t>Paul White</t>
  </si>
  <si>
    <t>Thomas King</t>
  </si>
  <si>
    <t>Mark Wright</t>
  </si>
  <si>
    <t>Laura Walker</t>
  </si>
  <si>
    <t>Olivia Harris</t>
  </si>
  <si>
    <t>Anna Thomas</t>
  </si>
  <si>
    <t>Thomas White</t>
  </si>
  <si>
    <t>Daniel Martin</t>
  </si>
  <si>
    <t>Laura Thompson</t>
  </si>
  <si>
    <t>Kevin Robinson</t>
  </si>
  <si>
    <t>Thomas Lewis</t>
  </si>
  <si>
    <t>Zoe Thompson</t>
  </si>
  <si>
    <t>Kevin Green</t>
  </si>
  <si>
    <t>Kevin Baker</t>
  </si>
  <si>
    <t>Ryan Green</t>
  </si>
  <si>
    <t>Michael Scott</t>
  </si>
  <si>
    <t>Sophia Young</t>
  </si>
  <si>
    <t>Andrew Wright</t>
  </si>
  <si>
    <t>James Garcia</t>
  </si>
  <si>
    <t>Daniel Adams</t>
  </si>
  <si>
    <t>Steven Lopez</t>
  </si>
  <si>
    <t>Hannah Garcia</t>
  </si>
  <si>
    <t>Thomas Taylor</t>
  </si>
  <si>
    <t>David Scott</t>
  </si>
  <si>
    <t>Sophia Clark</t>
  </si>
  <si>
    <t>Emily Taylor</t>
  </si>
  <si>
    <t>Lily Lopez</t>
  </si>
  <si>
    <t>Daniel Jackson</t>
  </si>
  <si>
    <t>Zoe Clark</t>
  </si>
  <si>
    <t>Sophia Harris</t>
  </si>
  <si>
    <t>Grace Baker</t>
  </si>
  <si>
    <t>Michael Walker</t>
  </si>
  <si>
    <t>Brian Hall</t>
  </si>
  <si>
    <t>Emma Jackson</t>
  </si>
  <si>
    <t>Kevin Young</t>
  </si>
  <si>
    <t>Joshua King</t>
  </si>
  <si>
    <t>Olivia Lee</t>
  </si>
  <si>
    <t>Thomas Jackson</t>
  </si>
  <si>
    <t>Robert Martin</t>
  </si>
  <si>
    <t>Anna Baker</t>
  </si>
  <si>
    <t>James Wright</t>
  </si>
  <si>
    <t>Hannah Young</t>
  </si>
  <si>
    <t>William Martinez</t>
  </si>
  <si>
    <t>Charlotte King</t>
  </si>
  <si>
    <t>Ava Johnson</t>
  </si>
  <si>
    <t>Lily White</t>
  </si>
  <si>
    <t>Kevin Wright</t>
  </si>
  <si>
    <t>Paul Clark</t>
  </si>
  <si>
    <t>Amelia Martinez</t>
  </si>
  <si>
    <t>Edward Lopez</t>
  </si>
  <si>
    <t>Laura Brown</t>
  </si>
  <si>
    <t>Peter Johnson</t>
  </si>
  <si>
    <t>Lucy Young</t>
  </si>
  <si>
    <t>Sarah Lopez</t>
  </si>
  <si>
    <t>David Hill</t>
  </si>
  <si>
    <t>Sophia Johnson</t>
  </si>
  <si>
    <t>Isabella Thomas</t>
  </si>
  <si>
    <t>William White</t>
  </si>
  <si>
    <t>Ava Rodriguez</t>
  </si>
  <si>
    <t>Edward Robinson</t>
  </si>
  <si>
    <t>Mark Jackson</t>
  </si>
  <si>
    <t>Andrew Taylor</t>
  </si>
  <si>
    <t>Isabella White</t>
  </si>
  <si>
    <t>Grace Robinson</t>
  </si>
  <si>
    <t>Emma Allen</t>
  </si>
  <si>
    <t>Brian Walker</t>
  </si>
  <si>
    <t>Zoe Martinez</t>
  </si>
  <si>
    <t>Thomas Thomas</t>
  </si>
  <si>
    <t>Lily Lee</t>
  </si>
  <si>
    <t>Brian Lee</t>
  </si>
  <si>
    <t>Ava Robinson</t>
  </si>
  <si>
    <t>Isabella Lee</t>
  </si>
  <si>
    <t>Zoe Taylor</t>
  </si>
  <si>
    <t>Joshua Martin</t>
  </si>
  <si>
    <t>Mia Green</t>
  </si>
  <si>
    <t>Amelia Wright</t>
  </si>
  <si>
    <t>Jessica Walker</t>
  </si>
  <si>
    <t>Michael Lopez</t>
  </si>
  <si>
    <t>Peter Brown</t>
  </si>
  <si>
    <t>Sarah Garcia</t>
  </si>
  <si>
    <t>Mia Smith</t>
  </si>
  <si>
    <t>Sophia Martin</t>
  </si>
  <si>
    <t>Anna Hill</t>
  </si>
  <si>
    <t>Jessica Harris</t>
  </si>
  <si>
    <t>John Garcia</t>
  </si>
  <si>
    <t>Ella Green</t>
  </si>
  <si>
    <t>Paul Taylor</t>
  </si>
  <si>
    <t>Laura Scott</t>
  </si>
  <si>
    <t>Laura Martin</t>
  </si>
  <si>
    <t>James Clark</t>
  </si>
  <si>
    <t>Mark Clark</t>
  </si>
  <si>
    <t>Laura White</t>
  </si>
  <si>
    <t>William Lewis</t>
  </si>
  <si>
    <t>Edward Smith</t>
  </si>
  <si>
    <t>John Hill</t>
  </si>
  <si>
    <t>Chloe Lewis</t>
  </si>
  <si>
    <t>Daniel Scott</t>
  </si>
  <si>
    <t>Mark Johnson</t>
  </si>
  <si>
    <t>Lucy Lee</t>
  </si>
  <si>
    <t>Ryan Brown</t>
  </si>
  <si>
    <t>Ella Brown</t>
  </si>
  <si>
    <t>Zoe White</t>
  </si>
  <si>
    <t>Jessica Adams</t>
  </si>
  <si>
    <t>Daniel Young</t>
  </si>
  <si>
    <t>Emma Martin</t>
  </si>
  <si>
    <t>Andrew White</t>
  </si>
  <si>
    <t>Sophia Baker</t>
  </si>
  <si>
    <t>Amelia King</t>
  </si>
  <si>
    <t>Ella Thompson</t>
  </si>
  <si>
    <t>Ryan Thomas</t>
  </si>
  <si>
    <t>Chloe Lee</t>
  </si>
  <si>
    <t>Category</t>
  </si>
  <si>
    <t>FICTION</t>
  </si>
  <si>
    <t>TECH</t>
  </si>
  <si>
    <t>SCIENCE</t>
  </si>
  <si>
    <t>BUSINESS</t>
  </si>
  <si>
    <t>BK-782355</t>
  </si>
  <si>
    <t>Forest Data</t>
  </si>
  <si>
    <t>Sophia Wilson</t>
  </si>
  <si>
    <t>BK-811569</t>
  </si>
  <si>
    <t>Quantum Power</t>
  </si>
  <si>
    <t>Maria Lee</t>
  </si>
  <si>
    <t>BK-799901</t>
  </si>
  <si>
    <t>Mind Journey</t>
  </si>
  <si>
    <t>Lisa Lee</t>
  </si>
  <si>
    <t>BK-735269</t>
  </si>
  <si>
    <t>Journey Forest</t>
  </si>
  <si>
    <t>BK-582215</t>
  </si>
  <si>
    <t>Secrets Forest</t>
  </si>
  <si>
    <t>BK-921200</t>
  </si>
  <si>
    <t>Forest Silent</t>
  </si>
  <si>
    <t>Daniel Taylor</t>
  </si>
  <si>
    <t>BK-110284</t>
  </si>
  <si>
    <t>Data Mind</t>
  </si>
  <si>
    <t>BK-253635</t>
  </si>
  <si>
    <t>Secrets Quantum</t>
  </si>
  <si>
    <t>BK-633345</t>
  </si>
  <si>
    <t>Secrets Data</t>
  </si>
  <si>
    <t>Michael Smith</t>
  </si>
  <si>
    <t>BK-640596</t>
  </si>
  <si>
    <t>Silent Future</t>
  </si>
  <si>
    <t>Daniel Park</t>
  </si>
  <si>
    <t>BK-746815</t>
  </si>
  <si>
    <t>Science Future</t>
  </si>
  <si>
    <t>David Taylor</t>
  </si>
  <si>
    <t>BK-664582</t>
  </si>
  <si>
    <t>Sophia Walker</t>
  </si>
  <si>
    <t>BK-372999</t>
  </si>
  <si>
    <t>Data Quantum</t>
  </si>
  <si>
    <t>BK-357233</t>
  </si>
  <si>
    <t>Quantum Secrets</t>
  </si>
  <si>
    <t>HISTORY</t>
  </si>
  <si>
    <t>BK-236108</t>
  </si>
  <si>
    <t>Power Data</t>
  </si>
  <si>
    <t>BK-484945</t>
  </si>
  <si>
    <t>Science Silent</t>
  </si>
  <si>
    <t>Lisa Brown</t>
  </si>
  <si>
    <t>BK-454669</t>
  </si>
  <si>
    <t>Science Quantum</t>
  </si>
  <si>
    <t>BK-849576</t>
  </si>
  <si>
    <t>Mind Quantum</t>
  </si>
  <si>
    <t>David Lee</t>
  </si>
  <si>
    <t>BK-396077</t>
  </si>
  <si>
    <t>Mind Data</t>
  </si>
  <si>
    <t>David Clark</t>
  </si>
  <si>
    <t>BK-258830</t>
  </si>
  <si>
    <t>Silent Secrets</t>
  </si>
  <si>
    <t>David Smith</t>
  </si>
  <si>
    <t>BK-782878</t>
  </si>
  <si>
    <t>Future Power</t>
  </si>
  <si>
    <t>David Martin</t>
  </si>
  <si>
    <t>BK-645684</t>
  </si>
  <si>
    <t>David Brown</t>
  </si>
  <si>
    <t>BK-993105</t>
  </si>
  <si>
    <t>Secrets Power</t>
  </si>
  <si>
    <t>BK-384537</t>
  </si>
  <si>
    <t>Data Journey</t>
  </si>
  <si>
    <t>Maria Chen</t>
  </si>
  <si>
    <t>BK-950844</t>
  </si>
  <si>
    <t>BK-456018</t>
  </si>
  <si>
    <t>Science Secrets</t>
  </si>
  <si>
    <t>BK-361282</t>
  </si>
  <si>
    <t>BK-934719</t>
  </si>
  <si>
    <t>Journey Science</t>
  </si>
  <si>
    <t>John Wilson</t>
  </si>
  <si>
    <t>BK-984422</t>
  </si>
  <si>
    <t>Maria Brown</t>
  </si>
  <si>
    <t>BK-621584</t>
  </si>
  <si>
    <t>Mind Power</t>
  </si>
  <si>
    <t>James Wilson</t>
  </si>
  <si>
    <t>BK-152808</t>
  </si>
  <si>
    <t>BK-436429</t>
  </si>
  <si>
    <t>Science Forest</t>
  </si>
  <si>
    <t>BK-271189</t>
  </si>
  <si>
    <t>Sarah Lee</t>
  </si>
  <si>
    <t>BK-727645</t>
  </si>
  <si>
    <t>BK-346362</t>
  </si>
  <si>
    <t>Journey Power</t>
  </si>
  <si>
    <t>BK-905871</t>
  </si>
  <si>
    <t>Future Quantum</t>
  </si>
  <si>
    <t>BK-760132</t>
  </si>
  <si>
    <t>Silent Science</t>
  </si>
  <si>
    <t>Lisa Martin</t>
  </si>
  <si>
    <t>BK-158908</t>
  </si>
  <si>
    <t>Data Silent</t>
  </si>
  <si>
    <t>BK-636548</t>
  </si>
  <si>
    <t>BK-824258</t>
  </si>
  <si>
    <t>Secrets Mind</t>
  </si>
  <si>
    <t>BK-752846</t>
  </si>
  <si>
    <t>Future Journey</t>
  </si>
  <si>
    <t>BK-591793</t>
  </si>
  <si>
    <t>Science Journey</t>
  </si>
  <si>
    <t>Maria Walker</t>
  </si>
  <si>
    <t>BK-304635</t>
  </si>
  <si>
    <t>Journey Silent</t>
  </si>
  <si>
    <t>BK-146002</t>
  </si>
  <si>
    <t>Mind Secrets</t>
  </si>
  <si>
    <t>BK-863036</t>
  </si>
  <si>
    <t>Future Silent</t>
  </si>
  <si>
    <t>BK-107511</t>
  </si>
  <si>
    <t>Quantum Forest</t>
  </si>
  <si>
    <t>Emma Park</t>
  </si>
  <si>
    <t>BK-753920</t>
  </si>
  <si>
    <t>Data Secrets</t>
  </si>
  <si>
    <t>Michael Chen</t>
  </si>
  <si>
    <t>BK-460029</t>
  </si>
  <si>
    <t>BK-543542</t>
  </si>
  <si>
    <t>Data Forest</t>
  </si>
  <si>
    <t>Maria Smith</t>
  </si>
  <si>
    <t>BK-550274</t>
  </si>
  <si>
    <t>BK-950234</t>
  </si>
  <si>
    <t>Data Science</t>
  </si>
  <si>
    <t>Maria Wilson</t>
  </si>
  <si>
    <t>BK-455278</t>
  </si>
  <si>
    <t>Journey Mind</t>
  </si>
  <si>
    <t>Lisa Walker</t>
  </si>
  <si>
    <t>BK-991999</t>
  </si>
  <si>
    <t>Quantum Silent</t>
  </si>
  <si>
    <t>BK-514493</t>
  </si>
  <si>
    <t>Secrets Silent</t>
  </si>
  <si>
    <t>David Wilson</t>
  </si>
  <si>
    <t>BK-518292</t>
  </si>
  <si>
    <t>Science Mind</t>
  </si>
  <si>
    <t>BK-491311</t>
  </si>
  <si>
    <t>Power Mind</t>
  </si>
  <si>
    <t>BK-963325</t>
  </si>
  <si>
    <t>BK-437214</t>
  </si>
  <si>
    <t>Sarah Park</t>
  </si>
  <si>
    <t>BK-970444</t>
  </si>
  <si>
    <t>Quantum Mind</t>
  </si>
  <si>
    <t>Sarah Chen</t>
  </si>
  <si>
    <t>BK-564065</t>
  </si>
  <si>
    <t>Forest Science</t>
  </si>
  <si>
    <t>BK-262890</t>
  </si>
  <si>
    <t>Power Secrets</t>
  </si>
  <si>
    <t>BK-779699</t>
  </si>
  <si>
    <t>Michael Lee</t>
  </si>
  <si>
    <t>BK-123417</t>
  </si>
  <si>
    <t>BK-566970</t>
  </si>
  <si>
    <t>BK-960662</t>
  </si>
  <si>
    <t>BK-566768</t>
  </si>
  <si>
    <t>Future Science</t>
  </si>
  <si>
    <t>BK-234116</t>
  </si>
  <si>
    <t>Science Data</t>
  </si>
  <si>
    <t>BK-808613</t>
  </si>
  <si>
    <t>BK-154037</t>
  </si>
  <si>
    <t>BK-881656</t>
  </si>
  <si>
    <t>Emma Chen</t>
  </si>
  <si>
    <t>BK-240203</t>
  </si>
  <si>
    <t>Sophia Chen</t>
  </si>
  <si>
    <t>BK-581564</t>
  </si>
  <si>
    <t>BK-804634</t>
  </si>
  <si>
    <t>BK-570957</t>
  </si>
  <si>
    <t>BK-300863</t>
  </si>
  <si>
    <t>Quantum Journey</t>
  </si>
  <si>
    <t>Lisa Taylor</t>
  </si>
  <si>
    <t>BK-638302</t>
  </si>
  <si>
    <t>BK-216898</t>
  </si>
  <si>
    <t>Michael Clark</t>
  </si>
  <si>
    <t>BK-655856</t>
  </si>
  <si>
    <t>Secrets Journey</t>
  </si>
  <si>
    <t>Daniel Chen</t>
  </si>
  <si>
    <t>BK-248927</t>
  </si>
  <si>
    <t>Secrets Future</t>
  </si>
  <si>
    <t>BK-807884</t>
  </si>
  <si>
    <t>BK-637230</t>
  </si>
  <si>
    <t>BK-623148</t>
  </si>
  <si>
    <t>BK-379953</t>
  </si>
  <si>
    <t>BK-131284</t>
  </si>
  <si>
    <t>BK-363644</t>
  </si>
  <si>
    <t>BK-955788</t>
  </si>
  <si>
    <t>John Chen</t>
  </si>
  <si>
    <t>BK-275398</t>
  </si>
  <si>
    <t>BK-682749</t>
  </si>
  <si>
    <t>James Chen</t>
  </si>
  <si>
    <t>BK-648232</t>
  </si>
  <si>
    <t>John Smith</t>
  </si>
  <si>
    <t>BK-543386</t>
  </si>
  <si>
    <t>BK-634012</t>
  </si>
  <si>
    <t>Power Future</t>
  </si>
  <si>
    <t>BK-374661</t>
  </si>
  <si>
    <t>Power Silent</t>
  </si>
  <si>
    <t>BK-180910</t>
  </si>
  <si>
    <t>BK-909020</t>
  </si>
  <si>
    <t>John Brown</t>
  </si>
  <si>
    <t>BK-749964</t>
  </si>
  <si>
    <t>Silent Mind</t>
  </si>
  <si>
    <t>BK-676939</t>
  </si>
  <si>
    <t>BK-885546</t>
  </si>
  <si>
    <t>BK-300378</t>
  </si>
  <si>
    <t>BK-297602</t>
  </si>
  <si>
    <t>BK-647757</t>
  </si>
  <si>
    <t>Power Quantum</t>
  </si>
  <si>
    <t>BK-904188</t>
  </si>
  <si>
    <t>Journey Data</t>
  </si>
  <si>
    <t>Maria Park</t>
  </si>
  <si>
    <t>BK-402091</t>
  </si>
  <si>
    <t>Power Journey</t>
  </si>
  <si>
    <t>BK-728877</t>
  </si>
  <si>
    <t>BK-170671</t>
  </si>
  <si>
    <t>BK-959860</t>
  </si>
  <si>
    <t>Silent Forest</t>
  </si>
  <si>
    <t>Sarah Wilson</t>
  </si>
  <si>
    <t>BK-384723</t>
  </si>
  <si>
    <t>BK-776308</t>
  </si>
  <si>
    <t>James Park</t>
  </si>
  <si>
    <t>BK-718932</t>
  </si>
  <si>
    <t>Future Mind</t>
  </si>
  <si>
    <t>BK-354674</t>
  </si>
  <si>
    <t>Forest Power</t>
  </si>
  <si>
    <t>Maria Clark</t>
  </si>
  <si>
    <t>BK-819585</t>
  </si>
  <si>
    <t>BK-475240</t>
  </si>
  <si>
    <t>BK-696423</t>
  </si>
  <si>
    <t>Emma Wilson</t>
  </si>
  <si>
    <t>BK-697737</t>
  </si>
  <si>
    <t>BK-998982</t>
  </si>
  <si>
    <t>John Taylor</t>
  </si>
  <si>
    <t>BK-924829</t>
  </si>
  <si>
    <t>Data Future</t>
  </si>
  <si>
    <t>BK-191191</t>
  </si>
  <si>
    <t>BK-495936</t>
  </si>
  <si>
    <t>BK-561046</t>
  </si>
  <si>
    <t>Future Forest</t>
  </si>
  <si>
    <t>BK-800984</t>
  </si>
  <si>
    <t>BK-230532</t>
  </si>
  <si>
    <t>BK-118109</t>
  </si>
  <si>
    <t>BK-615803</t>
  </si>
  <si>
    <t>BK-481781</t>
  </si>
  <si>
    <t>BK-876946</t>
  </si>
  <si>
    <t>Power Science</t>
  </si>
  <si>
    <t>BK-513449</t>
  </si>
  <si>
    <t>BK-109904</t>
  </si>
  <si>
    <t>BK-745931</t>
  </si>
  <si>
    <t>BK-122625</t>
  </si>
  <si>
    <t>BK-897648</t>
  </si>
  <si>
    <t>Forest Journey</t>
  </si>
  <si>
    <t>BK-432569</t>
  </si>
  <si>
    <t>BK-695210</t>
  </si>
  <si>
    <t>BK-854870</t>
  </si>
  <si>
    <t>Silent Quantum</t>
  </si>
  <si>
    <t>BK-839233</t>
  </si>
  <si>
    <t>BK-968616</t>
  </si>
  <si>
    <t>BK-583477</t>
  </si>
  <si>
    <t>Daniel Wilson</t>
  </si>
  <si>
    <t>BK-710997</t>
  </si>
  <si>
    <t>BK-863205</t>
  </si>
  <si>
    <t>John Park</t>
  </si>
  <si>
    <t>BK-543984</t>
  </si>
  <si>
    <t>David Chen</t>
  </si>
  <si>
    <t>BK-456829</t>
  </si>
  <si>
    <t>Quantum Data</t>
  </si>
  <si>
    <t>BK-866445</t>
  </si>
  <si>
    <t>BK-990276</t>
  </si>
  <si>
    <t>BK-913379</t>
  </si>
  <si>
    <t>Journey Secrets</t>
  </si>
  <si>
    <t>Sophia Park</t>
  </si>
  <si>
    <t>BK-744081</t>
  </si>
  <si>
    <t>BK-246726</t>
  </si>
  <si>
    <t>Maria Taylor</t>
  </si>
  <si>
    <t>BK-888427</t>
  </si>
  <si>
    <t>BK-603237</t>
  </si>
  <si>
    <t>Michael Wilson</t>
  </si>
  <si>
    <t>BK-794360</t>
  </si>
  <si>
    <t>BK-445049</t>
  </si>
  <si>
    <t>BK-800471</t>
  </si>
  <si>
    <t>BK-139431</t>
  </si>
  <si>
    <t>BK-716476</t>
  </si>
  <si>
    <t>David Park</t>
  </si>
  <si>
    <t>BK-556579</t>
  </si>
  <si>
    <t>Science Power</t>
  </si>
  <si>
    <t>BK-864933</t>
  </si>
  <si>
    <t>BK-853993</t>
  </si>
  <si>
    <t>Silent Journey</t>
  </si>
  <si>
    <t>Sarah Walker</t>
  </si>
  <si>
    <t>BK-112399</t>
  </si>
  <si>
    <t>Mind Future</t>
  </si>
  <si>
    <t>BK-158188</t>
  </si>
  <si>
    <t>BK-316637</t>
  </si>
  <si>
    <t>Forest Future</t>
  </si>
  <si>
    <t>BK-372275</t>
  </si>
  <si>
    <t>BK-510425</t>
  </si>
  <si>
    <t>BK-883732</t>
  </si>
  <si>
    <t>BK-257978</t>
  </si>
  <si>
    <t>Silent Power</t>
  </si>
  <si>
    <t>BK-506999</t>
  </si>
  <si>
    <t>BK-552625</t>
  </si>
  <si>
    <t>BK-858664</t>
  </si>
  <si>
    <t>BK-836562</t>
  </si>
  <si>
    <t>BK-631752</t>
  </si>
  <si>
    <t>Quantum Future</t>
  </si>
  <si>
    <t>BK-534389</t>
  </si>
  <si>
    <t>BK-535907</t>
  </si>
  <si>
    <t>Lisa Wilson</t>
  </si>
  <si>
    <t>BK-561909</t>
  </si>
  <si>
    <t>Daniel Clark</t>
  </si>
  <si>
    <t>BK-820142</t>
  </si>
  <si>
    <t>BK-121212</t>
  </si>
  <si>
    <t>Lisa Clark</t>
  </si>
  <si>
    <t>BK-932094</t>
  </si>
  <si>
    <t>Mind Forest</t>
  </si>
  <si>
    <t>Daniel Lee</t>
  </si>
  <si>
    <t>BK-333567</t>
  </si>
  <si>
    <t>BK-380830</t>
  </si>
  <si>
    <t>BK-181686</t>
  </si>
  <si>
    <t>BK-853053</t>
  </si>
  <si>
    <t>Lisa Smith</t>
  </si>
  <si>
    <t>BK-356661</t>
  </si>
  <si>
    <t>BK-225030</t>
  </si>
  <si>
    <t>BK-379622</t>
  </si>
  <si>
    <t>BK-464186</t>
  </si>
  <si>
    <t>Quantum Science</t>
  </si>
  <si>
    <t>James Martin</t>
  </si>
  <si>
    <t>BK-466154</t>
  </si>
  <si>
    <t>BK-319787</t>
  </si>
  <si>
    <t>Power Forest</t>
  </si>
  <si>
    <t>BK-160174</t>
  </si>
  <si>
    <t>BK-799444</t>
  </si>
  <si>
    <t>BK-241542</t>
  </si>
  <si>
    <t>Silent Data</t>
  </si>
  <si>
    <t>BK-469995</t>
  </si>
  <si>
    <t>BK-595382</t>
  </si>
  <si>
    <t>BK-382770</t>
  </si>
  <si>
    <t>Lisa Chen</t>
  </si>
  <si>
    <t>BK-667877</t>
  </si>
  <si>
    <t>BK-938222</t>
  </si>
  <si>
    <t>BK-292076</t>
  </si>
  <si>
    <t>BK-679684</t>
  </si>
  <si>
    <t>BK-446478</t>
  </si>
  <si>
    <t>BK-441842</t>
  </si>
  <si>
    <t>BK-603396</t>
  </si>
  <si>
    <t>BK-269645</t>
  </si>
  <si>
    <t>BK-256740</t>
  </si>
  <si>
    <t>Forest Quantum</t>
  </si>
  <si>
    <t>BK-546565</t>
  </si>
  <si>
    <t>BK-187218</t>
  </si>
  <si>
    <t>BK-259896</t>
  </si>
  <si>
    <t>BK-791429</t>
  </si>
  <si>
    <t>BK-669665</t>
  </si>
  <si>
    <t>BK-971272</t>
  </si>
  <si>
    <t>BK-362359</t>
  </si>
  <si>
    <t>BK-397866</t>
  </si>
  <si>
    <t>BK-635671</t>
  </si>
  <si>
    <t>BK-833989</t>
  </si>
  <si>
    <t>BK-179434</t>
  </si>
  <si>
    <t>BK-441575</t>
  </si>
  <si>
    <t>BK-896684</t>
  </si>
  <si>
    <t>BK-921823</t>
  </si>
  <si>
    <t>Mind Science</t>
  </si>
  <si>
    <t>BK-373394</t>
  </si>
  <si>
    <t>BK-704707</t>
  </si>
  <si>
    <t>James Walker</t>
  </si>
  <si>
    <t>BK-417744</t>
  </si>
  <si>
    <t>BK-888175</t>
  </si>
  <si>
    <t>BK-976708</t>
  </si>
  <si>
    <t>BK-531249</t>
  </si>
  <si>
    <t>BK-276773</t>
  </si>
  <si>
    <t>BK-669636</t>
  </si>
  <si>
    <t>BK-201399</t>
  </si>
  <si>
    <t>BK-989265</t>
  </si>
  <si>
    <t>BK-198365</t>
  </si>
  <si>
    <t>BK-155910</t>
  </si>
  <si>
    <t>BK-318105</t>
  </si>
  <si>
    <t>BK-565750</t>
  </si>
  <si>
    <t>BK-158021</t>
  </si>
  <si>
    <t>BK-704798</t>
  </si>
  <si>
    <t>BK-419973</t>
  </si>
  <si>
    <t>BK-715443</t>
  </si>
  <si>
    <t>BK-427827</t>
  </si>
  <si>
    <t>BK-974010</t>
  </si>
  <si>
    <t>BK-621031</t>
  </si>
  <si>
    <t>BK-574807</t>
  </si>
  <si>
    <t>BK-684297</t>
  </si>
  <si>
    <t>BK-911408</t>
  </si>
  <si>
    <t>BK-824377</t>
  </si>
  <si>
    <t>BK-817032</t>
  </si>
  <si>
    <t>Mind Silent</t>
  </si>
  <si>
    <t>BK-222430</t>
  </si>
  <si>
    <t>BK-381294</t>
  </si>
  <si>
    <t>Forest Secrets</t>
  </si>
  <si>
    <t>Michael Park</t>
  </si>
  <si>
    <t>BK-853308</t>
  </si>
  <si>
    <t>Emma Taylor</t>
  </si>
  <si>
    <t>BK-600959</t>
  </si>
  <si>
    <t>BK-884964</t>
  </si>
  <si>
    <t>Secrets Science</t>
  </si>
  <si>
    <t>BK-756078</t>
  </si>
  <si>
    <t>BK-857056</t>
  </si>
  <si>
    <t>Journey Quantum</t>
  </si>
  <si>
    <t>BK-956501</t>
  </si>
  <si>
    <t>BK-316972</t>
  </si>
  <si>
    <t>BK-254562</t>
  </si>
  <si>
    <t>BK-360142</t>
  </si>
  <si>
    <t>John Clark</t>
  </si>
  <si>
    <t>BK-289456</t>
  </si>
  <si>
    <t>BK-986506</t>
  </si>
  <si>
    <t>BK-743529</t>
  </si>
  <si>
    <t>BK-531729</t>
  </si>
  <si>
    <t>BK-391189</t>
  </si>
  <si>
    <t>BK-347921</t>
  </si>
  <si>
    <t>BK-840956</t>
  </si>
  <si>
    <t>BK-827742</t>
  </si>
  <si>
    <t>BK-902267</t>
  </si>
  <si>
    <t>BK-752262</t>
  </si>
  <si>
    <t>BK-110313</t>
  </si>
  <si>
    <t>Future Secrets</t>
  </si>
  <si>
    <t>BK-117987</t>
  </si>
  <si>
    <t>BK-246081</t>
  </si>
  <si>
    <t>BK-694390</t>
  </si>
  <si>
    <t>BK-863569</t>
  </si>
  <si>
    <t>BK-945048</t>
  </si>
  <si>
    <t>BK-704978</t>
  </si>
  <si>
    <t>BK-776463</t>
  </si>
  <si>
    <t>BK-461263</t>
  </si>
  <si>
    <t>BK-894771</t>
  </si>
  <si>
    <t>BK-105859</t>
  </si>
  <si>
    <t>BK-141039</t>
  </si>
  <si>
    <t>BK-986063</t>
  </si>
  <si>
    <t>BK-125754</t>
  </si>
  <si>
    <t>BK-428660</t>
  </si>
  <si>
    <t>BK-581508</t>
  </si>
  <si>
    <t>BK-895697</t>
  </si>
  <si>
    <t>BK-196506</t>
  </si>
  <si>
    <t>BK-860868</t>
  </si>
  <si>
    <t>Journey Future</t>
  </si>
  <si>
    <t>BK-673849</t>
  </si>
  <si>
    <t>BK-688550</t>
  </si>
  <si>
    <t>BK-233276</t>
  </si>
  <si>
    <t>BK-708634</t>
  </si>
  <si>
    <t>BK-103944</t>
  </si>
  <si>
    <t>Daniel Brown</t>
  </si>
  <si>
    <t>BK-204971</t>
  </si>
  <si>
    <t>BK-690674</t>
  </si>
  <si>
    <t>BK-312738</t>
  </si>
  <si>
    <t>BK-122008</t>
  </si>
  <si>
    <t>BK-610424</t>
  </si>
  <si>
    <t>BK-780502</t>
  </si>
  <si>
    <t>BK-696966</t>
  </si>
  <si>
    <t>BK-155212</t>
  </si>
  <si>
    <t>BK-837782</t>
  </si>
  <si>
    <t>BK-122443</t>
  </si>
  <si>
    <t>BK-499304</t>
  </si>
  <si>
    <t>BK-188694</t>
  </si>
  <si>
    <t>BK-492388</t>
  </si>
  <si>
    <t>BK-765430</t>
  </si>
  <si>
    <t>Maria Martin</t>
  </si>
  <si>
    <t>BK-619299</t>
  </si>
  <si>
    <t>BK-952023</t>
  </si>
  <si>
    <t>BK-591504</t>
  </si>
  <si>
    <t>BK-526273</t>
  </si>
  <si>
    <t>BK-804166</t>
  </si>
  <si>
    <t>BK-347520</t>
  </si>
  <si>
    <t>BK-207886</t>
  </si>
  <si>
    <t>BK-900914</t>
  </si>
  <si>
    <t>BK-753276</t>
  </si>
  <si>
    <t>BK-396416</t>
  </si>
  <si>
    <t>BK-736578</t>
  </si>
  <si>
    <t>BK-431017</t>
  </si>
  <si>
    <t>BK-499178</t>
  </si>
  <si>
    <t>BK-410038</t>
  </si>
  <si>
    <t>BK-735104</t>
  </si>
  <si>
    <t>BK-279571</t>
  </si>
  <si>
    <t>BK-298672</t>
  </si>
  <si>
    <t>BK-158176</t>
  </si>
  <si>
    <t>BK-101363</t>
  </si>
  <si>
    <t>BK-813688</t>
  </si>
  <si>
    <t>BK-893285</t>
  </si>
  <si>
    <t>BK-784026</t>
  </si>
  <si>
    <t>BK-890077</t>
  </si>
  <si>
    <t>BK-979707</t>
  </si>
  <si>
    <t>BK-641749</t>
  </si>
  <si>
    <t>BK-492806</t>
  </si>
  <si>
    <t>BK-289249</t>
  </si>
  <si>
    <t>BK-324868</t>
  </si>
  <si>
    <t>BK-427420</t>
  </si>
  <si>
    <t>BK-189962</t>
  </si>
  <si>
    <t>BK-284198</t>
  </si>
  <si>
    <t>BK-245696</t>
  </si>
  <si>
    <t>BK-458388</t>
  </si>
  <si>
    <t>BK-571791</t>
  </si>
  <si>
    <t>BK-292841</t>
  </si>
  <si>
    <t>BK-502538</t>
  </si>
  <si>
    <t>BK-449001</t>
  </si>
  <si>
    <t>BK-456366</t>
  </si>
  <si>
    <t>BK-202010</t>
  </si>
  <si>
    <t>BK-463673</t>
  </si>
  <si>
    <t>BK-197704</t>
  </si>
  <si>
    <t>BK-876279</t>
  </si>
  <si>
    <t>BK-566598</t>
  </si>
  <si>
    <t>BK-965206</t>
  </si>
  <si>
    <t>Data Power</t>
  </si>
  <si>
    <t>BK-156728</t>
  </si>
  <si>
    <t>BK-711717</t>
  </si>
  <si>
    <t>BK-592172</t>
  </si>
  <si>
    <t>Forest Mind</t>
  </si>
  <si>
    <t>BK-408291</t>
  </si>
  <si>
    <t>BK-567063</t>
  </si>
  <si>
    <t>BK-291503</t>
  </si>
  <si>
    <t>BK-388467</t>
  </si>
  <si>
    <t>BK-318101</t>
  </si>
  <si>
    <t>BK-134922</t>
  </si>
  <si>
    <t>BK-277693</t>
  </si>
  <si>
    <t>BK-409785</t>
  </si>
  <si>
    <t>BK-872085</t>
  </si>
  <si>
    <t>BK-533845</t>
  </si>
  <si>
    <t>BK-284040</t>
  </si>
  <si>
    <t>BK-790904</t>
  </si>
  <si>
    <t>BK-374220</t>
  </si>
  <si>
    <t>BK-135632</t>
  </si>
  <si>
    <t>BK-368099</t>
  </si>
  <si>
    <t>BK-432046</t>
  </si>
  <si>
    <t>BK-253009</t>
  </si>
  <si>
    <t>BK-443936</t>
  </si>
  <si>
    <t>BK-656548</t>
  </si>
  <si>
    <t>BK-622552</t>
  </si>
  <si>
    <t>BK-200204</t>
  </si>
  <si>
    <t>BK-379950</t>
  </si>
  <si>
    <t>BK-897231</t>
  </si>
  <si>
    <t>BK-599134</t>
  </si>
  <si>
    <t>BK-275986</t>
  </si>
  <si>
    <t>BK-433498</t>
  </si>
  <si>
    <t>BK-118093</t>
  </si>
  <si>
    <t>BK-628645</t>
  </si>
  <si>
    <t>BK-833090</t>
  </si>
  <si>
    <t>BK-590651</t>
  </si>
  <si>
    <t>BK-351312</t>
  </si>
  <si>
    <t>BK-850091</t>
  </si>
  <si>
    <t>BK-182869</t>
  </si>
  <si>
    <t>BK-184726</t>
  </si>
  <si>
    <t>BK-902351</t>
  </si>
  <si>
    <t>BK-659609</t>
  </si>
  <si>
    <t>Emma Lee</t>
  </si>
  <si>
    <t>BK-230181</t>
  </si>
  <si>
    <t>BK-325115</t>
  </si>
  <si>
    <t>BK-237792</t>
  </si>
  <si>
    <t>BK-417538</t>
  </si>
  <si>
    <t>BK-647605</t>
  </si>
  <si>
    <t>BK-877647</t>
  </si>
  <si>
    <t>BK-617382</t>
  </si>
  <si>
    <t>BK-371159</t>
  </si>
  <si>
    <t>BK-192545</t>
  </si>
  <si>
    <t>BK-651706</t>
  </si>
  <si>
    <t>BK-431658</t>
  </si>
  <si>
    <t>Lisa Park</t>
  </si>
  <si>
    <t>BK-795035</t>
  </si>
  <si>
    <t>BK-802706</t>
  </si>
  <si>
    <t>BK-302103</t>
  </si>
  <si>
    <t>BK-647405</t>
  </si>
  <si>
    <t>BK-925125</t>
  </si>
  <si>
    <t>BK-819124</t>
  </si>
  <si>
    <t>BK-644825</t>
  </si>
  <si>
    <t>BK-859151</t>
  </si>
  <si>
    <t>BK-691176</t>
  </si>
  <si>
    <t>BK-986428</t>
  </si>
  <si>
    <t>Sarah Brown</t>
  </si>
  <si>
    <t>BK-188566</t>
  </si>
  <si>
    <t>BK-245790</t>
  </si>
  <si>
    <t>BK-179147</t>
  </si>
  <si>
    <t>BK-841054</t>
  </si>
  <si>
    <t>BK-346564</t>
  </si>
  <si>
    <t>BK-256033</t>
  </si>
  <si>
    <t>BK-489778</t>
  </si>
  <si>
    <t>BK-611772</t>
  </si>
  <si>
    <t>BK-808198</t>
  </si>
  <si>
    <t>BK-460714</t>
  </si>
  <si>
    <t>BK-846312</t>
  </si>
  <si>
    <t>BK-550078</t>
  </si>
  <si>
    <t>BK-674159</t>
  </si>
  <si>
    <t>BK-911827</t>
  </si>
  <si>
    <t>BK-621651</t>
  </si>
  <si>
    <t>BK-298011</t>
  </si>
  <si>
    <t>BK-262187</t>
  </si>
  <si>
    <t>BK-408670</t>
  </si>
  <si>
    <t>BK-350219</t>
  </si>
  <si>
    <t>BK-129603</t>
  </si>
  <si>
    <t>BK-781851</t>
  </si>
  <si>
    <t>BK-219536</t>
  </si>
  <si>
    <t>BK-787229</t>
  </si>
  <si>
    <t>BK-462309</t>
  </si>
  <si>
    <t>BK-124329</t>
  </si>
  <si>
    <t>BK-172352</t>
  </si>
  <si>
    <t>BK-795031</t>
  </si>
  <si>
    <t>BK-608016</t>
  </si>
  <si>
    <t>BK-592753</t>
  </si>
  <si>
    <t>BK-859710</t>
  </si>
  <si>
    <t>BK-742100</t>
  </si>
  <si>
    <t>BK-466522</t>
  </si>
  <si>
    <t>BK-216464</t>
  </si>
  <si>
    <t>BK-295474</t>
  </si>
  <si>
    <t>BK-815151</t>
  </si>
  <si>
    <t>BK-689534</t>
  </si>
  <si>
    <t>BK-548535</t>
  </si>
  <si>
    <t>BK-207734</t>
  </si>
  <si>
    <t>BK-866333</t>
  </si>
  <si>
    <t>BK-500868</t>
  </si>
  <si>
    <t>BK-846156</t>
  </si>
  <si>
    <t>BK-723462</t>
  </si>
  <si>
    <t>BK-276941</t>
  </si>
  <si>
    <t>BK-657234</t>
  </si>
  <si>
    <t>BK-909333</t>
  </si>
  <si>
    <t>BK-270184</t>
  </si>
  <si>
    <t>BK-540570</t>
  </si>
  <si>
    <t>BK-303214</t>
  </si>
  <si>
    <t>BK-860095</t>
  </si>
  <si>
    <t>BK-272710</t>
  </si>
  <si>
    <t>BK-340772</t>
  </si>
  <si>
    <t>BK-172719</t>
  </si>
  <si>
    <t>BK-392500</t>
  </si>
  <si>
    <t>BK-275966</t>
  </si>
  <si>
    <t>BK-532123</t>
  </si>
  <si>
    <t>BK-702071</t>
  </si>
  <si>
    <t>BK-818620</t>
  </si>
  <si>
    <t>BK-757566</t>
  </si>
  <si>
    <t>BK-289432</t>
  </si>
  <si>
    <t>BK-723621</t>
  </si>
  <si>
    <t>BK-979346</t>
  </si>
  <si>
    <t>BK-442644</t>
  </si>
  <si>
    <t>BK-295615</t>
  </si>
  <si>
    <t>BK-770376</t>
  </si>
  <si>
    <t>BK-831341</t>
  </si>
  <si>
    <t>BK-574451</t>
  </si>
  <si>
    <t>BK-424815</t>
  </si>
  <si>
    <t>BK-458597</t>
  </si>
  <si>
    <t>BK-477684</t>
  </si>
  <si>
    <t>BK-948683</t>
  </si>
  <si>
    <t>BK-319440</t>
  </si>
  <si>
    <t>BK-349378</t>
  </si>
  <si>
    <t>BK-111891</t>
  </si>
  <si>
    <t>BK-552466</t>
  </si>
  <si>
    <t>BK-725843</t>
  </si>
  <si>
    <t>BK-209348</t>
  </si>
  <si>
    <t>BK-671723</t>
  </si>
  <si>
    <t>BK-614582</t>
  </si>
  <si>
    <t>BK-481739</t>
  </si>
  <si>
    <t>BK-333229</t>
  </si>
  <si>
    <t>BK-433350</t>
  </si>
  <si>
    <t>BK-641627</t>
  </si>
  <si>
    <t>BK-320274</t>
  </si>
  <si>
    <t>BK-629093</t>
  </si>
  <si>
    <t>BK-626435</t>
  </si>
  <si>
    <t>BK-184514</t>
  </si>
  <si>
    <t>BK-346765</t>
  </si>
  <si>
    <t>BK-282055</t>
  </si>
  <si>
    <t>BK-677483</t>
  </si>
  <si>
    <t>BK-616625</t>
  </si>
  <si>
    <t>BK-756175</t>
  </si>
  <si>
    <t>BK-355815</t>
  </si>
  <si>
    <t>BK-502877</t>
  </si>
  <si>
    <t>BK-133042</t>
  </si>
  <si>
    <t>BK-414893</t>
  </si>
  <si>
    <t>BK-504589</t>
  </si>
  <si>
    <t>BK-931194</t>
  </si>
  <si>
    <t>BK-340339</t>
  </si>
  <si>
    <t>BK-271535</t>
  </si>
  <si>
    <t>BK-938045</t>
  </si>
  <si>
    <t>BK-853944</t>
  </si>
  <si>
    <t>BK-156625</t>
  </si>
  <si>
    <t>BK-219795</t>
  </si>
  <si>
    <t>BK-503207</t>
  </si>
  <si>
    <t>BK-578261</t>
  </si>
  <si>
    <t>BK-756938</t>
  </si>
  <si>
    <t>BK-319176</t>
  </si>
  <si>
    <t>BK-146535</t>
  </si>
  <si>
    <t>BK-241838</t>
  </si>
  <si>
    <t>BK-283279</t>
  </si>
  <si>
    <t>BK-654034</t>
  </si>
  <si>
    <t>BK-691553</t>
  </si>
  <si>
    <t>BK-705065</t>
  </si>
  <si>
    <t>BK-153476</t>
  </si>
  <si>
    <t>BK-801501</t>
  </si>
  <si>
    <t>BK-154016</t>
  </si>
  <si>
    <t>BK-751106</t>
  </si>
  <si>
    <t>BK-761038</t>
  </si>
  <si>
    <t>BK-519566</t>
  </si>
  <si>
    <t>BK-229244</t>
  </si>
  <si>
    <t>BK-795811</t>
  </si>
  <si>
    <t>BK-676948</t>
  </si>
  <si>
    <t>BK-234408</t>
  </si>
  <si>
    <t>BK-589643</t>
  </si>
  <si>
    <t>BK-261723</t>
  </si>
  <si>
    <t>BK-209513</t>
  </si>
  <si>
    <t>BK-538134</t>
  </si>
  <si>
    <t>BK-367096</t>
  </si>
  <si>
    <t>BK-407095</t>
  </si>
  <si>
    <t>BK-195052</t>
  </si>
  <si>
    <t>BK-139225</t>
  </si>
  <si>
    <t>BK-645331</t>
  </si>
  <si>
    <t>BK-448879</t>
  </si>
  <si>
    <t>BK-409825</t>
  </si>
  <si>
    <t>BK-323186</t>
  </si>
  <si>
    <t>BK-557258</t>
  </si>
  <si>
    <t>BK-880470</t>
  </si>
  <si>
    <t>BK-146456</t>
  </si>
  <si>
    <t>BK-142184</t>
  </si>
  <si>
    <t>BK-552091</t>
  </si>
  <si>
    <t>BK-840121</t>
  </si>
  <si>
    <t>BK-885718</t>
  </si>
  <si>
    <t>BK-637505</t>
  </si>
  <si>
    <t>BK-120232</t>
  </si>
  <si>
    <t>BK-719923</t>
  </si>
  <si>
    <t>BK-266165</t>
  </si>
  <si>
    <t>BK-573140</t>
  </si>
  <si>
    <t>BK-220935</t>
  </si>
  <si>
    <t>BK-178869</t>
  </si>
  <si>
    <t>BK-241403</t>
  </si>
  <si>
    <t>BK-611082</t>
  </si>
  <si>
    <t>BK-854250</t>
  </si>
  <si>
    <t>BK-319565</t>
  </si>
  <si>
    <t>BK-584471</t>
  </si>
  <si>
    <t>BK-716416</t>
  </si>
  <si>
    <t>BK-601705</t>
  </si>
  <si>
    <t>BK-344905</t>
  </si>
  <si>
    <t>BK-247462</t>
  </si>
  <si>
    <t>BK-551594</t>
  </si>
  <si>
    <t>BK-221888</t>
  </si>
  <si>
    <t>BK-830387</t>
  </si>
  <si>
    <t>BK-238557</t>
  </si>
  <si>
    <t>BK-230085</t>
  </si>
  <si>
    <t>BK-887043</t>
  </si>
  <si>
    <t>BK-300592</t>
  </si>
  <si>
    <t>BK-193959</t>
  </si>
  <si>
    <t>BK-113062</t>
  </si>
  <si>
    <t>BK-613741</t>
  </si>
  <si>
    <t>BK-388039</t>
  </si>
  <si>
    <t>BK-145563</t>
  </si>
  <si>
    <t>BK-176148</t>
  </si>
  <si>
    <t>BK-822540</t>
  </si>
  <si>
    <t>BK-215553</t>
  </si>
  <si>
    <t>BK-826865</t>
  </si>
  <si>
    <t>BK-344810</t>
  </si>
  <si>
    <t>BK-699222</t>
  </si>
  <si>
    <t>BK-900159</t>
  </si>
  <si>
    <t>BK-463755</t>
  </si>
  <si>
    <t>BK-297611</t>
  </si>
  <si>
    <t>BK-590218</t>
  </si>
  <si>
    <t>BK-485908</t>
  </si>
  <si>
    <t>BK-749060</t>
  </si>
  <si>
    <t>BK-824217</t>
  </si>
  <si>
    <t>BK-831630</t>
  </si>
  <si>
    <t>BK-143353</t>
  </si>
  <si>
    <t>BK-835155</t>
  </si>
  <si>
    <t>BK-886276</t>
  </si>
  <si>
    <t>BK-410485</t>
  </si>
  <si>
    <t>BK-211492</t>
  </si>
  <si>
    <t>BK-433476</t>
  </si>
  <si>
    <t>BK-705462</t>
  </si>
  <si>
    <t>BK-914423</t>
  </si>
  <si>
    <t>BK-879519</t>
  </si>
  <si>
    <t>BK-419202</t>
  </si>
  <si>
    <t>BK-777292</t>
  </si>
  <si>
    <t>BK-297790</t>
  </si>
  <si>
    <t>BK-973341</t>
  </si>
  <si>
    <t>BK-178309</t>
  </si>
  <si>
    <t>BK-468222</t>
  </si>
  <si>
    <t>BK-138990</t>
  </si>
  <si>
    <t>BK-785124</t>
  </si>
  <si>
    <t>BK-698766</t>
  </si>
  <si>
    <t>BK-263391</t>
  </si>
  <si>
    <t>BK-688442</t>
  </si>
  <si>
    <t>BK-233883</t>
  </si>
  <si>
    <t>BK-292895</t>
  </si>
  <si>
    <t>BK-885131</t>
  </si>
  <si>
    <t>BK-763605</t>
  </si>
  <si>
    <t>BK-442847</t>
  </si>
  <si>
    <t>BK-276768</t>
  </si>
  <si>
    <t>BK-901682</t>
  </si>
  <si>
    <t>BK-482138</t>
  </si>
  <si>
    <t>BK-829390</t>
  </si>
  <si>
    <t>BK-287717</t>
  </si>
  <si>
    <t>BK-548157</t>
  </si>
  <si>
    <t>BK-575693</t>
  </si>
  <si>
    <t>BK-281227</t>
  </si>
  <si>
    <t>BK-843764</t>
  </si>
  <si>
    <t>BK-303759</t>
  </si>
  <si>
    <t>BK-641408</t>
  </si>
  <si>
    <t>BK-953850</t>
  </si>
  <si>
    <t>BK-559887</t>
  </si>
  <si>
    <t>BK-890888</t>
  </si>
  <si>
    <t>BK-561555</t>
  </si>
  <si>
    <t>BK-399091</t>
  </si>
  <si>
    <t>BK-530997</t>
  </si>
  <si>
    <t>BK-904203</t>
  </si>
  <si>
    <t>BK-296949</t>
  </si>
  <si>
    <t>BK-117033</t>
  </si>
  <si>
    <t>BK-211035</t>
  </si>
  <si>
    <t>BK-580068</t>
  </si>
  <si>
    <t>Future Data</t>
  </si>
  <si>
    <t>BK-633098</t>
  </si>
  <si>
    <t>BK-385396</t>
  </si>
  <si>
    <t>BK-556949</t>
  </si>
  <si>
    <t>BK-391848</t>
  </si>
  <si>
    <t>BK-411269</t>
  </si>
  <si>
    <t>BK-650270</t>
  </si>
  <si>
    <t>BK-728446</t>
  </si>
  <si>
    <t>BK-613760</t>
  </si>
  <si>
    <t>BK-726628</t>
  </si>
  <si>
    <t>BK-469842</t>
  </si>
  <si>
    <t>BK-190370</t>
  </si>
  <si>
    <t>BK-312651</t>
  </si>
  <si>
    <t>BK-184559</t>
  </si>
  <si>
    <t>BK-583698</t>
  </si>
  <si>
    <t>BK-828016</t>
  </si>
  <si>
    <t>BK-209006</t>
  </si>
  <si>
    <t>BK-294912</t>
  </si>
  <si>
    <t>BK-138301</t>
  </si>
  <si>
    <t>BK-587377</t>
  </si>
  <si>
    <t>BK-100912</t>
  </si>
  <si>
    <t>BK-592164</t>
  </si>
  <si>
    <t>BK-160802</t>
  </si>
  <si>
    <t>BK-758779</t>
  </si>
  <si>
    <t>BK-831926</t>
  </si>
  <si>
    <t>BK-140951</t>
  </si>
  <si>
    <t>BK-215136</t>
  </si>
  <si>
    <t>BK-322045</t>
  </si>
  <si>
    <t>BK-824870</t>
  </si>
  <si>
    <t>BK-863775</t>
  </si>
  <si>
    <t>BK-175073</t>
  </si>
  <si>
    <t>BK-260056</t>
  </si>
  <si>
    <t>BK-765359</t>
  </si>
  <si>
    <t>BK-530486</t>
  </si>
  <si>
    <t>BK-496948</t>
  </si>
  <si>
    <t>BK-283930</t>
  </si>
  <si>
    <t>BK-811579</t>
  </si>
  <si>
    <t>BK-175613</t>
  </si>
  <si>
    <t>BK-419245</t>
  </si>
  <si>
    <t>BK-932908</t>
  </si>
  <si>
    <t>BK-233131</t>
  </si>
  <si>
    <t>BK-839611</t>
  </si>
  <si>
    <t>BK-754828</t>
  </si>
  <si>
    <t>BK-417215</t>
  </si>
  <si>
    <t>BK-778320</t>
  </si>
  <si>
    <t>BK-101095</t>
  </si>
  <si>
    <t>BK-217683</t>
  </si>
  <si>
    <t>BK-628349</t>
  </si>
  <si>
    <t>BK-972818</t>
  </si>
  <si>
    <t>BK-357942</t>
  </si>
  <si>
    <t>BK-252277</t>
  </si>
  <si>
    <t>BK-164440</t>
  </si>
  <si>
    <t>BK-842422</t>
  </si>
  <si>
    <t>BK-568369</t>
  </si>
  <si>
    <t>BK-992862</t>
  </si>
  <si>
    <t>BK-197214</t>
  </si>
  <si>
    <t>BK-576821</t>
  </si>
  <si>
    <t>BK-682596</t>
  </si>
  <si>
    <t>BK-293204</t>
  </si>
  <si>
    <t>BK-885856</t>
  </si>
  <si>
    <t>BK-702661</t>
  </si>
  <si>
    <t>BK-655355</t>
  </si>
  <si>
    <t>BK-121971</t>
  </si>
  <si>
    <t>BK-729002</t>
  </si>
  <si>
    <t>BK-218807</t>
  </si>
  <si>
    <t>BK-163785</t>
  </si>
  <si>
    <t>BK-340332</t>
  </si>
  <si>
    <t>BK-993148</t>
  </si>
  <si>
    <t>BK-978306</t>
  </si>
  <si>
    <t>BK-636531</t>
  </si>
  <si>
    <t>BK-611641</t>
  </si>
  <si>
    <t>BK-664953</t>
  </si>
  <si>
    <t>BK-347567</t>
  </si>
  <si>
    <t>BK-711477</t>
  </si>
  <si>
    <t>BK-716440</t>
  </si>
  <si>
    <t>BK-505231</t>
  </si>
  <si>
    <t>BK-549873</t>
  </si>
  <si>
    <t>BK-110115</t>
  </si>
  <si>
    <t>BK-578518</t>
  </si>
  <si>
    <t>BK-441654</t>
  </si>
  <si>
    <t>BK-878115</t>
  </si>
  <si>
    <t>BK-126909</t>
  </si>
  <si>
    <t>BK-669969</t>
  </si>
  <si>
    <t>BK-375792</t>
  </si>
  <si>
    <t>BK-813355</t>
  </si>
  <si>
    <t>BK-235260</t>
  </si>
  <si>
    <t>BK-993974</t>
  </si>
  <si>
    <t>BK-756115</t>
  </si>
  <si>
    <t>BK-654487</t>
  </si>
  <si>
    <t>BK-126870</t>
  </si>
  <si>
    <t>BK-511753</t>
  </si>
  <si>
    <t>BK-249581</t>
  </si>
  <si>
    <t>BK-193113</t>
  </si>
  <si>
    <t>BK-236038</t>
  </si>
  <si>
    <t>BK-696160</t>
  </si>
  <si>
    <t>BK-586036</t>
  </si>
  <si>
    <t>BK-498305</t>
  </si>
  <si>
    <t>BK-381728</t>
  </si>
  <si>
    <t>BK-286698</t>
  </si>
  <si>
    <t>BK-415703</t>
  </si>
  <si>
    <t>BK-626701</t>
  </si>
  <si>
    <t>BK-148510</t>
  </si>
  <si>
    <t>BK-298405</t>
  </si>
  <si>
    <t>BK-725558</t>
  </si>
  <si>
    <t>BK-399316</t>
  </si>
  <si>
    <t>BK-506101</t>
  </si>
  <si>
    <t>BK-565080</t>
  </si>
  <si>
    <t>BK-336571</t>
  </si>
  <si>
    <t>BK-121178</t>
  </si>
  <si>
    <t>BK-250586</t>
  </si>
  <si>
    <t>BK-508237</t>
  </si>
  <si>
    <t>BK-497612</t>
  </si>
  <si>
    <t>BK-189675</t>
  </si>
  <si>
    <t>BK-281174</t>
  </si>
  <si>
    <t>BK-691583</t>
  </si>
  <si>
    <t>BK-600520</t>
  </si>
  <si>
    <t>BK-694453</t>
  </si>
  <si>
    <t>BK-603748</t>
  </si>
  <si>
    <t>BK-600020</t>
  </si>
  <si>
    <t>BK-476740</t>
  </si>
  <si>
    <t>BK-707577</t>
  </si>
  <si>
    <t>BK-123928</t>
  </si>
  <si>
    <t>BK-764160</t>
  </si>
  <si>
    <t>BK-408958</t>
  </si>
  <si>
    <t>BK-909706</t>
  </si>
  <si>
    <t>BK-301355</t>
  </si>
  <si>
    <t>BK-646343</t>
  </si>
  <si>
    <t>BK-305588</t>
  </si>
  <si>
    <t>BK-438148</t>
  </si>
  <si>
    <t>BK-781504</t>
  </si>
  <si>
    <t>BK-767869</t>
  </si>
  <si>
    <t>BK-148529</t>
  </si>
  <si>
    <t>BK-246305</t>
  </si>
  <si>
    <t>BK-940562</t>
  </si>
  <si>
    <t>BK-114304</t>
  </si>
  <si>
    <t>BK-491445</t>
  </si>
  <si>
    <t>BK-549180</t>
  </si>
  <si>
    <t>BK-492858</t>
  </si>
  <si>
    <t>BK-921585</t>
  </si>
  <si>
    <t>BK-443019</t>
  </si>
  <si>
    <t>BK-840594</t>
  </si>
  <si>
    <t>BK-658335</t>
  </si>
  <si>
    <t>BK-888012</t>
  </si>
  <si>
    <t>BK-252944</t>
  </si>
  <si>
    <t>BK-938816</t>
  </si>
  <si>
    <t>BK-438640</t>
  </si>
  <si>
    <t>BK-463421</t>
  </si>
  <si>
    <t>BK-153581</t>
  </si>
  <si>
    <t>BK-397864</t>
  </si>
  <si>
    <t>BK-420729</t>
  </si>
  <si>
    <t>BK-943425</t>
  </si>
  <si>
    <t>BK-831651</t>
  </si>
  <si>
    <t>BK-363624</t>
  </si>
  <si>
    <t>BK-725859</t>
  </si>
  <si>
    <t>BK-693520</t>
  </si>
  <si>
    <t>BK-618166</t>
  </si>
  <si>
    <t>BK-364299</t>
  </si>
  <si>
    <t>BK-873139</t>
  </si>
  <si>
    <t>BK-607532</t>
  </si>
  <si>
    <t>BK-590652</t>
  </si>
  <si>
    <t>BK-189382</t>
  </si>
  <si>
    <t>BK-228789</t>
  </si>
  <si>
    <t>BK-480007</t>
  </si>
  <si>
    <t>BK-317279</t>
  </si>
  <si>
    <t>BK-584194</t>
  </si>
  <si>
    <t>BK-521140</t>
  </si>
  <si>
    <t>BK-773237</t>
  </si>
  <si>
    <t>BK-580412</t>
  </si>
  <si>
    <t>BK-805619</t>
  </si>
  <si>
    <t>BK-433715</t>
  </si>
  <si>
    <t>BK-722070</t>
  </si>
  <si>
    <t>BK-712308</t>
  </si>
  <si>
    <t>BK-250083</t>
  </si>
  <si>
    <t>BK-374774</t>
  </si>
  <si>
    <t>BK-937853</t>
  </si>
  <si>
    <t>BK-922103</t>
  </si>
  <si>
    <t>BK-275253</t>
  </si>
  <si>
    <t>BK-802218</t>
  </si>
  <si>
    <t>BK-496425</t>
  </si>
  <si>
    <t>BK-623507</t>
  </si>
  <si>
    <t>BK-558026</t>
  </si>
  <si>
    <t>BK-782918</t>
  </si>
  <si>
    <t>BK-455785</t>
  </si>
  <si>
    <t>BK-712083</t>
  </si>
  <si>
    <t>BK-958873</t>
  </si>
  <si>
    <t>BK-794892</t>
  </si>
  <si>
    <t>BK-154945</t>
  </si>
  <si>
    <t>BK-303836</t>
  </si>
  <si>
    <t>BK-936798</t>
  </si>
  <si>
    <t>BK-269275</t>
  </si>
  <si>
    <t>BK-660556</t>
  </si>
  <si>
    <t>BK-835624</t>
  </si>
  <si>
    <t>BK-636295</t>
  </si>
  <si>
    <t>BK-758644</t>
  </si>
  <si>
    <t>BK-740441</t>
  </si>
  <si>
    <t>BK-429061</t>
  </si>
  <si>
    <t>BK-495081</t>
  </si>
  <si>
    <t>BK-830595</t>
  </si>
  <si>
    <t>BK-431444</t>
  </si>
  <si>
    <t>BK-948532</t>
  </si>
  <si>
    <t>BK-808216</t>
  </si>
  <si>
    <t>BK-561176</t>
  </si>
  <si>
    <t>BK-384844</t>
  </si>
  <si>
    <t>BK-681294</t>
  </si>
  <si>
    <t>BK-609548</t>
  </si>
  <si>
    <t>BK-848835</t>
  </si>
  <si>
    <t>BK-276412</t>
  </si>
  <si>
    <t>BK-280203</t>
  </si>
  <si>
    <t>BK-378339</t>
  </si>
  <si>
    <t>BK-948666</t>
  </si>
  <si>
    <t>BK-818824</t>
  </si>
  <si>
    <t>BK-498016</t>
  </si>
  <si>
    <t>BK-468568</t>
  </si>
  <si>
    <t>BK-836167</t>
  </si>
  <si>
    <t>BK-435514</t>
  </si>
  <si>
    <t>BK-999463</t>
  </si>
  <si>
    <t>BK-738095</t>
  </si>
  <si>
    <t>BK-420356</t>
  </si>
  <si>
    <t>BK-626021</t>
  </si>
  <si>
    <t>BK-623620</t>
  </si>
  <si>
    <t>BK-827156</t>
  </si>
  <si>
    <t>BK-272516</t>
  </si>
  <si>
    <t>BK-624982</t>
  </si>
  <si>
    <t>BK-859962</t>
  </si>
  <si>
    <t>BK-530128</t>
  </si>
  <si>
    <t>BK-965199</t>
  </si>
  <si>
    <t>BK-961461</t>
  </si>
  <si>
    <t>BK-355039</t>
  </si>
  <si>
    <t>BK-746662</t>
  </si>
  <si>
    <t>BK-727550</t>
  </si>
  <si>
    <t>BK-362499</t>
  </si>
  <si>
    <t>BK-185165</t>
  </si>
  <si>
    <t>BK-266276</t>
  </si>
  <si>
    <t>BK-935083</t>
  </si>
  <si>
    <t>BK-861149</t>
  </si>
  <si>
    <t>BK-741732</t>
  </si>
  <si>
    <t>BK-135616</t>
  </si>
  <si>
    <t>BK-640961</t>
  </si>
  <si>
    <t>BK-892208</t>
  </si>
  <si>
    <t>BK-660972</t>
  </si>
  <si>
    <t>BK-745848</t>
  </si>
  <si>
    <t>BK-998918</t>
  </si>
  <si>
    <t>BK-359218</t>
  </si>
  <si>
    <t>BK-256955</t>
  </si>
  <si>
    <t>BK-752421</t>
  </si>
  <si>
    <t>BK-189028</t>
  </si>
  <si>
    <t>BK-292676</t>
  </si>
  <si>
    <t>BK-805685</t>
  </si>
  <si>
    <t>BK-835090</t>
  </si>
  <si>
    <t>BK-784600</t>
  </si>
  <si>
    <t>BK-825485</t>
  </si>
  <si>
    <t>BK-333818</t>
  </si>
  <si>
    <t>BK-966059</t>
  </si>
  <si>
    <t>BK-399133</t>
  </si>
  <si>
    <t>BK-282104</t>
  </si>
  <si>
    <t>BK-353266</t>
  </si>
  <si>
    <t>BK-131954</t>
  </si>
  <si>
    <t>BK-272343</t>
  </si>
  <si>
    <t>BK-337902</t>
  </si>
  <si>
    <t>BK-147122</t>
  </si>
  <si>
    <t>BK-772728</t>
  </si>
  <si>
    <t>BK-250721</t>
  </si>
  <si>
    <t>BK-512809</t>
  </si>
  <si>
    <t>BK-457905</t>
  </si>
  <si>
    <t>BK-411674</t>
  </si>
  <si>
    <t>BK-141350</t>
  </si>
  <si>
    <t>BK-935538</t>
  </si>
  <si>
    <t>BK-909744</t>
  </si>
  <si>
    <t>BK-822149</t>
  </si>
  <si>
    <t>BK-171429</t>
  </si>
  <si>
    <t>BK-254825</t>
  </si>
  <si>
    <t>BK-713073</t>
  </si>
  <si>
    <t>BK-643533</t>
  </si>
  <si>
    <t>BK-622543</t>
  </si>
  <si>
    <t>BK-753414</t>
  </si>
  <si>
    <t>BK-886755</t>
  </si>
  <si>
    <t>BK-444369</t>
  </si>
  <si>
    <t>BK-596221</t>
  </si>
  <si>
    <t>BK-573344</t>
  </si>
  <si>
    <t>BK-179723</t>
  </si>
  <si>
    <t>BK-957711</t>
  </si>
  <si>
    <t>BK-387327</t>
  </si>
  <si>
    <t>BK-491213</t>
  </si>
  <si>
    <t>BK-808481</t>
  </si>
  <si>
    <t>BK-207603</t>
  </si>
  <si>
    <t>BK-676340</t>
  </si>
  <si>
    <t>BK-875137</t>
  </si>
  <si>
    <t>BK-853460</t>
  </si>
  <si>
    <t>BK-464431</t>
  </si>
  <si>
    <t>BK-372996</t>
  </si>
  <si>
    <t>BK-874544</t>
  </si>
  <si>
    <t>BK-827171</t>
  </si>
  <si>
    <t>BK-781955</t>
  </si>
  <si>
    <t>BK-567574</t>
  </si>
  <si>
    <t>BK-377079</t>
  </si>
  <si>
    <t>BK-320527</t>
  </si>
  <si>
    <t>BK-575024</t>
  </si>
  <si>
    <t>BK-482744</t>
  </si>
  <si>
    <t>BK-910483</t>
  </si>
  <si>
    <t>BK-126261</t>
  </si>
  <si>
    <t>BK-179030</t>
  </si>
  <si>
    <t>BK-316574</t>
  </si>
  <si>
    <t>BK-782659</t>
  </si>
  <si>
    <t>BK-913468</t>
  </si>
  <si>
    <t>BK-841140</t>
  </si>
  <si>
    <t>BK-346814</t>
  </si>
  <si>
    <t>BK-913859</t>
  </si>
  <si>
    <t>BK-474546</t>
  </si>
  <si>
    <t>BK-663928</t>
  </si>
  <si>
    <t>BK-902816</t>
  </si>
  <si>
    <t>BK-287845</t>
  </si>
  <si>
    <t>BK-612306</t>
  </si>
  <si>
    <t>BK-201521</t>
  </si>
  <si>
    <t>BK-614432</t>
  </si>
  <si>
    <t>BK-955022</t>
  </si>
  <si>
    <t>BK-754041</t>
  </si>
  <si>
    <t>BK-346888</t>
  </si>
  <si>
    <t>BK-516635</t>
  </si>
  <si>
    <t>BK-782290</t>
  </si>
  <si>
    <t>BK-557147</t>
  </si>
  <si>
    <t>BK-625373</t>
  </si>
  <si>
    <t>BK-673188</t>
  </si>
  <si>
    <t>BK-839277</t>
  </si>
  <si>
    <t>BK-780215</t>
  </si>
  <si>
    <t>BK-290908</t>
  </si>
  <si>
    <t>BK-323045</t>
  </si>
  <si>
    <t>BK-177165</t>
  </si>
  <si>
    <t>BK-706793</t>
  </si>
  <si>
    <t>BK-285332</t>
  </si>
  <si>
    <t>BK-235040</t>
  </si>
  <si>
    <t>BK-581487</t>
  </si>
  <si>
    <t>BK-577826</t>
  </si>
  <si>
    <t>BK-966316</t>
  </si>
  <si>
    <t>BK-535840</t>
  </si>
  <si>
    <t>BK-551349</t>
  </si>
  <si>
    <t>BK-517807</t>
  </si>
  <si>
    <t>BK-806588</t>
  </si>
  <si>
    <t>BK-672536</t>
  </si>
  <si>
    <t>BK-640640</t>
  </si>
  <si>
    <t>BK-169240</t>
  </si>
  <si>
    <t>BK-433032</t>
  </si>
  <si>
    <t>BK-955102</t>
  </si>
  <si>
    <t>BK-898309</t>
  </si>
  <si>
    <t>BK-920248</t>
  </si>
  <si>
    <t>BK-364026</t>
  </si>
  <si>
    <t>BK-541486</t>
  </si>
  <si>
    <t>BK-144767</t>
  </si>
  <si>
    <t>BK-108476</t>
  </si>
  <si>
    <t>BK-359124</t>
  </si>
  <si>
    <t>BK-190263</t>
  </si>
  <si>
    <t>BK-488521</t>
  </si>
  <si>
    <t>BK-444961</t>
  </si>
  <si>
    <t>BK-523018</t>
  </si>
  <si>
    <t>Sum of Revenue</t>
  </si>
  <si>
    <t>Row Labels</t>
  </si>
  <si>
    <t>Grand Total</t>
  </si>
  <si>
    <t>Column Labels</t>
  </si>
  <si>
    <t>2023</t>
  </si>
  <si>
    <t>2024</t>
  </si>
  <si>
    <t>janv</t>
  </si>
  <si>
    <t>févr</t>
  </si>
  <si>
    <t>mars</t>
  </si>
  <si>
    <t>avr</t>
  </si>
  <si>
    <t>mai</t>
  </si>
  <si>
    <t>juin</t>
  </si>
  <si>
    <t>juil</t>
  </si>
  <si>
    <t>août</t>
  </si>
  <si>
    <t>sept</t>
  </si>
  <si>
    <t>oct</t>
  </si>
  <si>
    <t>nov</t>
  </si>
  <si>
    <t>déc</t>
  </si>
  <si>
    <t>Loyalty_Card</t>
  </si>
  <si>
    <t>Yes</t>
  </si>
  <si>
    <t>No</t>
  </si>
  <si>
    <t>Membership_Type</t>
  </si>
  <si>
    <t>None</t>
  </si>
  <si>
    <t>Platinum</t>
  </si>
  <si>
    <t>Book_title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</si>
</sst>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
    <numFmt numFmtId="165" formatCode="dd\-mmm\-yyyy"/>
    <numFmt numFmtId="166" formatCode="[$$-409]#,##0"/>
  </numFmts>
  <fonts count="1" x14ac:knownFonts="1">
    <font>
      <sz val="11"/>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3">
    <xf numFmtId="0" fontId="0" fillId="0" borderId="0" xfId="0"/>
    <xf numFmtId="0" fontId="0" fillId="0" borderId="0" xfId="0" applyAlignment="1">
      <alignment wrapText="1"/>
    </xf>
    <xf numFmtId="3" fontId="0" fillId="0" borderId="0" xfId="0" applyNumberFormat="1"/>
    <xf numFmtId="15" fontId="0" fillId="0" borderId="0" xfId="0" applyNumberFormat="1"/>
    <xf numFmtId="164" fontId="0" fillId="0" borderId="1" xfId="0" applyNumberFormat="1" applyBorder="1"/>
    <xf numFmtId="164" fontId="0" fillId="0" borderId="2" xfId="0" applyNumberFormat="1" applyBorder="1"/>
    <xf numFmtId="164" fontId="0" fillId="0" borderId="3" xfId="0" applyNumberFormat="1" applyBorder="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left" indent="1"/>
    </xf>
    <xf numFmtId="166" fontId="0" fillId="0" borderId="0" xfId="0" applyNumberFormat="1"/>
  </cellXfs>
  <cellStyles count="1">
    <cellStyle name="Normal" xfId="0" builtinId="0"/>
  </cellStyles>
  <dxfs count="6">
    <dxf>
      <font>
        <b val="0"/>
        <i val="0"/>
        <sz val="11"/>
        <color theme="0"/>
        <name val="Calibri"/>
        <family val="2"/>
        <scheme val="minor"/>
      </font>
      <fill>
        <patternFill>
          <bgColor rgb="FF002060"/>
        </patternFill>
      </fill>
      <border>
        <left style="thin">
          <color auto="1"/>
        </left>
        <right style="thin">
          <color auto="1"/>
        </right>
        <top style="thin">
          <color auto="1"/>
        </top>
        <bottom style="thin">
          <color auto="1"/>
        </bottom>
      </border>
    </dxf>
    <dxf>
      <font>
        <b val="0"/>
        <i val="0"/>
        <sz val="11"/>
        <color theme="0"/>
        <name val="Calibri"/>
        <family val="2"/>
        <scheme val="minor"/>
      </font>
      <fill>
        <patternFill patternType="solid">
          <fgColor theme="0"/>
          <bgColor rgb="FF002060"/>
        </patternFill>
      </fill>
      <border diagonalUp="0" diagonalDown="0">
        <left style="thin">
          <color theme="0"/>
        </left>
        <right style="thin">
          <color theme="0"/>
        </right>
        <top style="thin">
          <color theme="0"/>
        </top>
        <bottom style="thin">
          <color theme="0"/>
        </bottom>
        <vertical/>
        <horizontal/>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name val="Calibri"/>
        <family val="2"/>
        <scheme val="minor"/>
      </font>
      <fill>
        <patternFill>
          <bgColor rgb="FF002060"/>
        </patternFill>
      </fill>
      <border>
        <left style="thin">
          <color auto="1"/>
        </left>
        <right style="thin">
          <color auto="1"/>
        </right>
        <top style="thin">
          <color auto="1"/>
        </top>
        <bottom style="thin">
          <color auto="1"/>
        </bottom>
      </border>
    </dxf>
    <dxf>
      <font>
        <b/>
        <i val="0"/>
        <sz val="11"/>
        <color theme="0"/>
        <name val="Calibri"/>
        <family val="2"/>
        <scheme val="minor"/>
      </font>
      <fill>
        <patternFill>
          <bgColor rgb="FF002060"/>
        </patternFill>
      </fill>
      <border>
        <left style="thin">
          <color auto="1"/>
        </left>
        <right style="thin">
          <color auto="1"/>
        </right>
        <top style="thin">
          <color auto="1"/>
        </top>
        <bottom style="thin">
          <color auto="1"/>
        </bottom>
      </border>
    </dxf>
  </dxfs>
  <tableStyles count="3" defaultTableStyle="TableStyleMedium2" defaultPivotStyle="PivotStyleLight16">
    <tableStyle name="Slicer Style 1" pivot="0" table="0" count="5" xr9:uid="{CE858833-040B-4568-9B9E-54B46F0AC952}">
      <tableStyleElement type="wholeTable" dxfId="5"/>
      <tableStyleElement type="headerRow" dxfId="4"/>
    </tableStyle>
    <tableStyle name="Timeline Style 1" pivot="0" table="0" count="8" xr9:uid="{71385CB0-17F3-476C-AE91-31B0D3A4CC9D}">
      <tableStyleElement type="wholeTable" dxfId="3"/>
      <tableStyleElement type="headerRow" dxfId="2"/>
    </tableStyle>
    <tableStyle name="Timeline Style 2" pivot="0" table="0" count="8" xr9:uid="{1B204C0B-2441-4ACB-95E9-BD11D2F57160}">
      <tableStyleElement type="wholeTable" dxfId="1"/>
      <tableStyleElement type="headerRow" dxfId="0"/>
    </tableStyle>
  </tableStyles>
  <colors>
    <mruColors>
      <color rgb="FF4A90E2"/>
    </mruColors>
  </colors>
  <extLst>
    <ext xmlns:x14="http://schemas.microsoft.com/office/spreadsheetml/2009/9/main" uri="{46F421CA-312F-682f-3DD2-61675219B42D}">
      <x14:dxfs count="3">
        <dxf>
          <font>
            <b/>
            <i val="0"/>
            <sz val="11"/>
            <color theme="0"/>
            <name val="Calibri"/>
            <family val="2"/>
            <scheme val="minor"/>
          </font>
          <fill>
            <patternFill>
              <bgColor rgb="FF002060"/>
            </patternFill>
          </fill>
          <border>
            <left style="thin">
              <color theme="0"/>
            </left>
            <right style="thin">
              <color theme="0"/>
            </right>
            <top style="thin">
              <color theme="0"/>
            </top>
            <bottom style="thin">
              <color theme="0"/>
            </bottom>
          </border>
        </dxf>
        <dxf>
          <font>
            <color rgb="FF002060"/>
          </font>
          <fill>
            <patternFill>
              <bgColor theme="0"/>
            </patternFill>
          </fill>
        </dxf>
        <dxf>
          <font>
            <b/>
            <i val="0"/>
            <sz val="11"/>
            <color rgb="FF002060"/>
            <name val="Calibri"/>
            <family val="2"/>
            <scheme val="minor"/>
          </font>
          <fill>
            <patternFill>
              <bgColor theme="7"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8">
        <dxf>
          <fill>
            <patternFill patternType="solid">
              <fgColor theme="0" tint="-0.14999847407452621"/>
              <bgColor theme="0" tint="-0.14999847407452621"/>
            </patternFill>
          </fill>
        </dxf>
        <dxf>
          <fill>
            <patternFill patternType="solid">
              <fgColor theme="0"/>
              <bgColor rgb="FF4A90E2"/>
            </patternFill>
          </fill>
        </dxf>
        <dxf>
          <font>
            <sz val="9"/>
            <color theme="0"/>
            <name val="Calibri"/>
            <family val="2"/>
            <scheme val="minor"/>
          </font>
        </dxf>
        <dxf>
          <font>
            <b/>
            <i val="0"/>
            <sz val="11"/>
            <color theme="0"/>
            <name val="Calibri"/>
            <family val="2"/>
            <scheme val="minor"/>
          </font>
        </dxf>
        <dxf>
          <font>
            <sz val="11"/>
            <color theme="0"/>
            <name val="Calibri"/>
            <family val="2"/>
            <scheme val="minor"/>
          </font>
        </dxf>
        <dxf>
          <font>
            <b/>
            <i val="0"/>
            <sz val="10"/>
            <color theme="0"/>
            <name val="Calibri"/>
            <family val="2"/>
            <scheme val="minor"/>
          </font>
        </dxf>
        <dxf>
          <fill>
            <patternFill patternType="solid">
              <fgColor theme="0" tint="-0.14999847407452621"/>
              <bgColor theme="0" tint="-0.14999847407452621"/>
            </patternFill>
          </fill>
        </dxf>
        <dxf>
          <fill>
            <patternFill patternType="solid">
              <fgColor theme="0"/>
              <bgColor theme="7" tint="0.79998168889431442"/>
            </patternFill>
          </fill>
        </dxf>
        <dxf>
          <font>
            <sz val="9"/>
            <color theme="0"/>
            <name val="Calibri"/>
            <family val="2"/>
            <scheme val="minor"/>
          </font>
        </dxf>
        <dxf>
          <font>
            <b/>
            <i val="0"/>
            <sz val="11"/>
            <color theme="0"/>
            <name val="Calibri"/>
            <family val="2"/>
            <scheme val="minor"/>
          </font>
        </dxf>
        <dxf>
          <font>
            <sz val="11"/>
            <color theme="0"/>
            <name val="Calibri"/>
            <family val="2"/>
            <scheme val="minor"/>
          </font>
        </dxf>
        <dxf>
          <font>
            <b/>
            <i val="0"/>
            <sz val="10"/>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sales.xlsx]Pivot table 1!PivotTable1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sz="2800" b="1">
                <a:solidFill>
                  <a:schemeClr val="tx1">
                    <a:lumMod val="95000"/>
                    <a:lumOff val="5000"/>
                  </a:schemeClr>
                </a:solidFill>
              </a:rPr>
              <a:t>Total</a:t>
            </a:r>
            <a:r>
              <a:rPr lang="en-US" sz="2800" baseline="0">
                <a:solidFill>
                  <a:schemeClr val="tx1">
                    <a:lumMod val="95000"/>
                    <a:lumOff val="5000"/>
                  </a:schemeClr>
                </a:solidFill>
              </a:rPr>
              <a:t> </a:t>
            </a:r>
            <a:r>
              <a:rPr lang="en-US" sz="2800" b="1" baseline="0">
                <a:solidFill>
                  <a:schemeClr val="tx1">
                    <a:lumMod val="95000"/>
                    <a:lumOff val="5000"/>
                  </a:schemeClr>
                </a:solidFill>
              </a:rPr>
              <a:t>Sales Over Time</a:t>
            </a:r>
            <a:endParaRPr lang="en-US" sz="2800" b="1">
              <a:solidFill>
                <a:schemeClr val="tx1">
                  <a:lumMod val="95000"/>
                  <a:lumOff val="5000"/>
                </a:schemeClr>
              </a:solidFill>
            </a:endParaRPr>
          </a:p>
        </c:rich>
      </c:tx>
      <c:layout>
        <c:manualLayout>
          <c:xMode val="edge"/>
          <c:yMode val="edge"/>
          <c:x val="0.20185442797038916"/>
          <c:y val="9.259259259259258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82728152884372"/>
          <c:y val="0.22120151647710704"/>
          <c:w val="0.63461198600174973"/>
          <c:h val="0.58122411781860606"/>
        </c:manualLayout>
      </c:layout>
      <c:lineChart>
        <c:grouping val="standard"/>
        <c:varyColors val="0"/>
        <c:ser>
          <c:idx val="0"/>
          <c:order val="0"/>
          <c:tx>
            <c:strRef>
              <c:f>'Pivot table 1'!$B$2:$B$3</c:f>
              <c:strCache>
                <c:ptCount val="1"/>
                <c:pt idx="0">
                  <c:v>BUSINESS</c:v>
                </c:pt>
              </c:strCache>
            </c:strRef>
          </c:tx>
          <c:spPr>
            <a:ln w="28575" cap="rnd">
              <a:solidFill>
                <a:srgbClr val="00B050"/>
              </a:solidFill>
              <a:round/>
            </a:ln>
            <a:effectLst/>
          </c:spPr>
          <c:marker>
            <c:symbol val="none"/>
          </c:marker>
          <c:cat>
            <c:multiLvlStrRef>
              <c:f>'Pivot table 1'!$A$4:$A$30</c:f>
              <c:multiLvlStrCache>
                <c:ptCount val="24"/>
                <c:lvl>
                  <c:pt idx="0">
                    <c:v>janv</c:v>
                  </c:pt>
                  <c:pt idx="1">
                    <c:v>févr</c:v>
                  </c:pt>
                  <c:pt idx="2">
                    <c:v>mars</c:v>
                  </c:pt>
                  <c:pt idx="3">
                    <c:v>avr</c:v>
                  </c:pt>
                  <c:pt idx="4">
                    <c:v>mai</c:v>
                  </c:pt>
                  <c:pt idx="5">
                    <c:v>juin</c:v>
                  </c:pt>
                  <c:pt idx="6">
                    <c:v>juil</c:v>
                  </c:pt>
                  <c:pt idx="7">
                    <c:v>août</c:v>
                  </c:pt>
                  <c:pt idx="8">
                    <c:v>sept</c:v>
                  </c:pt>
                  <c:pt idx="9">
                    <c:v>oct</c:v>
                  </c:pt>
                  <c:pt idx="10">
                    <c:v>nov</c:v>
                  </c:pt>
                  <c:pt idx="11">
                    <c:v>déc</c:v>
                  </c:pt>
                  <c:pt idx="12">
                    <c:v>janv</c:v>
                  </c:pt>
                  <c:pt idx="13">
                    <c:v>févr</c:v>
                  </c:pt>
                  <c:pt idx="14">
                    <c:v>mars</c:v>
                  </c:pt>
                  <c:pt idx="15">
                    <c:v>avr</c:v>
                  </c:pt>
                  <c:pt idx="16">
                    <c:v>mai</c:v>
                  </c:pt>
                  <c:pt idx="17">
                    <c:v>juin</c:v>
                  </c:pt>
                  <c:pt idx="18">
                    <c:v>juil</c:v>
                  </c:pt>
                  <c:pt idx="19">
                    <c:v>août</c:v>
                  </c:pt>
                  <c:pt idx="20">
                    <c:v>sept</c:v>
                  </c:pt>
                  <c:pt idx="21">
                    <c:v>oct</c:v>
                  </c:pt>
                  <c:pt idx="22">
                    <c:v>nov</c:v>
                  </c:pt>
                  <c:pt idx="23">
                    <c:v>déc</c:v>
                  </c:pt>
                </c:lvl>
                <c:lvl>
                  <c:pt idx="0">
                    <c:v>2023</c:v>
                  </c:pt>
                  <c:pt idx="12">
                    <c:v>2024</c:v>
                  </c:pt>
                </c:lvl>
              </c:multiLvlStrCache>
            </c:multiLvlStrRef>
          </c:cat>
          <c:val>
            <c:numRef>
              <c:f>'Pivot table 1'!$B$4:$B$30</c:f>
              <c:numCache>
                <c:formatCode>[$$-409]#\ ##0</c:formatCode>
                <c:ptCount val="24"/>
                <c:pt idx="0">
                  <c:v>592.18000000000006</c:v>
                </c:pt>
                <c:pt idx="1">
                  <c:v>492.21999999999991</c:v>
                </c:pt>
                <c:pt idx="2">
                  <c:v>461.27000000000004</c:v>
                </c:pt>
                <c:pt idx="3">
                  <c:v>634.23000000000013</c:v>
                </c:pt>
                <c:pt idx="4">
                  <c:v>584.28</c:v>
                </c:pt>
                <c:pt idx="5">
                  <c:v>397.50000000000006</c:v>
                </c:pt>
                <c:pt idx="6">
                  <c:v>358.02</c:v>
                </c:pt>
                <c:pt idx="7">
                  <c:v>406.42999999999995</c:v>
                </c:pt>
                <c:pt idx="8">
                  <c:v>127.52000000000001</c:v>
                </c:pt>
                <c:pt idx="9">
                  <c:v>671.96999999999991</c:v>
                </c:pt>
                <c:pt idx="10">
                  <c:v>484.61999999999989</c:v>
                </c:pt>
                <c:pt idx="11">
                  <c:v>341.54999999999995</c:v>
                </c:pt>
                <c:pt idx="12">
                  <c:v>692.61</c:v>
                </c:pt>
                <c:pt idx="13">
                  <c:v>395.71000000000004</c:v>
                </c:pt>
                <c:pt idx="14">
                  <c:v>581.08000000000004</c:v>
                </c:pt>
                <c:pt idx="15">
                  <c:v>394.1</c:v>
                </c:pt>
                <c:pt idx="16">
                  <c:v>504.41999999999996</c:v>
                </c:pt>
                <c:pt idx="17">
                  <c:v>207.66</c:v>
                </c:pt>
                <c:pt idx="18">
                  <c:v>338.56</c:v>
                </c:pt>
                <c:pt idx="19">
                  <c:v>400.64</c:v>
                </c:pt>
                <c:pt idx="20">
                  <c:v>373.59000000000003</c:v>
                </c:pt>
                <c:pt idx="21">
                  <c:v>151.07999999999998</c:v>
                </c:pt>
                <c:pt idx="22">
                  <c:v>462.95</c:v>
                </c:pt>
                <c:pt idx="23">
                  <c:v>298.55</c:v>
                </c:pt>
              </c:numCache>
            </c:numRef>
          </c:val>
          <c:smooth val="0"/>
          <c:extLst>
            <c:ext xmlns:c16="http://schemas.microsoft.com/office/drawing/2014/chart" uri="{C3380CC4-5D6E-409C-BE32-E72D297353CC}">
              <c16:uniqueId val="{00000000-C53B-4ED6-B381-1D03B35F541B}"/>
            </c:ext>
          </c:extLst>
        </c:ser>
        <c:ser>
          <c:idx val="1"/>
          <c:order val="1"/>
          <c:tx>
            <c:strRef>
              <c:f>'Pivot table 1'!$C$2:$C$3</c:f>
              <c:strCache>
                <c:ptCount val="1"/>
                <c:pt idx="0">
                  <c:v>FICTION</c:v>
                </c:pt>
              </c:strCache>
            </c:strRef>
          </c:tx>
          <c:spPr>
            <a:ln w="28575" cap="rnd">
              <a:solidFill>
                <a:schemeClr val="accent2"/>
              </a:solidFill>
              <a:round/>
            </a:ln>
            <a:effectLst/>
          </c:spPr>
          <c:marker>
            <c:symbol val="none"/>
          </c:marker>
          <c:cat>
            <c:multiLvlStrRef>
              <c:f>'Pivot table 1'!$A$4:$A$30</c:f>
              <c:multiLvlStrCache>
                <c:ptCount val="24"/>
                <c:lvl>
                  <c:pt idx="0">
                    <c:v>janv</c:v>
                  </c:pt>
                  <c:pt idx="1">
                    <c:v>févr</c:v>
                  </c:pt>
                  <c:pt idx="2">
                    <c:v>mars</c:v>
                  </c:pt>
                  <c:pt idx="3">
                    <c:v>avr</c:v>
                  </c:pt>
                  <c:pt idx="4">
                    <c:v>mai</c:v>
                  </c:pt>
                  <c:pt idx="5">
                    <c:v>juin</c:v>
                  </c:pt>
                  <c:pt idx="6">
                    <c:v>juil</c:v>
                  </c:pt>
                  <c:pt idx="7">
                    <c:v>août</c:v>
                  </c:pt>
                  <c:pt idx="8">
                    <c:v>sept</c:v>
                  </c:pt>
                  <c:pt idx="9">
                    <c:v>oct</c:v>
                  </c:pt>
                  <c:pt idx="10">
                    <c:v>nov</c:v>
                  </c:pt>
                  <c:pt idx="11">
                    <c:v>déc</c:v>
                  </c:pt>
                  <c:pt idx="12">
                    <c:v>janv</c:v>
                  </c:pt>
                  <c:pt idx="13">
                    <c:v>févr</c:v>
                  </c:pt>
                  <c:pt idx="14">
                    <c:v>mars</c:v>
                  </c:pt>
                  <c:pt idx="15">
                    <c:v>avr</c:v>
                  </c:pt>
                  <c:pt idx="16">
                    <c:v>mai</c:v>
                  </c:pt>
                  <c:pt idx="17">
                    <c:v>juin</c:v>
                  </c:pt>
                  <c:pt idx="18">
                    <c:v>juil</c:v>
                  </c:pt>
                  <c:pt idx="19">
                    <c:v>août</c:v>
                  </c:pt>
                  <c:pt idx="20">
                    <c:v>sept</c:v>
                  </c:pt>
                  <c:pt idx="21">
                    <c:v>oct</c:v>
                  </c:pt>
                  <c:pt idx="22">
                    <c:v>nov</c:v>
                  </c:pt>
                  <c:pt idx="23">
                    <c:v>déc</c:v>
                  </c:pt>
                </c:lvl>
                <c:lvl>
                  <c:pt idx="0">
                    <c:v>2023</c:v>
                  </c:pt>
                  <c:pt idx="12">
                    <c:v>2024</c:v>
                  </c:pt>
                </c:lvl>
              </c:multiLvlStrCache>
            </c:multiLvlStrRef>
          </c:cat>
          <c:val>
            <c:numRef>
              <c:f>'Pivot table 1'!$C$4:$C$30</c:f>
              <c:numCache>
                <c:formatCode>[$$-409]#\ ##0</c:formatCode>
                <c:ptCount val="24"/>
                <c:pt idx="0">
                  <c:v>290.97000000000003</c:v>
                </c:pt>
                <c:pt idx="1">
                  <c:v>364.62</c:v>
                </c:pt>
                <c:pt idx="2">
                  <c:v>373.34000000000003</c:v>
                </c:pt>
                <c:pt idx="3">
                  <c:v>292.76</c:v>
                </c:pt>
                <c:pt idx="4">
                  <c:v>440.3</c:v>
                </c:pt>
                <c:pt idx="5">
                  <c:v>260.08</c:v>
                </c:pt>
                <c:pt idx="6">
                  <c:v>526.8599999999999</c:v>
                </c:pt>
                <c:pt idx="7">
                  <c:v>610.87999999999988</c:v>
                </c:pt>
                <c:pt idx="8">
                  <c:v>507.03</c:v>
                </c:pt>
                <c:pt idx="9">
                  <c:v>633.69000000000005</c:v>
                </c:pt>
                <c:pt idx="10">
                  <c:v>155.76999999999998</c:v>
                </c:pt>
                <c:pt idx="11">
                  <c:v>523.91000000000008</c:v>
                </c:pt>
                <c:pt idx="12">
                  <c:v>417.62</c:v>
                </c:pt>
                <c:pt idx="13">
                  <c:v>446.28999999999996</c:v>
                </c:pt>
                <c:pt idx="14">
                  <c:v>743.16000000000008</c:v>
                </c:pt>
                <c:pt idx="15">
                  <c:v>682.06</c:v>
                </c:pt>
                <c:pt idx="16">
                  <c:v>386.76</c:v>
                </c:pt>
                <c:pt idx="17">
                  <c:v>683.85</c:v>
                </c:pt>
                <c:pt idx="18">
                  <c:v>487.44999999999993</c:v>
                </c:pt>
                <c:pt idx="19">
                  <c:v>560.84</c:v>
                </c:pt>
                <c:pt idx="20">
                  <c:v>445.15999999999997</c:v>
                </c:pt>
                <c:pt idx="21">
                  <c:v>393.47999999999996</c:v>
                </c:pt>
                <c:pt idx="22">
                  <c:v>487.65999999999997</c:v>
                </c:pt>
                <c:pt idx="23">
                  <c:v>525.70000000000005</c:v>
                </c:pt>
              </c:numCache>
            </c:numRef>
          </c:val>
          <c:smooth val="0"/>
          <c:extLst>
            <c:ext xmlns:c16="http://schemas.microsoft.com/office/drawing/2014/chart" uri="{C3380CC4-5D6E-409C-BE32-E72D297353CC}">
              <c16:uniqueId val="{00000000-449B-4119-93C0-55FA17F3C132}"/>
            </c:ext>
          </c:extLst>
        </c:ser>
        <c:ser>
          <c:idx val="2"/>
          <c:order val="2"/>
          <c:tx>
            <c:strRef>
              <c:f>'Pivot table 1'!$D$2:$D$3</c:f>
              <c:strCache>
                <c:ptCount val="1"/>
                <c:pt idx="0">
                  <c:v>HISTORY</c:v>
                </c:pt>
              </c:strCache>
            </c:strRef>
          </c:tx>
          <c:spPr>
            <a:ln w="28575" cap="rnd">
              <a:solidFill>
                <a:schemeClr val="bg1"/>
              </a:solidFill>
              <a:round/>
            </a:ln>
            <a:effectLst/>
          </c:spPr>
          <c:marker>
            <c:symbol val="none"/>
          </c:marker>
          <c:cat>
            <c:multiLvlStrRef>
              <c:f>'Pivot table 1'!$A$4:$A$30</c:f>
              <c:multiLvlStrCache>
                <c:ptCount val="24"/>
                <c:lvl>
                  <c:pt idx="0">
                    <c:v>janv</c:v>
                  </c:pt>
                  <c:pt idx="1">
                    <c:v>févr</c:v>
                  </c:pt>
                  <c:pt idx="2">
                    <c:v>mars</c:v>
                  </c:pt>
                  <c:pt idx="3">
                    <c:v>avr</c:v>
                  </c:pt>
                  <c:pt idx="4">
                    <c:v>mai</c:v>
                  </c:pt>
                  <c:pt idx="5">
                    <c:v>juin</c:v>
                  </c:pt>
                  <c:pt idx="6">
                    <c:v>juil</c:v>
                  </c:pt>
                  <c:pt idx="7">
                    <c:v>août</c:v>
                  </c:pt>
                  <c:pt idx="8">
                    <c:v>sept</c:v>
                  </c:pt>
                  <c:pt idx="9">
                    <c:v>oct</c:v>
                  </c:pt>
                  <c:pt idx="10">
                    <c:v>nov</c:v>
                  </c:pt>
                  <c:pt idx="11">
                    <c:v>déc</c:v>
                  </c:pt>
                  <c:pt idx="12">
                    <c:v>janv</c:v>
                  </c:pt>
                  <c:pt idx="13">
                    <c:v>févr</c:v>
                  </c:pt>
                  <c:pt idx="14">
                    <c:v>mars</c:v>
                  </c:pt>
                  <c:pt idx="15">
                    <c:v>avr</c:v>
                  </c:pt>
                  <c:pt idx="16">
                    <c:v>mai</c:v>
                  </c:pt>
                  <c:pt idx="17">
                    <c:v>juin</c:v>
                  </c:pt>
                  <c:pt idx="18">
                    <c:v>juil</c:v>
                  </c:pt>
                  <c:pt idx="19">
                    <c:v>août</c:v>
                  </c:pt>
                  <c:pt idx="20">
                    <c:v>sept</c:v>
                  </c:pt>
                  <c:pt idx="21">
                    <c:v>oct</c:v>
                  </c:pt>
                  <c:pt idx="22">
                    <c:v>nov</c:v>
                  </c:pt>
                  <c:pt idx="23">
                    <c:v>déc</c:v>
                  </c:pt>
                </c:lvl>
                <c:lvl>
                  <c:pt idx="0">
                    <c:v>2023</c:v>
                  </c:pt>
                  <c:pt idx="12">
                    <c:v>2024</c:v>
                  </c:pt>
                </c:lvl>
              </c:multiLvlStrCache>
            </c:multiLvlStrRef>
          </c:cat>
          <c:val>
            <c:numRef>
              <c:f>'Pivot table 1'!$D$4:$D$30</c:f>
              <c:numCache>
                <c:formatCode>[$$-409]#\ ##0</c:formatCode>
                <c:ptCount val="24"/>
                <c:pt idx="0">
                  <c:v>440.53000000000003</c:v>
                </c:pt>
                <c:pt idx="1">
                  <c:v>488.54999999999995</c:v>
                </c:pt>
                <c:pt idx="2">
                  <c:v>395.75</c:v>
                </c:pt>
                <c:pt idx="3">
                  <c:v>291.96999999999997</c:v>
                </c:pt>
                <c:pt idx="4">
                  <c:v>122.44</c:v>
                </c:pt>
                <c:pt idx="5">
                  <c:v>662.28000000000009</c:v>
                </c:pt>
                <c:pt idx="6">
                  <c:v>445.52000000000004</c:v>
                </c:pt>
                <c:pt idx="7">
                  <c:v>527.96</c:v>
                </c:pt>
                <c:pt idx="8">
                  <c:v>804.07999999999993</c:v>
                </c:pt>
                <c:pt idx="9">
                  <c:v>358.88</c:v>
                </c:pt>
                <c:pt idx="10">
                  <c:v>352.18999999999994</c:v>
                </c:pt>
                <c:pt idx="11">
                  <c:v>638.47</c:v>
                </c:pt>
                <c:pt idx="12">
                  <c:v>248.17000000000002</c:v>
                </c:pt>
                <c:pt idx="13">
                  <c:v>529.32999999999993</c:v>
                </c:pt>
                <c:pt idx="14">
                  <c:v>359.81000000000006</c:v>
                </c:pt>
                <c:pt idx="15">
                  <c:v>519.69999999999993</c:v>
                </c:pt>
                <c:pt idx="16">
                  <c:v>422.59999999999997</c:v>
                </c:pt>
                <c:pt idx="17">
                  <c:v>663.72000000000014</c:v>
                </c:pt>
                <c:pt idx="18">
                  <c:v>311.28999999999996</c:v>
                </c:pt>
                <c:pt idx="19">
                  <c:v>334.84000000000003</c:v>
                </c:pt>
                <c:pt idx="20">
                  <c:v>454.11000000000007</c:v>
                </c:pt>
                <c:pt idx="21">
                  <c:v>702.9</c:v>
                </c:pt>
                <c:pt idx="22">
                  <c:v>489.59999999999991</c:v>
                </c:pt>
                <c:pt idx="23">
                  <c:v>542.68999999999994</c:v>
                </c:pt>
              </c:numCache>
            </c:numRef>
          </c:val>
          <c:smooth val="0"/>
          <c:extLst>
            <c:ext xmlns:c16="http://schemas.microsoft.com/office/drawing/2014/chart" uri="{C3380CC4-5D6E-409C-BE32-E72D297353CC}">
              <c16:uniqueId val="{00000001-449B-4119-93C0-55FA17F3C132}"/>
            </c:ext>
          </c:extLst>
        </c:ser>
        <c:ser>
          <c:idx val="3"/>
          <c:order val="3"/>
          <c:tx>
            <c:strRef>
              <c:f>'Pivot table 1'!$E$2:$E$3</c:f>
              <c:strCache>
                <c:ptCount val="1"/>
                <c:pt idx="0">
                  <c:v>SCIENCE</c:v>
                </c:pt>
              </c:strCache>
            </c:strRef>
          </c:tx>
          <c:spPr>
            <a:ln w="28575" cap="rnd">
              <a:solidFill>
                <a:schemeClr val="accent4"/>
              </a:solidFill>
              <a:round/>
            </a:ln>
            <a:effectLst/>
          </c:spPr>
          <c:marker>
            <c:symbol val="none"/>
          </c:marker>
          <c:cat>
            <c:multiLvlStrRef>
              <c:f>'Pivot table 1'!$A$4:$A$30</c:f>
              <c:multiLvlStrCache>
                <c:ptCount val="24"/>
                <c:lvl>
                  <c:pt idx="0">
                    <c:v>janv</c:v>
                  </c:pt>
                  <c:pt idx="1">
                    <c:v>févr</c:v>
                  </c:pt>
                  <c:pt idx="2">
                    <c:v>mars</c:v>
                  </c:pt>
                  <c:pt idx="3">
                    <c:v>avr</c:v>
                  </c:pt>
                  <c:pt idx="4">
                    <c:v>mai</c:v>
                  </c:pt>
                  <c:pt idx="5">
                    <c:v>juin</c:v>
                  </c:pt>
                  <c:pt idx="6">
                    <c:v>juil</c:v>
                  </c:pt>
                  <c:pt idx="7">
                    <c:v>août</c:v>
                  </c:pt>
                  <c:pt idx="8">
                    <c:v>sept</c:v>
                  </c:pt>
                  <c:pt idx="9">
                    <c:v>oct</c:v>
                  </c:pt>
                  <c:pt idx="10">
                    <c:v>nov</c:v>
                  </c:pt>
                  <c:pt idx="11">
                    <c:v>déc</c:v>
                  </c:pt>
                  <c:pt idx="12">
                    <c:v>janv</c:v>
                  </c:pt>
                  <c:pt idx="13">
                    <c:v>févr</c:v>
                  </c:pt>
                  <c:pt idx="14">
                    <c:v>mars</c:v>
                  </c:pt>
                  <c:pt idx="15">
                    <c:v>avr</c:v>
                  </c:pt>
                  <c:pt idx="16">
                    <c:v>mai</c:v>
                  </c:pt>
                  <c:pt idx="17">
                    <c:v>juin</c:v>
                  </c:pt>
                  <c:pt idx="18">
                    <c:v>juil</c:v>
                  </c:pt>
                  <c:pt idx="19">
                    <c:v>août</c:v>
                  </c:pt>
                  <c:pt idx="20">
                    <c:v>sept</c:v>
                  </c:pt>
                  <c:pt idx="21">
                    <c:v>oct</c:v>
                  </c:pt>
                  <c:pt idx="22">
                    <c:v>nov</c:v>
                  </c:pt>
                  <c:pt idx="23">
                    <c:v>déc</c:v>
                  </c:pt>
                </c:lvl>
                <c:lvl>
                  <c:pt idx="0">
                    <c:v>2023</c:v>
                  </c:pt>
                  <c:pt idx="12">
                    <c:v>2024</c:v>
                  </c:pt>
                </c:lvl>
              </c:multiLvlStrCache>
            </c:multiLvlStrRef>
          </c:cat>
          <c:val>
            <c:numRef>
              <c:f>'Pivot table 1'!$E$4:$E$30</c:f>
              <c:numCache>
                <c:formatCode>[$$-409]#\ ##0</c:formatCode>
                <c:ptCount val="24"/>
                <c:pt idx="0">
                  <c:v>350.78</c:v>
                </c:pt>
                <c:pt idx="1">
                  <c:v>706.38</c:v>
                </c:pt>
                <c:pt idx="2">
                  <c:v>397.21000000000004</c:v>
                </c:pt>
                <c:pt idx="3">
                  <c:v>385.28</c:v>
                </c:pt>
                <c:pt idx="4">
                  <c:v>829.80000000000018</c:v>
                </c:pt>
                <c:pt idx="5">
                  <c:v>403.90000000000003</c:v>
                </c:pt>
                <c:pt idx="6">
                  <c:v>389.10999999999996</c:v>
                </c:pt>
                <c:pt idx="7">
                  <c:v>368.56</c:v>
                </c:pt>
                <c:pt idx="8">
                  <c:v>455.61</c:v>
                </c:pt>
                <c:pt idx="9">
                  <c:v>336.01</c:v>
                </c:pt>
                <c:pt idx="10">
                  <c:v>543.1</c:v>
                </c:pt>
                <c:pt idx="11">
                  <c:v>532.46999999999991</c:v>
                </c:pt>
                <c:pt idx="12">
                  <c:v>436.72999999999996</c:v>
                </c:pt>
                <c:pt idx="13">
                  <c:v>599.49000000000012</c:v>
                </c:pt>
                <c:pt idx="14">
                  <c:v>349.78</c:v>
                </c:pt>
                <c:pt idx="15">
                  <c:v>437.83</c:v>
                </c:pt>
                <c:pt idx="16">
                  <c:v>681.89</c:v>
                </c:pt>
                <c:pt idx="17">
                  <c:v>266.17</c:v>
                </c:pt>
                <c:pt idx="18">
                  <c:v>539.8599999999999</c:v>
                </c:pt>
                <c:pt idx="19">
                  <c:v>653.78</c:v>
                </c:pt>
                <c:pt idx="20">
                  <c:v>675.27</c:v>
                </c:pt>
                <c:pt idx="21">
                  <c:v>479.92999999999995</c:v>
                </c:pt>
                <c:pt idx="22">
                  <c:v>517.88</c:v>
                </c:pt>
                <c:pt idx="23">
                  <c:v>524.87</c:v>
                </c:pt>
              </c:numCache>
            </c:numRef>
          </c:val>
          <c:smooth val="0"/>
          <c:extLst>
            <c:ext xmlns:c16="http://schemas.microsoft.com/office/drawing/2014/chart" uri="{C3380CC4-5D6E-409C-BE32-E72D297353CC}">
              <c16:uniqueId val="{00000002-449B-4119-93C0-55FA17F3C132}"/>
            </c:ext>
          </c:extLst>
        </c:ser>
        <c:ser>
          <c:idx val="4"/>
          <c:order val="4"/>
          <c:tx>
            <c:strRef>
              <c:f>'Pivot table 1'!$F$2:$F$3</c:f>
              <c:strCache>
                <c:ptCount val="1"/>
                <c:pt idx="0">
                  <c:v>TECH</c:v>
                </c:pt>
              </c:strCache>
            </c:strRef>
          </c:tx>
          <c:spPr>
            <a:ln w="28575" cap="rnd">
              <a:solidFill>
                <a:srgbClr val="FFFF00"/>
              </a:solidFill>
              <a:round/>
            </a:ln>
            <a:effectLst/>
          </c:spPr>
          <c:marker>
            <c:symbol val="none"/>
          </c:marker>
          <c:cat>
            <c:multiLvlStrRef>
              <c:f>'Pivot table 1'!$A$4:$A$30</c:f>
              <c:multiLvlStrCache>
                <c:ptCount val="24"/>
                <c:lvl>
                  <c:pt idx="0">
                    <c:v>janv</c:v>
                  </c:pt>
                  <c:pt idx="1">
                    <c:v>févr</c:v>
                  </c:pt>
                  <c:pt idx="2">
                    <c:v>mars</c:v>
                  </c:pt>
                  <c:pt idx="3">
                    <c:v>avr</c:v>
                  </c:pt>
                  <c:pt idx="4">
                    <c:v>mai</c:v>
                  </c:pt>
                  <c:pt idx="5">
                    <c:v>juin</c:v>
                  </c:pt>
                  <c:pt idx="6">
                    <c:v>juil</c:v>
                  </c:pt>
                  <c:pt idx="7">
                    <c:v>août</c:v>
                  </c:pt>
                  <c:pt idx="8">
                    <c:v>sept</c:v>
                  </c:pt>
                  <c:pt idx="9">
                    <c:v>oct</c:v>
                  </c:pt>
                  <c:pt idx="10">
                    <c:v>nov</c:v>
                  </c:pt>
                  <c:pt idx="11">
                    <c:v>déc</c:v>
                  </c:pt>
                  <c:pt idx="12">
                    <c:v>janv</c:v>
                  </c:pt>
                  <c:pt idx="13">
                    <c:v>févr</c:v>
                  </c:pt>
                  <c:pt idx="14">
                    <c:v>mars</c:v>
                  </c:pt>
                  <c:pt idx="15">
                    <c:v>avr</c:v>
                  </c:pt>
                  <c:pt idx="16">
                    <c:v>mai</c:v>
                  </c:pt>
                  <c:pt idx="17">
                    <c:v>juin</c:v>
                  </c:pt>
                  <c:pt idx="18">
                    <c:v>juil</c:v>
                  </c:pt>
                  <c:pt idx="19">
                    <c:v>août</c:v>
                  </c:pt>
                  <c:pt idx="20">
                    <c:v>sept</c:v>
                  </c:pt>
                  <c:pt idx="21">
                    <c:v>oct</c:v>
                  </c:pt>
                  <c:pt idx="22">
                    <c:v>nov</c:v>
                  </c:pt>
                  <c:pt idx="23">
                    <c:v>déc</c:v>
                  </c:pt>
                </c:lvl>
                <c:lvl>
                  <c:pt idx="0">
                    <c:v>2023</c:v>
                  </c:pt>
                  <c:pt idx="12">
                    <c:v>2024</c:v>
                  </c:pt>
                </c:lvl>
              </c:multiLvlStrCache>
            </c:multiLvlStrRef>
          </c:cat>
          <c:val>
            <c:numRef>
              <c:f>'Pivot table 1'!$F$4:$F$30</c:f>
              <c:numCache>
                <c:formatCode>[$$-409]#\ ##0</c:formatCode>
                <c:ptCount val="24"/>
                <c:pt idx="0">
                  <c:v>581.84</c:v>
                </c:pt>
                <c:pt idx="1">
                  <c:v>182.44</c:v>
                </c:pt>
                <c:pt idx="2">
                  <c:v>703.37000000000012</c:v>
                </c:pt>
                <c:pt idx="3">
                  <c:v>697.67000000000007</c:v>
                </c:pt>
                <c:pt idx="4">
                  <c:v>665.68999999999994</c:v>
                </c:pt>
                <c:pt idx="5">
                  <c:v>367.96000000000004</c:v>
                </c:pt>
                <c:pt idx="6">
                  <c:v>331.3</c:v>
                </c:pt>
                <c:pt idx="7">
                  <c:v>757.24999999999989</c:v>
                </c:pt>
                <c:pt idx="8">
                  <c:v>519.01</c:v>
                </c:pt>
                <c:pt idx="9">
                  <c:v>307.15999999999997</c:v>
                </c:pt>
                <c:pt idx="10">
                  <c:v>748.58</c:v>
                </c:pt>
                <c:pt idx="11">
                  <c:v>278.28999999999996</c:v>
                </c:pt>
                <c:pt idx="12">
                  <c:v>482.57</c:v>
                </c:pt>
                <c:pt idx="13">
                  <c:v>268.77999999999997</c:v>
                </c:pt>
                <c:pt idx="14">
                  <c:v>299.02</c:v>
                </c:pt>
                <c:pt idx="15">
                  <c:v>189.38</c:v>
                </c:pt>
                <c:pt idx="16">
                  <c:v>325.31</c:v>
                </c:pt>
                <c:pt idx="17">
                  <c:v>353.75000000000006</c:v>
                </c:pt>
                <c:pt idx="18">
                  <c:v>549.4</c:v>
                </c:pt>
                <c:pt idx="19">
                  <c:v>247.42999999999998</c:v>
                </c:pt>
                <c:pt idx="20">
                  <c:v>90.32</c:v>
                </c:pt>
                <c:pt idx="21">
                  <c:v>605.82000000000005</c:v>
                </c:pt>
                <c:pt idx="22">
                  <c:v>296.35000000000002</c:v>
                </c:pt>
                <c:pt idx="23">
                  <c:v>417.65999999999997</c:v>
                </c:pt>
              </c:numCache>
            </c:numRef>
          </c:val>
          <c:smooth val="0"/>
          <c:extLst>
            <c:ext xmlns:c16="http://schemas.microsoft.com/office/drawing/2014/chart" uri="{C3380CC4-5D6E-409C-BE32-E72D297353CC}">
              <c16:uniqueId val="{00000003-449B-4119-93C0-55FA17F3C132}"/>
            </c:ext>
          </c:extLst>
        </c:ser>
        <c:dLbls>
          <c:showLegendKey val="0"/>
          <c:showVal val="0"/>
          <c:showCatName val="0"/>
          <c:showSerName val="0"/>
          <c:showPercent val="0"/>
          <c:showBubbleSize val="0"/>
        </c:dLbls>
        <c:smooth val="0"/>
        <c:axId val="1340131407"/>
        <c:axId val="1340126127"/>
      </c:lineChart>
      <c:catAx>
        <c:axId val="134013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340126127"/>
        <c:crosses val="autoZero"/>
        <c:auto val="1"/>
        <c:lblAlgn val="ctr"/>
        <c:lblOffset val="100"/>
        <c:noMultiLvlLbl val="0"/>
      </c:catAx>
      <c:valAx>
        <c:axId val="1340126127"/>
        <c:scaling>
          <c:orientation val="minMax"/>
        </c:scaling>
        <c:delete val="0"/>
        <c:axPos val="l"/>
        <c:majorGridlines>
          <c:spPr>
            <a:ln w="9525" cap="flat" cmpd="sng" algn="ctr">
              <a:solidFill>
                <a:srgbClr val="7030A0"/>
              </a:solidFill>
              <a:round/>
            </a:ln>
            <a:effectLst/>
          </c:spPr>
        </c:majorGridlines>
        <c:numFmt formatCode="[$$-4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340131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sales.xlsx]Pivot table 2!PivotTable2</c:name>
    <c:fmtId val="1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2800" b="1"/>
              <a:t>Total Sals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2'!$B$1</c:f>
              <c:strCache>
                <c:ptCount val="1"/>
                <c:pt idx="0">
                  <c:v>Total</c:v>
                </c:pt>
              </c:strCache>
            </c:strRef>
          </c:tx>
          <c:spPr>
            <a:ln w="28575" cap="rnd">
              <a:solidFill>
                <a:schemeClr val="accent1"/>
              </a:solidFill>
              <a:round/>
            </a:ln>
            <a:effectLst/>
          </c:spPr>
          <c:marker>
            <c:symbol val="none"/>
          </c:marker>
          <c:cat>
            <c:strRef>
              <c:f>'Pivot table 2'!$A$2:$A$54</c:f>
              <c:strCache>
                <c:ptCount val="52"/>
                <c:pt idx="1">
                  <c:v>Austria</c:v>
                </c:pt>
                <c:pt idx="2">
                  <c:v>Bangladesh</c:v>
                </c:pt>
                <c:pt idx="3">
                  <c:v>Brazil</c:v>
                </c:pt>
                <c:pt idx="4">
                  <c:v>Canada</c:v>
                </c:pt>
                <c:pt idx="5">
                  <c:v>Chile</c:v>
                </c:pt>
                <c:pt idx="6">
                  <c:v>China</c:v>
                </c:pt>
                <c:pt idx="7">
                  <c:v>Colombia</c:v>
                </c:pt>
                <c:pt idx="8">
                  <c:v>Costa Rica</c:v>
                </c:pt>
                <c:pt idx="9">
                  <c:v>Croatia</c:v>
                </c:pt>
                <c:pt idx="10">
                  <c:v>Czech Republic</c:v>
                </c:pt>
                <c:pt idx="11">
                  <c:v>Denmark</c:v>
                </c:pt>
                <c:pt idx="12">
                  <c:v>Ecuador</c:v>
                </c:pt>
                <c:pt idx="13">
                  <c:v>Egypt</c:v>
                </c:pt>
                <c:pt idx="14">
                  <c:v>Finland</c:v>
                </c:pt>
                <c:pt idx="15">
                  <c:v>France</c:v>
                </c:pt>
                <c:pt idx="16">
                  <c:v>Germany</c:v>
                </c:pt>
                <c:pt idx="17">
                  <c:v>Greece</c:v>
                </c:pt>
                <c:pt idx="18">
                  <c:v>India</c:v>
                </c:pt>
                <c:pt idx="19">
                  <c:v>Iran</c:v>
                </c:pt>
                <c:pt idx="20">
                  <c:v>Iraq</c:v>
                </c:pt>
                <c:pt idx="21">
                  <c:v>Italy</c:v>
                </c:pt>
                <c:pt idx="22">
                  <c:v>Japan</c:v>
                </c:pt>
                <c:pt idx="23">
                  <c:v>Kenya</c:v>
                </c:pt>
                <c:pt idx="24">
                  <c:v>Mexico</c:v>
                </c:pt>
                <c:pt idx="25">
                  <c:v>Morocco</c:v>
                </c:pt>
                <c:pt idx="26">
                  <c:v>Nigeria</c:v>
                </c:pt>
                <c:pt idx="27">
                  <c:v>Norway</c:v>
                </c:pt>
                <c:pt idx="28">
                  <c:v>Oman</c:v>
                </c:pt>
                <c:pt idx="29">
                  <c:v>Pakistan</c:v>
                </c:pt>
                <c:pt idx="30">
                  <c:v>Panama</c:v>
                </c:pt>
                <c:pt idx="31">
                  <c:v>Peru</c:v>
                </c:pt>
                <c:pt idx="32">
                  <c:v>Poland</c:v>
                </c:pt>
                <c:pt idx="33">
                  <c:v>Portugal</c:v>
                </c:pt>
                <c:pt idx="34">
                  <c:v>Romania</c:v>
                </c:pt>
                <c:pt idx="35">
                  <c:v>Russia</c:v>
                </c:pt>
                <c:pt idx="36">
                  <c:v>Saudi Arabia</c:v>
                </c:pt>
                <c:pt idx="37">
                  <c:v>Senegal</c:v>
                </c:pt>
                <c:pt idx="38">
                  <c:v>Serbia</c:v>
                </c:pt>
                <c:pt idx="39">
                  <c:v>Singapore</c:v>
                </c:pt>
                <c:pt idx="40">
                  <c:v>Slovakia</c:v>
                </c:pt>
                <c:pt idx="41">
                  <c:v>Slovenia</c:v>
                </c:pt>
                <c:pt idx="42">
                  <c:v>South Korea</c:v>
                </c:pt>
                <c:pt idx="43">
                  <c:v>Spain</c:v>
                </c:pt>
                <c:pt idx="44">
                  <c:v>Sudan</c:v>
                </c:pt>
                <c:pt idx="45">
                  <c:v>Sweden</c:v>
                </c:pt>
                <c:pt idx="46">
                  <c:v>Switzerland</c:v>
                </c:pt>
                <c:pt idx="47">
                  <c:v>Taiwan</c:v>
                </c:pt>
                <c:pt idx="48">
                  <c:v>Turkey</c:v>
                </c:pt>
                <c:pt idx="49">
                  <c:v>UAE</c:v>
                </c:pt>
                <c:pt idx="50">
                  <c:v>USA</c:v>
                </c:pt>
                <c:pt idx="51">
                  <c:v>Venezuela</c:v>
                </c:pt>
              </c:strCache>
            </c:strRef>
          </c:cat>
          <c:val>
            <c:numRef>
              <c:f>'Pivot table 2'!$B$2:$B$54</c:f>
              <c:numCache>
                <c:formatCode>"$"#\ ##0.00</c:formatCode>
                <c:ptCount val="52"/>
                <c:pt idx="0">
                  <c:v>175.76999999999998</c:v>
                </c:pt>
                <c:pt idx="1">
                  <c:v>25.21</c:v>
                </c:pt>
                <c:pt idx="2">
                  <c:v>122.21000000000001</c:v>
                </c:pt>
                <c:pt idx="3">
                  <c:v>79.88</c:v>
                </c:pt>
                <c:pt idx="4">
                  <c:v>188.86</c:v>
                </c:pt>
                <c:pt idx="5">
                  <c:v>29.66</c:v>
                </c:pt>
                <c:pt idx="6">
                  <c:v>269.21000000000004</c:v>
                </c:pt>
                <c:pt idx="7">
                  <c:v>97.899999999999991</c:v>
                </c:pt>
                <c:pt idx="8">
                  <c:v>66.97</c:v>
                </c:pt>
                <c:pt idx="9">
                  <c:v>145.48000000000002</c:v>
                </c:pt>
                <c:pt idx="10">
                  <c:v>134.51</c:v>
                </c:pt>
                <c:pt idx="11">
                  <c:v>230.76999999999998</c:v>
                </c:pt>
                <c:pt idx="12">
                  <c:v>31.32</c:v>
                </c:pt>
                <c:pt idx="13">
                  <c:v>5831.74</c:v>
                </c:pt>
                <c:pt idx="14">
                  <c:v>70.819999999999993</c:v>
                </c:pt>
                <c:pt idx="15">
                  <c:v>192.34999999999997</c:v>
                </c:pt>
                <c:pt idx="16">
                  <c:v>5641.7199999999975</c:v>
                </c:pt>
                <c:pt idx="17">
                  <c:v>29.06</c:v>
                </c:pt>
                <c:pt idx="18">
                  <c:v>595.91</c:v>
                </c:pt>
                <c:pt idx="19">
                  <c:v>48.72</c:v>
                </c:pt>
                <c:pt idx="20">
                  <c:v>42</c:v>
                </c:pt>
                <c:pt idx="21">
                  <c:v>308.38</c:v>
                </c:pt>
                <c:pt idx="22">
                  <c:v>12008.949999999993</c:v>
                </c:pt>
                <c:pt idx="23">
                  <c:v>28.36</c:v>
                </c:pt>
                <c:pt idx="24">
                  <c:v>145.1</c:v>
                </c:pt>
                <c:pt idx="25">
                  <c:v>42.88</c:v>
                </c:pt>
                <c:pt idx="26">
                  <c:v>29.1</c:v>
                </c:pt>
                <c:pt idx="27">
                  <c:v>137.4</c:v>
                </c:pt>
                <c:pt idx="28">
                  <c:v>63.92</c:v>
                </c:pt>
                <c:pt idx="29">
                  <c:v>3465.48</c:v>
                </c:pt>
                <c:pt idx="30">
                  <c:v>74.14</c:v>
                </c:pt>
                <c:pt idx="31">
                  <c:v>56.24</c:v>
                </c:pt>
                <c:pt idx="32">
                  <c:v>292.39</c:v>
                </c:pt>
                <c:pt idx="33">
                  <c:v>891.6099999999999</c:v>
                </c:pt>
                <c:pt idx="34">
                  <c:v>81.449999999999989</c:v>
                </c:pt>
                <c:pt idx="35">
                  <c:v>154.48000000000002</c:v>
                </c:pt>
                <c:pt idx="36">
                  <c:v>127.06</c:v>
                </c:pt>
                <c:pt idx="37">
                  <c:v>34.11</c:v>
                </c:pt>
                <c:pt idx="38">
                  <c:v>92.61</c:v>
                </c:pt>
                <c:pt idx="39">
                  <c:v>274.74</c:v>
                </c:pt>
                <c:pt idx="40">
                  <c:v>78.84</c:v>
                </c:pt>
                <c:pt idx="41">
                  <c:v>175.68</c:v>
                </c:pt>
                <c:pt idx="42">
                  <c:v>127.02</c:v>
                </c:pt>
                <c:pt idx="43">
                  <c:v>9883.6399999999976</c:v>
                </c:pt>
                <c:pt idx="44">
                  <c:v>21.1</c:v>
                </c:pt>
                <c:pt idx="45">
                  <c:v>5342.4799999999977</c:v>
                </c:pt>
                <c:pt idx="46">
                  <c:v>58.08</c:v>
                </c:pt>
                <c:pt idx="47">
                  <c:v>15.41</c:v>
                </c:pt>
                <c:pt idx="48">
                  <c:v>35.520000000000003</c:v>
                </c:pt>
                <c:pt idx="49">
                  <c:v>1703.5900000000001</c:v>
                </c:pt>
                <c:pt idx="50">
                  <c:v>4813.9299999999994</c:v>
                </c:pt>
                <c:pt idx="51">
                  <c:v>214.64000000000001</c:v>
                </c:pt>
              </c:numCache>
            </c:numRef>
          </c:val>
          <c:smooth val="0"/>
          <c:extLst>
            <c:ext xmlns:c16="http://schemas.microsoft.com/office/drawing/2014/chart" uri="{C3380CC4-5D6E-409C-BE32-E72D297353CC}">
              <c16:uniqueId val="{00000000-A571-44A1-880F-938B7B79A9B4}"/>
            </c:ext>
          </c:extLst>
        </c:ser>
        <c:dLbls>
          <c:showLegendKey val="0"/>
          <c:showVal val="0"/>
          <c:showCatName val="0"/>
          <c:showSerName val="0"/>
          <c:showPercent val="0"/>
          <c:showBubbleSize val="0"/>
        </c:dLbls>
        <c:smooth val="0"/>
        <c:axId val="1385398111"/>
        <c:axId val="1385399071"/>
      </c:lineChart>
      <c:catAx>
        <c:axId val="138539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85399071"/>
        <c:crosses val="autoZero"/>
        <c:auto val="1"/>
        <c:lblAlgn val="ctr"/>
        <c:lblOffset val="100"/>
        <c:noMultiLvlLbl val="0"/>
      </c:catAx>
      <c:valAx>
        <c:axId val="13853990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8539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sales.xlsx]Pivot table 3!PivotTable3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chemeClr val="tx1"/>
                </a:solidFill>
              </a:rPr>
              <a:t>Top 5 books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0070C0"/>
          </a:solidFill>
          <a:ln>
            <a:noFill/>
          </a:ln>
          <a:effectLst/>
        </c:spPr>
      </c:pivotFmt>
      <c:pivotFmt>
        <c:idx val="3"/>
        <c:spPr>
          <a:solidFill>
            <a:schemeClr val="accent6"/>
          </a:solidFill>
          <a:ln>
            <a:noFill/>
          </a:ln>
          <a:effectLst/>
        </c:spPr>
      </c:pivotFmt>
      <c:pivotFmt>
        <c:idx val="4"/>
        <c:spPr>
          <a:solidFill>
            <a:schemeClr val="tx1"/>
          </a:solidFill>
          <a:ln>
            <a:noFill/>
          </a:ln>
          <a:effectLst/>
        </c:spPr>
      </c:pivotFmt>
    </c:pivotFmts>
    <c:plotArea>
      <c:layout/>
      <c:barChart>
        <c:barDir val="bar"/>
        <c:grouping val="clustered"/>
        <c:varyColors val="0"/>
        <c:ser>
          <c:idx val="0"/>
          <c:order val="0"/>
          <c:tx>
            <c:strRef>
              <c:f>'Pivot table 3'!$B$1</c:f>
              <c:strCache>
                <c:ptCount val="1"/>
                <c:pt idx="0">
                  <c:v>Total</c:v>
                </c:pt>
              </c:strCache>
            </c:strRef>
          </c:tx>
          <c:spPr>
            <a:solidFill>
              <a:srgbClr val="FFFF00"/>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5-284E-4FBF-811D-05624AF12929}"/>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4-284E-4FBF-811D-05624AF12929}"/>
              </c:ext>
            </c:extLst>
          </c:dPt>
          <c:dPt>
            <c:idx val="2"/>
            <c:invertIfNegative val="0"/>
            <c:bubble3D val="0"/>
            <c:spPr>
              <a:solidFill>
                <a:srgbClr val="0070C0"/>
              </a:solidFill>
              <a:ln>
                <a:noFill/>
              </a:ln>
              <a:effectLst/>
            </c:spPr>
            <c:extLst>
              <c:ext xmlns:c16="http://schemas.microsoft.com/office/drawing/2014/chart" uri="{C3380CC4-5D6E-409C-BE32-E72D297353CC}">
                <c16:uniqueId val="{00000003-284E-4FBF-811D-05624AF12929}"/>
              </c:ext>
            </c:extLst>
          </c:dPt>
          <c:dPt>
            <c:idx val="4"/>
            <c:invertIfNegative val="0"/>
            <c:bubble3D val="0"/>
            <c:spPr>
              <a:solidFill>
                <a:srgbClr val="FF0000"/>
              </a:solidFill>
              <a:ln>
                <a:noFill/>
              </a:ln>
              <a:effectLst/>
            </c:spPr>
            <c:extLst>
              <c:ext xmlns:c16="http://schemas.microsoft.com/office/drawing/2014/chart" uri="{C3380CC4-5D6E-409C-BE32-E72D297353CC}">
                <c16:uniqueId val="{00000002-284E-4FBF-811D-05624AF12929}"/>
              </c:ext>
            </c:extLst>
          </c:dPt>
          <c:cat>
            <c:strRef>
              <c:f>'Pivot table 3'!$A$2:$A$7</c:f>
              <c:strCache>
                <c:ptCount val="5"/>
                <c:pt idx="0">
                  <c:v>Future Science</c:v>
                </c:pt>
                <c:pt idx="1">
                  <c:v>Power Journey</c:v>
                </c:pt>
                <c:pt idx="2">
                  <c:v>Power Silent</c:v>
                </c:pt>
                <c:pt idx="3">
                  <c:v>Science Silent</c:v>
                </c:pt>
                <c:pt idx="4">
                  <c:v>Secrets Forest</c:v>
                </c:pt>
              </c:strCache>
            </c:strRef>
          </c:cat>
          <c:val>
            <c:numRef>
              <c:f>'Pivot table 3'!$B$2:$B$7</c:f>
              <c:numCache>
                <c:formatCode>"$"#\ ##0.00</c:formatCode>
                <c:ptCount val="5"/>
                <c:pt idx="0">
                  <c:v>985.61000000000013</c:v>
                </c:pt>
                <c:pt idx="1">
                  <c:v>1026.1699999999998</c:v>
                </c:pt>
                <c:pt idx="2">
                  <c:v>975.95</c:v>
                </c:pt>
                <c:pt idx="3">
                  <c:v>1059.0300000000002</c:v>
                </c:pt>
                <c:pt idx="4">
                  <c:v>1056.28</c:v>
                </c:pt>
              </c:numCache>
            </c:numRef>
          </c:val>
          <c:extLst>
            <c:ext xmlns:c16="http://schemas.microsoft.com/office/drawing/2014/chart" uri="{C3380CC4-5D6E-409C-BE32-E72D297353CC}">
              <c16:uniqueId val="{00000000-284E-4FBF-811D-05624AF12929}"/>
            </c:ext>
          </c:extLst>
        </c:ser>
        <c:dLbls>
          <c:showLegendKey val="0"/>
          <c:showVal val="0"/>
          <c:showCatName val="0"/>
          <c:showSerName val="0"/>
          <c:showPercent val="0"/>
          <c:showBubbleSize val="0"/>
        </c:dLbls>
        <c:gapWidth val="182"/>
        <c:axId val="1548130479"/>
        <c:axId val="1548125199"/>
      </c:barChart>
      <c:catAx>
        <c:axId val="1548130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125199"/>
        <c:crosses val="autoZero"/>
        <c:auto val="1"/>
        <c:lblAlgn val="ctr"/>
        <c:lblOffset val="100"/>
        <c:noMultiLvlLbl val="0"/>
      </c:catAx>
      <c:valAx>
        <c:axId val="1548125199"/>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130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sales.xlsx]Pivot table 3!PivotTable3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chemeClr val="tx1"/>
                </a:solidFill>
              </a:rPr>
              <a:t>Top 5 books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0070C0"/>
          </a:solidFill>
          <a:ln>
            <a:noFill/>
          </a:ln>
          <a:effectLst/>
        </c:spPr>
      </c:pivotFmt>
      <c:pivotFmt>
        <c:idx val="3"/>
        <c:spPr>
          <a:solidFill>
            <a:schemeClr val="accent6"/>
          </a:solidFill>
          <a:ln>
            <a:noFill/>
          </a:ln>
          <a:effectLst/>
        </c:spPr>
      </c:pivotFmt>
      <c:pivotFmt>
        <c:idx val="4"/>
        <c:spPr>
          <a:solidFill>
            <a:schemeClr val="tx1"/>
          </a:solidFill>
          <a:ln>
            <a:noFill/>
          </a:ln>
          <a:effectLst/>
        </c:spPr>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pivotFmt>
      <c:pivotFmt>
        <c:idx val="7"/>
        <c:spPr>
          <a:solidFill>
            <a:schemeClr val="accent6"/>
          </a:solidFill>
          <a:ln>
            <a:noFill/>
          </a:ln>
          <a:effectLst/>
        </c:spPr>
      </c:pivotFmt>
      <c:pivotFmt>
        <c:idx val="8"/>
        <c:spPr>
          <a:solidFill>
            <a:srgbClr val="0070C0"/>
          </a:solidFill>
          <a:ln>
            <a:noFill/>
          </a:ln>
          <a:effectLst/>
        </c:spPr>
      </c:pivotFmt>
      <c:pivotFmt>
        <c:idx val="9"/>
        <c:spPr>
          <a:solidFill>
            <a:srgbClr val="FF0000"/>
          </a:solidFill>
          <a:ln>
            <a:noFill/>
          </a:ln>
          <a:effectLst/>
        </c:spPr>
      </c:pivotFmt>
      <c:pivotFmt>
        <c:idx val="1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1"/>
          </a:solidFill>
          <a:ln>
            <a:noFill/>
          </a:ln>
          <a:effectLst/>
        </c:spPr>
      </c:pivotFmt>
      <c:pivotFmt>
        <c:idx val="12"/>
        <c:spPr>
          <a:solidFill>
            <a:schemeClr val="accent6"/>
          </a:solidFill>
          <a:ln>
            <a:noFill/>
          </a:ln>
          <a:effectLst/>
        </c:spPr>
      </c:pivotFmt>
      <c:pivotFmt>
        <c:idx val="13"/>
        <c:spPr>
          <a:solidFill>
            <a:srgbClr val="7030A0"/>
          </a:solidFill>
          <a:ln>
            <a:noFill/>
          </a:ln>
          <a:effectLst/>
        </c:spPr>
      </c:pivotFmt>
      <c:pivotFmt>
        <c:idx val="14"/>
        <c:spPr>
          <a:solidFill>
            <a:srgbClr val="FF0000"/>
          </a:solidFill>
          <a:ln>
            <a:noFill/>
          </a:ln>
          <a:effectLst/>
        </c:spPr>
      </c:pivotFmt>
    </c:pivotFmts>
    <c:plotArea>
      <c:layout/>
      <c:barChart>
        <c:barDir val="bar"/>
        <c:grouping val="clustered"/>
        <c:varyColors val="0"/>
        <c:ser>
          <c:idx val="0"/>
          <c:order val="0"/>
          <c:tx>
            <c:strRef>
              <c:f>'Pivot table 3'!$B$1</c:f>
              <c:strCache>
                <c:ptCount val="1"/>
                <c:pt idx="0">
                  <c:v>Total</c:v>
                </c:pt>
              </c:strCache>
            </c:strRef>
          </c:tx>
          <c:spPr>
            <a:solidFill>
              <a:srgbClr val="FFFF00"/>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1-4018-4CFD-AF22-88CAD29FFF80}"/>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3-4018-4CFD-AF22-88CAD29FFF80}"/>
              </c:ext>
            </c:extLst>
          </c:dPt>
          <c:dPt>
            <c:idx val="2"/>
            <c:invertIfNegative val="0"/>
            <c:bubble3D val="0"/>
            <c:spPr>
              <a:solidFill>
                <a:srgbClr val="7030A0"/>
              </a:solidFill>
              <a:ln>
                <a:noFill/>
              </a:ln>
              <a:effectLst/>
            </c:spPr>
            <c:extLst>
              <c:ext xmlns:c16="http://schemas.microsoft.com/office/drawing/2014/chart" uri="{C3380CC4-5D6E-409C-BE32-E72D297353CC}">
                <c16:uniqueId val="{00000005-4018-4CFD-AF22-88CAD29FFF80}"/>
              </c:ext>
            </c:extLst>
          </c:dPt>
          <c:dPt>
            <c:idx val="4"/>
            <c:invertIfNegative val="0"/>
            <c:bubble3D val="0"/>
            <c:spPr>
              <a:solidFill>
                <a:srgbClr val="FF0000"/>
              </a:solidFill>
              <a:ln>
                <a:noFill/>
              </a:ln>
              <a:effectLst/>
            </c:spPr>
            <c:extLst>
              <c:ext xmlns:c16="http://schemas.microsoft.com/office/drawing/2014/chart" uri="{C3380CC4-5D6E-409C-BE32-E72D297353CC}">
                <c16:uniqueId val="{00000007-4018-4CFD-AF22-88CAD29FFF80}"/>
              </c:ext>
            </c:extLst>
          </c:dPt>
          <c:cat>
            <c:strRef>
              <c:f>'Pivot table 3'!$A$2:$A$7</c:f>
              <c:strCache>
                <c:ptCount val="5"/>
                <c:pt idx="0">
                  <c:v>Future Science</c:v>
                </c:pt>
                <c:pt idx="1">
                  <c:v>Power Journey</c:v>
                </c:pt>
                <c:pt idx="2">
                  <c:v>Power Silent</c:v>
                </c:pt>
                <c:pt idx="3">
                  <c:v>Science Silent</c:v>
                </c:pt>
                <c:pt idx="4">
                  <c:v>Secrets Forest</c:v>
                </c:pt>
              </c:strCache>
            </c:strRef>
          </c:cat>
          <c:val>
            <c:numRef>
              <c:f>'Pivot table 3'!$B$2:$B$7</c:f>
              <c:numCache>
                <c:formatCode>"$"#\ ##0.00</c:formatCode>
                <c:ptCount val="5"/>
                <c:pt idx="0">
                  <c:v>985.61000000000013</c:v>
                </c:pt>
                <c:pt idx="1">
                  <c:v>1026.1699999999998</c:v>
                </c:pt>
                <c:pt idx="2">
                  <c:v>975.95</c:v>
                </c:pt>
                <c:pt idx="3">
                  <c:v>1059.0300000000002</c:v>
                </c:pt>
                <c:pt idx="4">
                  <c:v>1056.28</c:v>
                </c:pt>
              </c:numCache>
            </c:numRef>
          </c:val>
          <c:extLst>
            <c:ext xmlns:c16="http://schemas.microsoft.com/office/drawing/2014/chart" uri="{C3380CC4-5D6E-409C-BE32-E72D297353CC}">
              <c16:uniqueId val="{00000008-4018-4CFD-AF22-88CAD29FFF80}"/>
            </c:ext>
          </c:extLst>
        </c:ser>
        <c:dLbls>
          <c:showLegendKey val="0"/>
          <c:showVal val="0"/>
          <c:showCatName val="0"/>
          <c:showSerName val="0"/>
          <c:showPercent val="0"/>
          <c:showBubbleSize val="0"/>
        </c:dLbls>
        <c:gapWidth val="182"/>
        <c:axId val="1548130479"/>
        <c:axId val="1548125199"/>
      </c:barChart>
      <c:catAx>
        <c:axId val="1548130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48125199"/>
        <c:crosses val="autoZero"/>
        <c:auto val="1"/>
        <c:lblAlgn val="ctr"/>
        <c:lblOffset val="100"/>
        <c:noMultiLvlLbl val="0"/>
      </c:catAx>
      <c:valAx>
        <c:axId val="1548125199"/>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solidFill>
            <a:srgbClr val="4A90E2"/>
          </a:solid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48130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A90E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sales.xlsx]Pivot table 2!PivotTable2</c:name>
    <c:fmtId val="1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2800" b="1"/>
              <a:t>Total Sals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2'!$B$1</c:f>
              <c:strCache>
                <c:ptCount val="1"/>
                <c:pt idx="0">
                  <c:v>Total</c:v>
                </c:pt>
              </c:strCache>
            </c:strRef>
          </c:tx>
          <c:spPr>
            <a:ln w="28575" cap="rnd">
              <a:solidFill>
                <a:srgbClr val="7030A0"/>
              </a:solidFill>
              <a:round/>
            </a:ln>
            <a:effectLst/>
          </c:spPr>
          <c:marker>
            <c:symbol val="none"/>
          </c:marker>
          <c:cat>
            <c:strRef>
              <c:f>'Pivot table 2'!$A$2:$A$54</c:f>
              <c:strCache>
                <c:ptCount val="52"/>
                <c:pt idx="1">
                  <c:v>Austria</c:v>
                </c:pt>
                <c:pt idx="2">
                  <c:v>Bangladesh</c:v>
                </c:pt>
                <c:pt idx="3">
                  <c:v>Brazil</c:v>
                </c:pt>
                <c:pt idx="4">
                  <c:v>Canada</c:v>
                </c:pt>
                <c:pt idx="5">
                  <c:v>Chile</c:v>
                </c:pt>
                <c:pt idx="6">
                  <c:v>China</c:v>
                </c:pt>
                <c:pt idx="7">
                  <c:v>Colombia</c:v>
                </c:pt>
                <c:pt idx="8">
                  <c:v>Costa Rica</c:v>
                </c:pt>
                <c:pt idx="9">
                  <c:v>Croatia</c:v>
                </c:pt>
                <c:pt idx="10">
                  <c:v>Czech Republic</c:v>
                </c:pt>
                <c:pt idx="11">
                  <c:v>Denmark</c:v>
                </c:pt>
                <c:pt idx="12">
                  <c:v>Ecuador</c:v>
                </c:pt>
                <c:pt idx="13">
                  <c:v>Egypt</c:v>
                </c:pt>
                <c:pt idx="14">
                  <c:v>Finland</c:v>
                </c:pt>
                <c:pt idx="15">
                  <c:v>France</c:v>
                </c:pt>
                <c:pt idx="16">
                  <c:v>Germany</c:v>
                </c:pt>
                <c:pt idx="17">
                  <c:v>Greece</c:v>
                </c:pt>
                <c:pt idx="18">
                  <c:v>India</c:v>
                </c:pt>
                <c:pt idx="19">
                  <c:v>Iran</c:v>
                </c:pt>
                <c:pt idx="20">
                  <c:v>Iraq</c:v>
                </c:pt>
                <c:pt idx="21">
                  <c:v>Italy</c:v>
                </c:pt>
                <c:pt idx="22">
                  <c:v>Japan</c:v>
                </c:pt>
                <c:pt idx="23">
                  <c:v>Kenya</c:v>
                </c:pt>
                <c:pt idx="24">
                  <c:v>Mexico</c:v>
                </c:pt>
                <c:pt idx="25">
                  <c:v>Morocco</c:v>
                </c:pt>
                <c:pt idx="26">
                  <c:v>Nigeria</c:v>
                </c:pt>
                <c:pt idx="27">
                  <c:v>Norway</c:v>
                </c:pt>
                <c:pt idx="28">
                  <c:v>Oman</c:v>
                </c:pt>
                <c:pt idx="29">
                  <c:v>Pakistan</c:v>
                </c:pt>
                <c:pt idx="30">
                  <c:v>Panama</c:v>
                </c:pt>
                <c:pt idx="31">
                  <c:v>Peru</c:v>
                </c:pt>
                <c:pt idx="32">
                  <c:v>Poland</c:v>
                </c:pt>
                <c:pt idx="33">
                  <c:v>Portugal</c:v>
                </c:pt>
                <c:pt idx="34">
                  <c:v>Romania</c:v>
                </c:pt>
                <c:pt idx="35">
                  <c:v>Russia</c:v>
                </c:pt>
                <c:pt idx="36">
                  <c:v>Saudi Arabia</c:v>
                </c:pt>
                <c:pt idx="37">
                  <c:v>Senegal</c:v>
                </c:pt>
                <c:pt idx="38">
                  <c:v>Serbia</c:v>
                </c:pt>
                <c:pt idx="39">
                  <c:v>Singapore</c:v>
                </c:pt>
                <c:pt idx="40">
                  <c:v>Slovakia</c:v>
                </c:pt>
                <c:pt idx="41">
                  <c:v>Slovenia</c:v>
                </c:pt>
                <c:pt idx="42">
                  <c:v>South Korea</c:v>
                </c:pt>
                <c:pt idx="43">
                  <c:v>Spain</c:v>
                </c:pt>
                <c:pt idx="44">
                  <c:v>Sudan</c:v>
                </c:pt>
                <c:pt idx="45">
                  <c:v>Sweden</c:v>
                </c:pt>
                <c:pt idx="46">
                  <c:v>Switzerland</c:v>
                </c:pt>
                <c:pt idx="47">
                  <c:v>Taiwan</c:v>
                </c:pt>
                <c:pt idx="48">
                  <c:v>Turkey</c:v>
                </c:pt>
                <c:pt idx="49">
                  <c:v>UAE</c:v>
                </c:pt>
                <c:pt idx="50">
                  <c:v>USA</c:v>
                </c:pt>
                <c:pt idx="51">
                  <c:v>Venezuela</c:v>
                </c:pt>
              </c:strCache>
            </c:strRef>
          </c:cat>
          <c:val>
            <c:numRef>
              <c:f>'Pivot table 2'!$B$2:$B$54</c:f>
              <c:numCache>
                <c:formatCode>"$"#\ ##0.00</c:formatCode>
                <c:ptCount val="52"/>
                <c:pt idx="0">
                  <c:v>175.76999999999998</c:v>
                </c:pt>
                <c:pt idx="1">
                  <c:v>25.21</c:v>
                </c:pt>
                <c:pt idx="2">
                  <c:v>122.21000000000001</c:v>
                </c:pt>
                <c:pt idx="3">
                  <c:v>79.88</c:v>
                </c:pt>
                <c:pt idx="4">
                  <c:v>188.86</c:v>
                </c:pt>
                <c:pt idx="5">
                  <c:v>29.66</c:v>
                </c:pt>
                <c:pt idx="6">
                  <c:v>269.21000000000004</c:v>
                </c:pt>
                <c:pt idx="7">
                  <c:v>97.899999999999991</c:v>
                </c:pt>
                <c:pt idx="8">
                  <c:v>66.97</c:v>
                </c:pt>
                <c:pt idx="9">
                  <c:v>145.48000000000002</c:v>
                </c:pt>
                <c:pt idx="10">
                  <c:v>134.51</c:v>
                </c:pt>
                <c:pt idx="11">
                  <c:v>230.76999999999998</c:v>
                </c:pt>
                <c:pt idx="12">
                  <c:v>31.32</c:v>
                </c:pt>
                <c:pt idx="13">
                  <c:v>5831.74</c:v>
                </c:pt>
                <c:pt idx="14">
                  <c:v>70.819999999999993</c:v>
                </c:pt>
                <c:pt idx="15">
                  <c:v>192.34999999999997</c:v>
                </c:pt>
                <c:pt idx="16">
                  <c:v>5641.7199999999975</c:v>
                </c:pt>
                <c:pt idx="17">
                  <c:v>29.06</c:v>
                </c:pt>
                <c:pt idx="18">
                  <c:v>595.91</c:v>
                </c:pt>
                <c:pt idx="19">
                  <c:v>48.72</c:v>
                </c:pt>
                <c:pt idx="20">
                  <c:v>42</c:v>
                </c:pt>
                <c:pt idx="21">
                  <c:v>308.38</c:v>
                </c:pt>
                <c:pt idx="22">
                  <c:v>12008.949999999993</c:v>
                </c:pt>
                <c:pt idx="23">
                  <c:v>28.36</c:v>
                </c:pt>
                <c:pt idx="24">
                  <c:v>145.1</c:v>
                </c:pt>
                <c:pt idx="25">
                  <c:v>42.88</c:v>
                </c:pt>
                <c:pt idx="26">
                  <c:v>29.1</c:v>
                </c:pt>
                <c:pt idx="27">
                  <c:v>137.4</c:v>
                </c:pt>
                <c:pt idx="28">
                  <c:v>63.92</c:v>
                </c:pt>
                <c:pt idx="29">
                  <c:v>3465.48</c:v>
                </c:pt>
                <c:pt idx="30">
                  <c:v>74.14</c:v>
                </c:pt>
                <c:pt idx="31">
                  <c:v>56.24</c:v>
                </c:pt>
                <c:pt idx="32">
                  <c:v>292.39</c:v>
                </c:pt>
                <c:pt idx="33">
                  <c:v>891.6099999999999</c:v>
                </c:pt>
                <c:pt idx="34">
                  <c:v>81.449999999999989</c:v>
                </c:pt>
                <c:pt idx="35">
                  <c:v>154.48000000000002</c:v>
                </c:pt>
                <c:pt idx="36">
                  <c:v>127.06</c:v>
                </c:pt>
                <c:pt idx="37">
                  <c:v>34.11</c:v>
                </c:pt>
                <c:pt idx="38">
                  <c:v>92.61</c:v>
                </c:pt>
                <c:pt idx="39">
                  <c:v>274.74</c:v>
                </c:pt>
                <c:pt idx="40">
                  <c:v>78.84</c:v>
                </c:pt>
                <c:pt idx="41">
                  <c:v>175.68</c:v>
                </c:pt>
                <c:pt idx="42">
                  <c:v>127.02</c:v>
                </c:pt>
                <c:pt idx="43">
                  <c:v>9883.6399999999976</c:v>
                </c:pt>
                <c:pt idx="44">
                  <c:v>21.1</c:v>
                </c:pt>
                <c:pt idx="45">
                  <c:v>5342.4799999999977</c:v>
                </c:pt>
                <c:pt idx="46">
                  <c:v>58.08</c:v>
                </c:pt>
                <c:pt idx="47">
                  <c:v>15.41</c:v>
                </c:pt>
                <c:pt idx="48">
                  <c:v>35.520000000000003</c:v>
                </c:pt>
                <c:pt idx="49">
                  <c:v>1703.5900000000001</c:v>
                </c:pt>
                <c:pt idx="50">
                  <c:v>4813.9299999999994</c:v>
                </c:pt>
                <c:pt idx="51">
                  <c:v>214.64000000000001</c:v>
                </c:pt>
              </c:numCache>
            </c:numRef>
          </c:val>
          <c:smooth val="0"/>
          <c:extLst>
            <c:ext xmlns:c16="http://schemas.microsoft.com/office/drawing/2014/chart" uri="{C3380CC4-5D6E-409C-BE32-E72D297353CC}">
              <c16:uniqueId val="{00000000-9624-411F-8CA5-B75166CD8F7E}"/>
            </c:ext>
          </c:extLst>
        </c:ser>
        <c:dLbls>
          <c:showLegendKey val="0"/>
          <c:showVal val="0"/>
          <c:showCatName val="0"/>
          <c:showSerName val="0"/>
          <c:showPercent val="0"/>
          <c:showBubbleSize val="0"/>
        </c:dLbls>
        <c:smooth val="0"/>
        <c:axId val="1385398111"/>
        <c:axId val="1385399071"/>
      </c:lineChart>
      <c:catAx>
        <c:axId val="138539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85399071"/>
        <c:crosses val="autoZero"/>
        <c:auto val="1"/>
        <c:lblAlgn val="ctr"/>
        <c:lblOffset val="100"/>
        <c:noMultiLvlLbl val="0"/>
      </c:catAx>
      <c:valAx>
        <c:axId val="13853990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8539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A90E2"/>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sales.xlsx]Pivot table 1!PivotTable1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sz="2800" b="1">
                <a:solidFill>
                  <a:schemeClr val="tx1">
                    <a:lumMod val="95000"/>
                    <a:lumOff val="5000"/>
                  </a:schemeClr>
                </a:solidFill>
              </a:rPr>
              <a:t>Total</a:t>
            </a:r>
            <a:r>
              <a:rPr lang="en-US" sz="2800" baseline="0">
                <a:solidFill>
                  <a:schemeClr val="tx1">
                    <a:lumMod val="95000"/>
                    <a:lumOff val="5000"/>
                  </a:schemeClr>
                </a:solidFill>
              </a:rPr>
              <a:t> </a:t>
            </a:r>
            <a:r>
              <a:rPr lang="en-US" sz="2800" b="1" baseline="0">
                <a:solidFill>
                  <a:schemeClr val="tx1">
                    <a:lumMod val="95000"/>
                    <a:lumOff val="5000"/>
                  </a:schemeClr>
                </a:solidFill>
              </a:rPr>
              <a:t>Sales Over Time</a:t>
            </a:r>
            <a:endParaRPr lang="en-US" sz="2800" b="1">
              <a:solidFill>
                <a:schemeClr val="tx1">
                  <a:lumMod val="95000"/>
                  <a:lumOff val="5000"/>
                </a:schemeClr>
              </a:solidFill>
            </a:endParaRPr>
          </a:p>
        </c:rich>
      </c:tx>
      <c:layout>
        <c:manualLayout>
          <c:xMode val="edge"/>
          <c:yMode val="edge"/>
          <c:x val="0.20185442797038916"/>
          <c:y val="9.259259259259258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tx1">
                <a:lumMod val="95000"/>
                <a:lumOff val="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82728152884372"/>
          <c:y val="0.22120151647710704"/>
          <c:w val="0.63461198600174973"/>
          <c:h val="0.58122411781860606"/>
        </c:manualLayout>
      </c:layout>
      <c:lineChart>
        <c:grouping val="standard"/>
        <c:varyColors val="0"/>
        <c:ser>
          <c:idx val="0"/>
          <c:order val="0"/>
          <c:tx>
            <c:strRef>
              <c:f>'Pivot table 1'!$B$2:$B$3</c:f>
              <c:strCache>
                <c:ptCount val="1"/>
                <c:pt idx="0">
                  <c:v>BUSINESS</c:v>
                </c:pt>
              </c:strCache>
            </c:strRef>
          </c:tx>
          <c:spPr>
            <a:ln w="28575" cap="rnd">
              <a:solidFill>
                <a:schemeClr val="accent6">
                  <a:lumMod val="75000"/>
                </a:schemeClr>
              </a:solidFill>
              <a:round/>
            </a:ln>
            <a:effectLst/>
          </c:spPr>
          <c:marker>
            <c:symbol val="none"/>
          </c:marker>
          <c:cat>
            <c:multiLvlStrRef>
              <c:f>'Pivot table 1'!$A$4:$A$30</c:f>
              <c:multiLvlStrCache>
                <c:ptCount val="24"/>
                <c:lvl>
                  <c:pt idx="0">
                    <c:v>janv</c:v>
                  </c:pt>
                  <c:pt idx="1">
                    <c:v>févr</c:v>
                  </c:pt>
                  <c:pt idx="2">
                    <c:v>mars</c:v>
                  </c:pt>
                  <c:pt idx="3">
                    <c:v>avr</c:v>
                  </c:pt>
                  <c:pt idx="4">
                    <c:v>mai</c:v>
                  </c:pt>
                  <c:pt idx="5">
                    <c:v>juin</c:v>
                  </c:pt>
                  <c:pt idx="6">
                    <c:v>juil</c:v>
                  </c:pt>
                  <c:pt idx="7">
                    <c:v>août</c:v>
                  </c:pt>
                  <c:pt idx="8">
                    <c:v>sept</c:v>
                  </c:pt>
                  <c:pt idx="9">
                    <c:v>oct</c:v>
                  </c:pt>
                  <c:pt idx="10">
                    <c:v>nov</c:v>
                  </c:pt>
                  <c:pt idx="11">
                    <c:v>déc</c:v>
                  </c:pt>
                  <c:pt idx="12">
                    <c:v>janv</c:v>
                  </c:pt>
                  <c:pt idx="13">
                    <c:v>févr</c:v>
                  </c:pt>
                  <c:pt idx="14">
                    <c:v>mars</c:v>
                  </c:pt>
                  <c:pt idx="15">
                    <c:v>avr</c:v>
                  </c:pt>
                  <c:pt idx="16">
                    <c:v>mai</c:v>
                  </c:pt>
                  <c:pt idx="17">
                    <c:v>juin</c:v>
                  </c:pt>
                  <c:pt idx="18">
                    <c:v>juil</c:v>
                  </c:pt>
                  <c:pt idx="19">
                    <c:v>août</c:v>
                  </c:pt>
                  <c:pt idx="20">
                    <c:v>sept</c:v>
                  </c:pt>
                  <c:pt idx="21">
                    <c:v>oct</c:v>
                  </c:pt>
                  <c:pt idx="22">
                    <c:v>nov</c:v>
                  </c:pt>
                  <c:pt idx="23">
                    <c:v>déc</c:v>
                  </c:pt>
                </c:lvl>
                <c:lvl>
                  <c:pt idx="0">
                    <c:v>2023</c:v>
                  </c:pt>
                  <c:pt idx="12">
                    <c:v>2024</c:v>
                  </c:pt>
                </c:lvl>
              </c:multiLvlStrCache>
            </c:multiLvlStrRef>
          </c:cat>
          <c:val>
            <c:numRef>
              <c:f>'Pivot table 1'!$B$4:$B$30</c:f>
              <c:numCache>
                <c:formatCode>[$$-409]#\ ##0</c:formatCode>
                <c:ptCount val="24"/>
                <c:pt idx="0">
                  <c:v>592.18000000000006</c:v>
                </c:pt>
                <c:pt idx="1">
                  <c:v>492.21999999999991</c:v>
                </c:pt>
                <c:pt idx="2">
                  <c:v>461.27000000000004</c:v>
                </c:pt>
                <c:pt idx="3">
                  <c:v>634.23000000000013</c:v>
                </c:pt>
                <c:pt idx="4">
                  <c:v>584.28</c:v>
                </c:pt>
                <c:pt idx="5">
                  <c:v>397.50000000000006</c:v>
                </c:pt>
                <c:pt idx="6">
                  <c:v>358.02</c:v>
                </c:pt>
                <c:pt idx="7">
                  <c:v>406.42999999999995</c:v>
                </c:pt>
                <c:pt idx="8">
                  <c:v>127.52000000000001</c:v>
                </c:pt>
                <c:pt idx="9">
                  <c:v>671.96999999999991</c:v>
                </c:pt>
                <c:pt idx="10">
                  <c:v>484.61999999999989</c:v>
                </c:pt>
                <c:pt idx="11">
                  <c:v>341.54999999999995</c:v>
                </c:pt>
                <c:pt idx="12">
                  <c:v>692.61</c:v>
                </c:pt>
                <c:pt idx="13">
                  <c:v>395.71000000000004</c:v>
                </c:pt>
                <c:pt idx="14">
                  <c:v>581.08000000000004</c:v>
                </c:pt>
                <c:pt idx="15">
                  <c:v>394.1</c:v>
                </c:pt>
                <c:pt idx="16">
                  <c:v>504.41999999999996</c:v>
                </c:pt>
                <c:pt idx="17">
                  <c:v>207.66</c:v>
                </c:pt>
                <c:pt idx="18">
                  <c:v>338.56</c:v>
                </c:pt>
                <c:pt idx="19">
                  <c:v>400.64</c:v>
                </c:pt>
                <c:pt idx="20">
                  <c:v>373.59000000000003</c:v>
                </c:pt>
                <c:pt idx="21">
                  <c:v>151.07999999999998</c:v>
                </c:pt>
                <c:pt idx="22">
                  <c:v>462.95</c:v>
                </c:pt>
                <c:pt idx="23">
                  <c:v>298.55</c:v>
                </c:pt>
              </c:numCache>
            </c:numRef>
          </c:val>
          <c:smooth val="0"/>
          <c:extLst>
            <c:ext xmlns:c16="http://schemas.microsoft.com/office/drawing/2014/chart" uri="{C3380CC4-5D6E-409C-BE32-E72D297353CC}">
              <c16:uniqueId val="{00000000-D13D-4DF7-963E-F96B1A689380}"/>
            </c:ext>
          </c:extLst>
        </c:ser>
        <c:ser>
          <c:idx val="1"/>
          <c:order val="1"/>
          <c:tx>
            <c:strRef>
              <c:f>'Pivot table 1'!$C$2:$C$3</c:f>
              <c:strCache>
                <c:ptCount val="1"/>
                <c:pt idx="0">
                  <c:v>FICTION</c:v>
                </c:pt>
              </c:strCache>
            </c:strRef>
          </c:tx>
          <c:spPr>
            <a:ln w="28575" cap="rnd">
              <a:solidFill>
                <a:schemeClr val="tx1">
                  <a:lumMod val="95000"/>
                  <a:lumOff val="5000"/>
                </a:schemeClr>
              </a:solidFill>
              <a:round/>
            </a:ln>
            <a:effectLst/>
          </c:spPr>
          <c:marker>
            <c:symbol val="none"/>
          </c:marker>
          <c:cat>
            <c:multiLvlStrRef>
              <c:f>'Pivot table 1'!$A$4:$A$30</c:f>
              <c:multiLvlStrCache>
                <c:ptCount val="24"/>
                <c:lvl>
                  <c:pt idx="0">
                    <c:v>janv</c:v>
                  </c:pt>
                  <c:pt idx="1">
                    <c:v>févr</c:v>
                  </c:pt>
                  <c:pt idx="2">
                    <c:v>mars</c:v>
                  </c:pt>
                  <c:pt idx="3">
                    <c:v>avr</c:v>
                  </c:pt>
                  <c:pt idx="4">
                    <c:v>mai</c:v>
                  </c:pt>
                  <c:pt idx="5">
                    <c:v>juin</c:v>
                  </c:pt>
                  <c:pt idx="6">
                    <c:v>juil</c:v>
                  </c:pt>
                  <c:pt idx="7">
                    <c:v>août</c:v>
                  </c:pt>
                  <c:pt idx="8">
                    <c:v>sept</c:v>
                  </c:pt>
                  <c:pt idx="9">
                    <c:v>oct</c:v>
                  </c:pt>
                  <c:pt idx="10">
                    <c:v>nov</c:v>
                  </c:pt>
                  <c:pt idx="11">
                    <c:v>déc</c:v>
                  </c:pt>
                  <c:pt idx="12">
                    <c:v>janv</c:v>
                  </c:pt>
                  <c:pt idx="13">
                    <c:v>févr</c:v>
                  </c:pt>
                  <c:pt idx="14">
                    <c:v>mars</c:v>
                  </c:pt>
                  <c:pt idx="15">
                    <c:v>avr</c:v>
                  </c:pt>
                  <c:pt idx="16">
                    <c:v>mai</c:v>
                  </c:pt>
                  <c:pt idx="17">
                    <c:v>juin</c:v>
                  </c:pt>
                  <c:pt idx="18">
                    <c:v>juil</c:v>
                  </c:pt>
                  <c:pt idx="19">
                    <c:v>août</c:v>
                  </c:pt>
                  <c:pt idx="20">
                    <c:v>sept</c:v>
                  </c:pt>
                  <c:pt idx="21">
                    <c:v>oct</c:v>
                  </c:pt>
                  <c:pt idx="22">
                    <c:v>nov</c:v>
                  </c:pt>
                  <c:pt idx="23">
                    <c:v>déc</c:v>
                  </c:pt>
                </c:lvl>
                <c:lvl>
                  <c:pt idx="0">
                    <c:v>2023</c:v>
                  </c:pt>
                  <c:pt idx="12">
                    <c:v>2024</c:v>
                  </c:pt>
                </c:lvl>
              </c:multiLvlStrCache>
            </c:multiLvlStrRef>
          </c:cat>
          <c:val>
            <c:numRef>
              <c:f>'Pivot table 1'!$C$4:$C$30</c:f>
              <c:numCache>
                <c:formatCode>[$$-409]#\ ##0</c:formatCode>
                <c:ptCount val="24"/>
                <c:pt idx="0">
                  <c:v>290.97000000000003</c:v>
                </c:pt>
                <c:pt idx="1">
                  <c:v>364.62</c:v>
                </c:pt>
                <c:pt idx="2">
                  <c:v>373.34000000000003</c:v>
                </c:pt>
                <c:pt idx="3">
                  <c:v>292.76</c:v>
                </c:pt>
                <c:pt idx="4">
                  <c:v>440.3</c:v>
                </c:pt>
                <c:pt idx="5">
                  <c:v>260.08</c:v>
                </c:pt>
                <c:pt idx="6">
                  <c:v>526.8599999999999</c:v>
                </c:pt>
                <c:pt idx="7">
                  <c:v>610.87999999999988</c:v>
                </c:pt>
                <c:pt idx="8">
                  <c:v>507.03</c:v>
                </c:pt>
                <c:pt idx="9">
                  <c:v>633.69000000000005</c:v>
                </c:pt>
                <c:pt idx="10">
                  <c:v>155.76999999999998</c:v>
                </c:pt>
                <c:pt idx="11">
                  <c:v>523.91000000000008</c:v>
                </c:pt>
                <c:pt idx="12">
                  <c:v>417.62</c:v>
                </c:pt>
                <c:pt idx="13">
                  <c:v>446.28999999999996</c:v>
                </c:pt>
                <c:pt idx="14">
                  <c:v>743.16000000000008</c:v>
                </c:pt>
                <c:pt idx="15">
                  <c:v>682.06</c:v>
                </c:pt>
                <c:pt idx="16">
                  <c:v>386.76</c:v>
                </c:pt>
                <c:pt idx="17">
                  <c:v>683.85</c:v>
                </c:pt>
                <c:pt idx="18">
                  <c:v>487.44999999999993</c:v>
                </c:pt>
                <c:pt idx="19">
                  <c:v>560.84</c:v>
                </c:pt>
                <c:pt idx="20">
                  <c:v>445.15999999999997</c:v>
                </c:pt>
                <c:pt idx="21">
                  <c:v>393.47999999999996</c:v>
                </c:pt>
                <c:pt idx="22">
                  <c:v>487.65999999999997</c:v>
                </c:pt>
                <c:pt idx="23">
                  <c:v>525.70000000000005</c:v>
                </c:pt>
              </c:numCache>
            </c:numRef>
          </c:val>
          <c:smooth val="0"/>
          <c:extLst>
            <c:ext xmlns:c16="http://schemas.microsoft.com/office/drawing/2014/chart" uri="{C3380CC4-5D6E-409C-BE32-E72D297353CC}">
              <c16:uniqueId val="{00000001-A448-41B2-9DF0-F84B75A467CF}"/>
            </c:ext>
          </c:extLst>
        </c:ser>
        <c:ser>
          <c:idx val="2"/>
          <c:order val="2"/>
          <c:tx>
            <c:strRef>
              <c:f>'Pivot table 1'!$D$2:$D$3</c:f>
              <c:strCache>
                <c:ptCount val="1"/>
                <c:pt idx="0">
                  <c:v>HISTORY</c:v>
                </c:pt>
              </c:strCache>
            </c:strRef>
          </c:tx>
          <c:spPr>
            <a:ln w="28575" cap="rnd">
              <a:solidFill>
                <a:schemeClr val="bg1"/>
              </a:solidFill>
              <a:round/>
            </a:ln>
            <a:effectLst/>
          </c:spPr>
          <c:marker>
            <c:symbol val="none"/>
          </c:marker>
          <c:cat>
            <c:multiLvlStrRef>
              <c:f>'Pivot table 1'!$A$4:$A$30</c:f>
              <c:multiLvlStrCache>
                <c:ptCount val="24"/>
                <c:lvl>
                  <c:pt idx="0">
                    <c:v>janv</c:v>
                  </c:pt>
                  <c:pt idx="1">
                    <c:v>févr</c:v>
                  </c:pt>
                  <c:pt idx="2">
                    <c:v>mars</c:v>
                  </c:pt>
                  <c:pt idx="3">
                    <c:v>avr</c:v>
                  </c:pt>
                  <c:pt idx="4">
                    <c:v>mai</c:v>
                  </c:pt>
                  <c:pt idx="5">
                    <c:v>juin</c:v>
                  </c:pt>
                  <c:pt idx="6">
                    <c:v>juil</c:v>
                  </c:pt>
                  <c:pt idx="7">
                    <c:v>août</c:v>
                  </c:pt>
                  <c:pt idx="8">
                    <c:v>sept</c:v>
                  </c:pt>
                  <c:pt idx="9">
                    <c:v>oct</c:v>
                  </c:pt>
                  <c:pt idx="10">
                    <c:v>nov</c:v>
                  </c:pt>
                  <c:pt idx="11">
                    <c:v>déc</c:v>
                  </c:pt>
                  <c:pt idx="12">
                    <c:v>janv</c:v>
                  </c:pt>
                  <c:pt idx="13">
                    <c:v>févr</c:v>
                  </c:pt>
                  <c:pt idx="14">
                    <c:v>mars</c:v>
                  </c:pt>
                  <c:pt idx="15">
                    <c:v>avr</c:v>
                  </c:pt>
                  <c:pt idx="16">
                    <c:v>mai</c:v>
                  </c:pt>
                  <c:pt idx="17">
                    <c:v>juin</c:v>
                  </c:pt>
                  <c:pt idx="18">
                    <c:v>juil</c:v>
                  </c:pt>
                  <c:pt idx="19">
                    <c:v>août</c:v>
                  </c:pt>
                  <c:pt idx="20">
                    <c:v>sept</c:v>
                  </c:pt>
                  <c:pt idx="21">
                    <c:v>oct</c:v>
                  </c:pt>
                  <c:pt idx="22">
                    <c:v>nov</c:v>
                  </c:pt>
                  <c:pt idx="23">
                    <c:v>déc</c:v>
                  </c:pt>
                </c:lvl>
                <c:lvl>
                  <c:pt idx="0">
                    <c:v>2023</c:v>
                  </c:pt>
                  <c:pt idx="12">
                    <c:v>2024</c:v>
                  </c:pt>
                </c:lvl>
              </c:multiLvlStrCache>
            </c:multiLvlStrRef>
          </c:cat>
          <c:val>
            <c:numRef>
              <c:f>'Pivot table 1'!$D$4:$D$30</c:f>
              <c:numCache>
                <c:formatCode>[$$-409]#\ ##0</c:formatCode>
                <c:ptCount val="24"/>
                <c:pt idx="0">
                  <c:v>440.53000000000003</c:v>
                </c:pt>
                <c:pt idx="1">
                  <c:v>488.54999999999995</c:v>
                </c:pt>
                <c:pt idx="2">
                  <c:v>395.75</c:v>
                </c:pt>
                <c:pt idx="3">
                  <c:v>291.96999999999997</c:v>
                </c:pt>
                <c:pt idx="4">
                  <c:v>122.44</c:v>
                </c:pt>
                <c:pt idx="5">
                  <c:v>662.28000000000009</c:v>
                </c:pt>
                <c:pt idx="6">
                  <c:v>445.52000000000004</c:v>
                </c:pt>
                <c:pt idx="7">
                  <c:v>527.96</c:v>
                </c:pt>
                <c:pt idx="8">
                  <c:v>804.07999999999993</c:v>
                </c:pt>
                <c:pt idx="9">
                  <c:v>358.88</c:v>
                </c:pt>
                <c:pt idx="10">
                  <c:v>352.18999999999994</c:v>
                </c:pt>
                <c:pt idx="11">
                  <c:v>638.47</c:v>
                </c:pt>
                <c:pt idx="12">
                  <c:v>248.17000000000002</c:v>
                </c:pt>
                <c:pt idx="13">
                  <c:v>529.32999999999993</c:v>
                </c:pt>
                <c:pt idx="14">
                  <c:v>359.81000000000006</c:v>
                </c:pt>
                <c:pt idx="15">
                  <c:v>519.69999999999993</c:v>
                </c:pt>
                <c:pt idx="16">
                  <c:v>422.59999999999997</c:v>
                </c:pt>
                <c:pt idx="17">
                  <c:v>663.72000000000014</c:v>
                </c:pt>
                <c:pt idx="18">
                  <c:v>311.28999999999996</c:v>
                </c:pt>
                <c:pt idx="19">
                  <c:v>334.84000000000003</c:v>
                </c:pt>
                <c:pt idx="20">
                  <c:v>454.11000000000007</c:v>
                </c:pt>
                <c:pt idx="21">
                  <c:v>702.9</c:v>
                </c:pt>
                <c:pt idx="22">
                  <c:v>489.59999999999991</c:v>
                </c:pt>
                <c:pt idx="23">
                  <c:v>542.68999999999994</c:v>
                </c:pt>
              </c:numCache>
            </c:numRef>
          </c:val>
          <c:smooth val="0"/>
          <c:extLst>
            <c:ext xmlns:c16="http://schemas.microsoft.com/office/drawing/2014/chart" uri="{C3380CC4-5D6E-409C-BE32-E72D297353CC}">
              <c16:uniqueId val="{00000002-A448-41B2-9DF0-F84B75A467CF}"/>
            </c:ext>
          </c:extLst>
        </c:ser>
        <c:ser>
          <c:idx val="3"/>
          <c:order val="3"/>
          <c:tx>
            <c:strRef>
              <c:f>'Pivot table 1'!$E$2:$E$3</c:f>
              <c:strCache>
                <c:ptCount val="1"/>
                <c:pt idx="0">
                  <c:v>SCIENCE</c:v>
                </c:pt>
              </c:strCache>
            </c:strRef>
          </c:tx>
          <c:spPr>
            <a:ln w="28575" cap="rnd">
              <a:solidFill>
                <a:srgbClr val="FF0000"/>
              </a:solidFill>
              <a:round/>
            </a:ln>
            <a:effectLst/>
          </c:spPr>
          <c:marker>
            <c:symbol val="none"/>
          </c:marker>
          <c:cat>
            <c:multiLvlStrRef>
              <c:f>'Pivot table 1'!$A$4:$A$30</c:f>
              <c:multiLvlStrCache>
                <c:ptCount val="24"/>
                <c:lvl>
                  <c:pt idx="0">
                    <c:v>janv</c:v>
                  </c:pt>
                  <c:pt idx="1">
                    <c:v>févr</c:v>
                  </c:pt>
                  <c:pt idx="2">
                    <c:v>mars</c:v>
                  </c:pt>
                  <c:pt idx="3">
                    <c:v>avr</c:v>
                  </c:pt>
                  <c:pt idx="4">
                    <c:v>mai</c:v>
                  </c:pt>
                  <c:pt idx="5">
                    <c:v>juin</c:v>
                  </c:pt>
                  <c:pt idx="6">
                    <c:v>juil</c:v>
                  </c:pt>
                  <c:pt idx="7">
                    <c:v>août</c:v>
                  </c:pt>
                  <c:pt idx="8">
                    <c:v>sept</c:v>
                  </c:pt>
                  <c:pt idx="9">
                    <c:v>oct</c:v>
                  </c:pt>
                  <c:pt idx="10">
                    <c:v>nov</c:v>
                  </c:pt>
                  <c:pt idx="11">
                    <c:v>déc</c:v>
                  </c:pt>
                  <c:pt idx="12">
                    <c:v>janv</c:v>
                  </c:pt>
                  <c:pt idx="13">
                    <c:v>févr</c:v>
                  </c:pt>
                  <c:pt idx="14">
                    <c:v>mars</c:v>
                  </c:pt>
                  <c:pt idx="15">
                    <c:v>avr</c:v>
                  </c:pt>
                  <c:pt idx="16">
                    <c:v>mai</c:v>
                  </c:pt>
                  <c:pt idx="17">
                    <c:v>juin</c:v>
                  </c:pt>
                  <c:pt idx="18">
                    <c:v>juil</c:v>
                  </c:pt>
                  <c:pt idx="19">
                    <c:v>août</c:v>
                  </c:pt>
                  <c:pt idx="20">
                    <c:v>sept</c:v>
                  </c:pt>
                  <c:pt idx="21">
                    <c:v>oct</c:v>
                  </c:pt>
                  <c:pt idx="22">
                    <c:v>nov</c:v>
                  </c:pt>
                  <c:pt idx="23">
                    <c:v>déc</c:v>
                  </c:pt>
                </c:lvl>
                <c:lvl>
                  <c:pt idx="0">
                    <c:v>2023</c:v>
                  </c:pt>
                  <c:pt idx="12">
                    <c:v>2024</c:v>
                  </c:pt>
                </c:lvl>
              </c:multiLvlStrCache>
            </c:multiLvlStrRef>
          </c:cat>
          <c:val>
            <c:numRef>
              <c:f>'Pivot table 1'!$E$4:$E$30</c:f>
              <c:numCache>
                <c:formatCode>[$$-409]#\ ##0</c:formatCode>
                <c:ptCount val="24"/>
                <c:pt idx="0">
                  <c:v>350.78</c:v>
                </c:pt>
                <c:pt idx="1">
                  <c:v>706.38</c:v>
                </c:pt>
                <c:pt idx="2">
                  <c:v>397.21000000000004</c:v>
                </c:pt>
                <c:pt idx="3">
                  <c:v>385.28</c:v>
                </c:pt>
                <c:pt idx="4">
                  <c:v>829.80000000000018</c:v>
                </c:pt>
                <c:pt idx="5">
                  <c:v>403.90000000000003</c:v>
                </c:pt>
                <c:pt idx="6">
                  <c:v>389.10999999999996</c:v>
                </c:pt>
                <c:pt idx="7">
                  <c:v>368.56</c:v>
                </c:pt>
                <c:pt idx="8">
                  <c:v>455.61</c:v>
                </c:pt>
                <c:pt idx="9">
                  <c:v>336.01</c:v>
                </c:pt>
                <c:pt idx="10">
                  <c:v>543.1</c:v>
                </c:pt>
                <c:pt idx="11">
                  <c:v>532.46999999999991</c:v>
                </c:pt>
                <c:pt idx="12">
                  <c:v>436.72999999999996</c:v>
                </c:pt>
                <c:pt idx="13">
                  <c:v>599.49000000000012</c:v>
                </c:pt>
                <c:pt idx="14">
                  <c:v>349.78</c:v>
                </c:pt>
                <c:pt idx="15">
                  <c:v>437.83</c:v>
                </c:pt>
                <c:pt idx="16">
                  <c:v>681.89</c:v>
                </c:pt>
                <c:pt idx="17">
                  <c:v>266.17</c:v>
                </c:pt>
                <c:pt idx="18">
                  <c:v>539.8599999999999</c:v>
                </c:pt>
                <c:pt idx="19">
                  <c:v>653.78</c:v>
                </c:pt>
                <c:pt idx="20">
                  <c:v>675.27</c:v>
                </c:pt>
                <c:pt idx="21">
                  <c:v>479.92999999999995</c:v>
                </c:pt>
                <c:pt idx="22">
                  <c:v>517.88</c:v>
                </c:pt>
                <c:pt idx="23">
                  <c:v>524.87</c:v>
                </c:pt>
              </c:numCache>
            </c:numRef>
          </c:val>
          <c:smooth val="0"/>
          <c:extLst>
            <c:ext xmlns:c16="http://schemas.microsoft.com/office/drawing/2014/chart" uri="{C3380CC4-5D6E-409C-BE32-E72D297353CC}">
              <c16:uniqueId val="{00000003-A448-41B2-9DF0-F84B75A467CF}"/>
            </c:ext>
          </c:extLst>
        </c:ser>
        <c:ser>
          <c:idx val="4"/>
          <c:order val="4"/>
          <c:tx>
            <c:strRef>
              <c:f>'Pivot table 1'!$F$2:$F$3</c:f>
              <c:strCache>
                <c:ptCount val="1"/>
                <c:pt idx="0">
                  <c:v>TECH</c:v>
                </c:pt>
              </c:strCache>
            </c:strRef>
          </c:tx>
          <c:spPr>
            <a:ln w="28575" cap="rnd">
              <a:solidFill>
                <a:srgbClr val="FFFF00"/>
              </a:solidFill>
              <a:round/>
            </a:ln>
            <a:effectLst/>
          </c:spPr>
          <c:marker>
            <c:symbol val="none"/>
          </c:marker>
          <c:cat>
            <c:multiLvlStrRef>
              <c:f>'Pivot table 1'!$A$4:$A$30</c:f>
              <c:multiLvlStrCache>
                <c:ptCount val="24"/>
                <c:lvl>
                  <c:pt idx="0">
                    <c:v>janv</c:v>
                  </c:pt>
                  <c:pt idx="1">
                    <c:v>févr</c:v>
                  </c:pt>
                  <c:pt idx="2">
                    <c:v>mars</c:v>
                  </c:pt>
                  <c:pt idx="3">
                    <c:v>avr</c:v>
                  </c:pt>
                  <c:pt idx="4">
                    <c:v>mai</c:v>
                  </c:pt>
                  <c:pt idx="5">
                    <c:v>juin</c:v>
                  </c:pt>
                  <c:pt idx="6">
                    <c:v>juil</c:v>
                  </c:pt>
                  <c:pt idx="7">
                    <c:v>août</c:v>
                  </c:pt>
                  <c:pt idx="8">
                    <c:v>sept</c:v>
                  </c:pt>
                  <c:pt idx="9">
                    <c:v>oct</c:v>
                  </c:pt>
                  <c:pt idx="10">
                    <c:v>nov</c:v>
                  </c:pt>
                  <c:pt idx="11">
                    <c:v>déc</c:v>
                  </c:pt>
                  <c:pt idx="12">
                    <c:v>janv</c:v>
                  </c:pt>
                  <c:pt idx="13">
                    <c:v>févr</c:v>
                  </c:pt>
                  <c:pt idx="14">
                    <c:v>mars</c:v>
                  </c:pt>
                  <c:pt idx="15">
                    <c:v>avr</c:v>
                  </c:pt>
                  <c:pt idx="16">
                    <c:v>mai</c:v>
                  </c:pt>
                  <c:pt idx="17">
                    <c:v>juin</c:v>
                  </c:pt>
                  <c:pt idx="18">
                    <c:v>juil</c:v>
                  </c:pt>
                  <c:pt idx="19">
                    <c:v>août</c:v>
                  </c:pt>
                  <c:pt idx="20">
                    <c:v>sept</c:v>
                  </c:pt>
                  <c:pt idx="21">
                    <c:v>oct</c:v>
                  </c:pt>
                  <c:pt idx="22">
                    <c:v>nov</c:v>
                  </c:pt>
                  <c:pt idx="23">
                    <c:v>déc</c:v>
                  </c:pt>
                </c:lvl>
                <c:lvl>
                  <c:pt idx="0">
                    <c:v>2023</c:v>
                  </c:pt>
                  <c:pt idx="12">
                    <c:v>2024</c:v>
                  </c:pt>
                </c:lvl>
              </c:multiLvlStrCache>
            </c:multiLvlStrRef>
          </c:cat>
          <c:val>
            <c:numRef>
              <c:f>'Pivot table 1'!$F$4:$F$30</c:f>
              <c:numCache>
                <c:formatCode>[$$-409]#\ ##0</c:formatCode>
                <c:ptCount val="24"/>
                <c:pt idx="0">
                  <c:v>581.84</c:v>
                </c:pt>
                <c:pt idx="1">
                  <c:v>182.44</c:v>
                </c:pt>
                <c:pt idx="2">
                  <c:v>703.37000000000012</c:v>
                </c:pt>
                <c:pt idx="3">
                  <c:v>697.67000000000007</c:v>
                </c:pt>
                <c:pt idx="4">
                  <c:v>665.68999999999994</c:v>
                </c:pt>
                <c:pt idx="5">
                  <c:v>367.96000000000004</c:v>
                </c:pt>
                <c:pt idx="6">
                  <c:v>331.3</c:v>
                </c:pt>
                <c:pt idx="7">
                  <c:v>757.24999999999989</c:v>
                </c:pt>
                <c:pt idx="8">
                  <c:v>519.01</c:v>
                </c:pt>
                <c:pt idx="9">
                  <c:v>307.15999999999997</c:v>
                </c:pt>
                <c:pt idx="10">
                  <c:v>748.58</c:v>
                </c:pt>
                <c:pt idx="11">
                  <c:v>278.28999999999996</c:v>
                </c:pt>
                <c:pt idx="12">
                  <c:v>482.57</c:v>
                </c:pt>
                <c:pt idx="13">
                  <c:v>268.77999999999997</c:v>
                </c:pt>
                <c:pt idx="14">
                  <c:v>299.02</c:v>
                </c:pt>
                <c:pt idx="15">
                  <c:v>189.38</c:v>
                </c:pt>
                <c:pt idx="16">
                  <c:v>325.31</c:v>
                </c:pt>
                <c:pt idx="17">
                  <c:v>353.75000000000006</c:v>
                </c:pt>
                <c:pt idx="18">
                  <c:v>549.4</c:v>
                </c:pt>
                <c:pt idx="19">
                  <c:v>247.42999999999998</c:v>
                </c:pt>
                <c:pt idx="20">
                  <c:v>90.32</c:v>
                </c:pt>
                <c:pt idx="21">
                  <c:v>605.82000000000005</c:v>
                </c:pt>
                <c:pt idx="22">
                  <c:v>296.35000000000002</c:v>
                </c:pt>
                <c:pt idx="23">
                  <c:v>417.65999999999997</c:v>
                </c:pt>
              </c:numCache>
            </c:numRef>
          </c:val>
          <c:smooth val="0"/>
          <c:extLst>
            <c:ext xmlns:c16="http://schemas.microsoft.com/office/drawing/2014/chart" uri="{C3380CC4-5D6E-409C-BE32-E72D297353CC}">
              <c16:uniqueId val="{00000004-A448-41B2-9DF0-F84B75A467CF}"/>
            </c:ext>
          </c:extLst>
        </c:ser>
        <c:dLbls>
          <c:showLegendKey val="0"/>
          <c:showVal val="0"/>
          <c:showCatName val="0"/>
          <c:showSerName val="0"/>
          <c:showPercent val="0"/>
          <c:showBubbleSize val="0"/>
        </c:dLbls>
        <c:smooth val="0"/>
        <c:axId val="1340131407"/>
        <c:axId val="1340126127"/>
      </c:lineChart>
      <c:catAx>
        <c:axId val="134013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340126127"/>
        <c:crosses val="autoZero"/>
        <c:auto val="1"/>
        <c:lblAlgn val="ctr"/>
        <c:lblOffset val="100"/>
        <c:noMultiLvlLbl val="0"/>
      </c:catAx>
      <c:valAx>
        <c:axId val="1340126127"/>
        <c:scaling>
          <c:orientation val="minMax"/>
        </c:scaling>
        <c:delete val="0"/>
        <c:axPos val="l"/>
        <c:majorGridlines>
          <c:spPr>
            <a:ln w="9525" cap="flat" cmpd="sng" algn="ctr">
              <a:solidFill>
                <a:srgbClr val="7030A0"/>
              </a:solidFill>
              <a:round/>
            </a:ln>
            <a:effectLst/>
          </c:spPr>
        </c:majorGridlines>
        <c:numFmt formatCode="[$$-4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340131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A90E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345236</xdr:colOff>
      <xdr:row>0</xdr:row>
      <xdr:rowOff>0</xdr:rowOff>
    </xdr:from>
    <xdr:to>
      <xdr:col>12</xdr:col>
      <xdr:colOff>890460</xdr:colOff>
      <xdr:row>15</xdr:row>
      <xdr:rowOff>6131</xdr:rowOff>
    </xdr:to>
    <xdr:graphicFrame macro="">
      <xdr:nvGraphicFramePr>
        <xdr:cNvPr id="3" name="Chart 2">
          <a:extLst>
            <a:ext uri="{FF2B5EF4-FFF2-40B4-BE49-F238E27FC236}">
              <a16:creationId xmlns:a16="http://schemas.microsoft.com/office/drawing/2014/main" id="{BC9BD4E3-6396-E292-0E7C-971034F176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415925</xdr:colOff>
      <xdr:row>1</xdr:row>
      <xdr:rowOff>12700</xdr:rowOff>
    </xdr:from>
    <xdr:to>
      <xdr:col>10</xdr:col>
      <xdr:colOff>111125</xdr:colOff>
      <xdr:row>15</xdr:row>
      <xdr:rowOff>177800</xdr:rowOff>
    </xdr:to>
    <xdr:graphicFrame macro="">
      <xdr:nvGraphicFramePr>
        <xdr:cNvPr id="4" name="Chart 3">
          <a:extLst>
            <a:ext uri="{FF2B5EF4-FFF2-40B4-BE49-F238E27FC236}">
              <a16:creationId xmlns:a16="http://schemas.microsoft.com/office/drawing/2014/main" id="{6659043B-0FB9-C9C1-F887-0930CACADE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158750</xdr:colOff>
      <xdr:row>0</xdr:row>
      <xdr:rowOff>82550</xdr:rowOff>
    </xdr:from>
    <xdr:to>
      <xdr:col>13</xdr:col>
      <xdr:colOff>266700</xdr:colOff>
      <xdr:row>15</xdr:row>
      <xdr:rowOff>63500</xdr:rowOff>
    </xdr:to>
    <xdr:graphicFrame macro="">
      <xdr:nvGraphicFramePr>
        <xdr:cNvPr id="3" name="Chart 2">
          <a:extLst>
            <a:ext uri="{FF2B5EF4-FFF2-40B4-BE49-F238E27FC236}">
              <a16:creationId xmlns:a16="http://schemas.microsoft.com/office/drawing/2014/main" id="{82D3BF53-F8B8-B84A-BEEA-810A02D53D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-12960</xdr:colOff>
      <xdr:row>0</xdr:row>
      <xdr:rowOff>3</xdr:rowOff>
    </xdr:from>
    <xdr:to>
      <xdr:col>26</xdr:col>
      <xdr:colOff>51847</xdr:colOff>
      <xdr:row>9</xdr:row>
      <xdr:rowOff>38878</xdr:rowOff>
    </xdr:to>
    <xdr:sp macro="" textlink="">
      <xdr:nvSpPr>
        <xdr:cNvPr id="2" name="Rectangle: Rounded Corners 1">
          <a:extLst>
            <a:ext uri="{FF2B5EF4-FFF2-40B4-BE49-F238E27FC236}">
              <a16:creationId xmlns:a16="http://schemas.microsoft.com/office/drawing/2014/main" id="{BACFE439-1304-ABFE-DD7D-3029623B03CE}"/>
            </a:ext>
          </a:extLst>
        </xdr:cNvPr>
        <xdr:cNvSpPr>
          <a:spLocks/>
        </xdr:cNvSpPr>
      </xdr:nvSpPr>
      <xdr:spPr>
        <a:xfrm>
          <a:off x="-12960" y="3"/>
          <a:ext cx="15900929" cy="1671732"/>
        </a:xfrm>
        <a:custGeom>
          <a:avLst/>
          <a:gdLst>
            <a:gd name="csX0" fmla="*/ 0 w 15660681"/>
            <a:gd name="csY0" fmla="*/ 273874 h 1643213"/>
            <a:gd name="csX1" fmla="*/ 273874 w 15660681"/>
            <a:gd name="csY1" fmla="*/ 0 h 1643213"/>
            <a:gd name="csX2" fmla="*/ 15386807 w 15660681"/>
            <a:gd name="csY2" fmla="*/ 0 h 1643213"/>
            <a:gd name="csX3" fmla="*/ 15660681 w 15660681"/>
            <a:gd name="csY3" fmla="*/ 273874 h 1643213"/>
            <a:gd name="csX4" fmla="*/ 15660681 w 15660681"/>
            <a:gd name="csY4" fmla="*/ 1369339 h 1643213"/>
            <a:gd name="csX5" fmla="*/ 15386807 w 15660681"/>
            <a:gd name="csY5" fmla="*/ 1643213 h 1643213"/>
            <a:gd name="csX6" fmla="*/ 273874 w 15660681"/>
            <a:gd name="csY6" fmla="*/ 1643213 h 1643213"/>
            <a:gd name="csX7" fmla="*/ 0 w 15660681"/>
            <a:gd name="csY7" fmla="*/ 1369339 h 1643213"/>
            <a:gd name="csX8" fmla="*/ 0 w 15660681"/>
            <a:gd name="csY8" fmla="*/ 273874 h 1643213"/>
            <a:gd name="csX0" fmla="*/ 0 w 15660681"/>
            <a:gd name="csY0" fmla="*/ 273874 h 1659924"/>
            <a:gd name="csX1" fmla="*/ 273874 w 15660681"/>
            <a:gd name="csY1" fmla="*/ 0 h 1659924"/>
            <a:gd name="csX2" fmla="*/ 15386807 w 15660681"/>
            <a:gd name="csY2" fmla="*/ 0 h 1659924"/>
            <a:gd name="csX3" fmla="*/ 15660681 w 15660681"/>
            <a:gd name="csY3" fmla="*/ 273874 h 1659924"/>
            <a:gd name="csX4" fmla="*/ 15660681 w 15660681"/>
            <a:gd name="csY4" fmla="*/ 1369339 h 1659924"/>
            <a:gd name="csX5" fmla="*/ 15436938 w 15660681"/>
            <a:gd name="csY5" fmla="*/ 1659924 h 1659924"/>
            <a:gd name="csX6" fmla="*/ 273874 w 15660681"/>
            <a:gd name="csY6" fmla="*/ 1643213 h 1659924"/>
            <a:gd name="csX7" fmla="*/ 0 w 15660681"/>
            <a:gd name="csY7" fmla="*/ 1369339 h 1659924"/>
            <a:gd name="csX8" fmla="*/ 0 w 15660681"/>
            <a:gd name="csY8" fmla="*/ 273874 h 1659924"/>
            <a:gd name="csX0" fmla="*/ 0 w 15660692"/>
            <a:gd name="csY0" fmla="*/ 273874 h 1659924"/>
            <a:gd name="csX1" fmla="*/ 273874 w 15660692"/>
            <a:gd name="csY1" fmla="*/ 0 h 1659924"/>
            <a:gd name="csX2" fmla="*/ 15386807 w 15660692"/>
            <a:gd name="csY2" fmla="*/ 0 h 1659924"/>
            <a:gd name="csX3" fmla="*/ 15660681 w 15660692"/>
            <a:gd name="csY3" fmla="*/ 273874 h 1659924"/>
            <a:gd name="csX4" fmla="*/ 15660681 w 15660692"/>
            <a:gd name="csY4" fmla="*/ 1369339 h 1659924"/>
            <a:gd name="csX5" fmla="*/ 15513581 w 15660692"/>
            <a:gd name="csY5" fmla="*/ 1659924 h 1659924"/>
            <a:gd name="csX6" fmla="*/ 273874 w 15660692"/>
            <a:gd name="csY6" fmla="*/ 1643213 h 1659924"/>
            <a:gd name="csX7" fmla="*/ 0 w 15660692"/>
            <a:gd name="csY7" fmla="*/ 1369339 h 1659924"/>
            <a:gd name="csX8" fmla="*/ 0 w 15660692"/>
            <a:gd name="csY8" fmla="*/ 273874 h 1659924"/>
            <a:gd name="csX0" fmla="*/ 0 w 15660692"/>
            <a:gd name="csY0" fmla="*/ 273874 h 1659924"/>
            <a:gd name="csX1" fmla="*/ 273874 w 15660692"/>
            <a:gd name="csY1" fmla="*/ 0 h 1659924"/>
            <a:gd name="csX2" fmla="*/ 15508158 w 15660692"/>
            <a:gd name="csY2" fmla="*/ 6433 h 1659924"/>
            <a:gd name="csX3" fmla="*/ 15660681 w 15660692"/>
            <a:gd name="csY3" fmla="*/ 273874 h 1659924"/>
            <a:gd name="csX4" fmla="*/ 15660681 w 15660692"/>
            <a:gd name="csY4" fmla="*/ 1369339 h 1659924"/>
            <a:gd name="csX5" fmla="*/ 15513581 w 15660692"/>
            <a:gd name="csY5" fmla="*/ 1659924 h 1659924"/>
            <a:gd name="csX6" fmla="*/ 273874 w 15660692"/>
            <a:gd name="csY6" fmla="*/ 1643213 h 1659924"/>
            <a:gd name="csX7" fmla="*/ 0 w 15660692"/>
            <a:gd name="csY7" fmla="*/ 1369339 h 1659924"/>
            <a:gd name="csX8" fmla="*/ 0 w 15660692"/>
            <a:gd name="csY8" fmla="*/ 273874 h 1659924"/>
            <a:gd name="csX0" fmla="*/ 19161 w 15679853"/>
            <a:gd name="csY0" fmla="*/ 273874 h 1659924"/>
            <a:gd name="csX1" fmla="*/ 293035 w 15679853"/>
            <a:gd name="csY1" fmla="*/ 0 h 1659924"/>
            <a:gd name="csX2" fmla="*/ 15527319 w 15679853"/>
            <a:gd name="csY2" fmla="*/ 6433 h 1659924"/>
            <a:gd name="csX3" fmla="*/ 15679842 w 15679853"/>
            <a:gd name="csY3" fmla="*/ 273874 h 1659924"/>
            <a:gd name="csX4" fmla="*/ 15679842 w 15679853"/>
            <a:gd name="csY4" fmla="*/ 1369339 h 1659924"/>
            <a:gd name="csX5" fmla="*/ 15532742 w 15679853"/>
            <a:gd name="csY5" fmla="*/ 1659924 h 1659924"/>
            <a:gd name="csX6" fmla="*/ 293035 w 15679853"/>
            <a:gd name="csY6" fmla="*/ 1643213 h 1659924"/>
            <a:gd name="csX7" fmla="*/ 0 w 15679853"/>
            <a:gd name="csY7" fmla="*/ 1510883 h 1659924"/>
            <a:gd name="csX8" fmla="*/ 19161 w 15679853"/>
            <a:gd name="csY8" fmla="*/ 273874 h 1659924"/>
            <a:gd name="csX0" fmla="*/ 12775 w 15673467"/>
            <a:gd name="csY0" fmla="*/ 273874 h 1659924"/>
            <a:gd name="csX1" fmla="*/ 286649 w 15673467"/>
            <a:gd name="csY1" fmla="*/ 0 h 1659924"/>
            <a:gd name="csX2" fmla="*/ 15520933 w 15673467"/>
            <a:gd name="csY2" fmla="*/ 6433 h 1659924"/>
            <a:gd name="csX3" fmla="*/ 15673456 w 15673467"/>
            <a:gd name="csY3" fmla="*/ 273874 h 1659924"/>
            <a:gd name="csX4" fmla="*/ 15673456 w 15673467"/>
            <a:gd name="csY4" fmla="*/ 1369339 h 1659924"/>
            <a:gd name="csX5" fmla="*/ 15526356 w 15673467"/>
            <a:gd name="csY5" fmla="*/ 1659924 h 1659924"/>
            <a:gd name="csX6" fmla="*/ 286649 w 15673467"/>
            <a:gd name="csY6" fmla="*/ 1643213 h 1659924"/>
            <a:gd name="csX7" fmla="*/ 0 w 15673467"/>
            <a:gd name="csY7" fmla="*/ 1459413 h 1659924"/>
            <a:gd name="csX8" fmla="*/ 12775 w 15673467"/>
            <a:gd name="csY8" fmla="*/ 273874 h 1659924"/>
            <a:gd name="csX0" fmla="*/ 6387 w 15673467"/>
            <a:gd name="csY0" fmla="*/ 151631 h 1659924"/>
            <a:gd name="csX1" fmla="*/ 286649 w 15673467"/>
            <a:gd name="csY1" fmla="*/ 0 h 1659924"/>
            <a:gd name="csX2" fmla="*/ 15520933 w 15673467"/>
            <a:gd name="csY2" fmla="*/ 6433 h 1659924"/>
            <a:gd name="csX3" fmla="*/ 15673456 w 15673467"/>
            <a:gd name="csY3" fmla="*/ 273874 h 1659924"/>
            <a:gd name="csX4" fmla="*/ 15673456 w 15673467"/>
            <a:gd name="csY4" fmla="*/ 1369339 h 1659924"/>
            <a:gd name="csX5" fmla="*/ 15526356 w 15673467"/>
            <a:gd name="csY5" fmla="*/ 1659924 h 1659924"/>
            <a:gd name="csX6" fmla="*/ 286649 w 15673467"/>
            <a:gd name="csY6" fmla="*/ 1643213 h 1659924"/>
            <a:gd name="csX7" fmla="*/ 0 w 15673467"/>
            <a:gd name="csY7" fmla="*/ 1459413 h 1659924"/>
            <a:gd name="csX8" fmla="*/ 6387 w 15673467"/>
            <a:gd name="csY8" fmla="*/ 151631 h 165992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5673467" h="1659924">
              <a:moveTo>
                <a:pt x="6387" y="151631"/>
              </a:moveTo>
              <a:cubicBezTo>
                <a:pt x="6387" y="375"/>
                <a:pt x="135393" y="0"/>
                <a:pt x="286649" y="0"/>
              </a:cubicBezTo>
              <a:lnTo>
                <a:pt x="15520933" y="6433"/>
              </a:lnTo>
              <a:cubicBezTo>
                <a:pt x="15672189" y="6433"/>
                <a:pt x="15673456" y="122618"/>
                <a:pt x="15673456" y="273874"/>
              </a:cubicBezTo>
              <a:lnTo>
                <a:pt x="15673456" y="1369339"/>
              </a:lnTo>
              <a:cubicBezTo>
                <a:pt x="15673456" y="1520595"/>
                <a:pt x="15677612" y="1659924"/>
                <a:pt x="15526356" y="1659924"/>
              </a:cubicBezTo>
              <a:lnTo>
                <a:pt x="286649" y="1643213"/>
              </a:lnTo>
              <a:cubicBezTo>
                <a:pt x="135393" y="1643213"/>
                <a:pt x="0" y="1610669"/>
                <a:pt x="0" y="1459413"/>
              </a:cubicBezTo>
              <a:lnTo>
                <a:pt x="6387" y="151631"/>
              </a:lnTo>
              <a:close/>
            </a:path>
          </a:pathLst>
        </a:custGeom>
        <a:solidFill>
          <a:srgbClr val="002060"/>
        </a:solidFill>
        <a:ln w="12700" cap="flat">
          <a:solidFill>
            <a:schemeClr val="accent1">
              <a:shade val="15000"/>
            </a:schemeClr>
          </a:solidFill>
          <a:miter lim="800000"/>
        </a:ln>
        <a:effectLst>
          <a:glow>
            <a:schemeClr val="accent1">
              <a:alpha val="40000"/>
            </a:schemeClr>
          </a:glow>
          <a:reflection stA="0" endPos="6600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142875</xdr:colOff>
      <xdr:row>2</xdr:row>
      <xdr:rowOff>0</xdr:rowOff>
    </xdr:from>
    <xdr:to>
      <xdr:col>19</xdr:col>
      <xdr:colOff>508000</xdr:colOff>
      <xdr:row>5</xdr:row>
      <xdr:rowOff>127000</xdr:rowOff>
    </xdr:to>
    <xdr:sp macro="" textlink="">
      <xdr:nvSpPr>
        <xdr:cNvPr id="6" name="TextBox 5">
          <a:extLst>
            <a:ext uri="{FF2B5EF4-FFF2-40B4-BE49-F238E27FC236}">
              <a16:creationId xmlns:a16="http://schemas.microsoft.com/office/drawing/2014/main" id="{F7BC2CCB-B428-D2A8-E80D-BD8C456E2C9F}"/>
            </a:ext>
          </a:extLst>
        </xdr:cNvPr>
        <xdr:cNvSpPr txBox="1"/>
      </xdr:nvSpPr>
      <xdr:spPr>
        <a:xfrm>
          <a:off x="3762375" y="381000"/>
          <a:ext cx="8207375" cy="698500"/>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6000" b="1">
              <a:solidFill>
                <a:schemeClr val="bg1"/>
              </a:solidFill>
            </a:rPr>
            <a:t>Books Sales Dashboard</a:t>
          </a:r>
        </a:p>
      </xdr:txBody>
    </xdr:sp>
    <xdr:clientData/>
  </xdr:twoCellAnchor>
  <xdr:twoCellAnchor>
    <xdr:from>
      <xdr:col>0</xdr:col>
      <xdr:colOff>38100</xdr:colOff>
      <xdr:row>17</xdr:row>
      <xdr:rowOff>111125</xdr:rowOff>
    </xdr:from>
    <xdr:to>
      <xdr:col>11</xdr:col>
      <xdr:colOff>558800</xdr:colOff>
      <xdr:row>32</xdr:row>
      <xdr:rowOff>38100</xdr:rowOff>
    </xdr:to>
    <xdr:graphicFrame macro="">
      <xdr:nvGraphicFramePr>
        <xdr:cNvPr id="15" name="Chart 14">
          <a:extLst>
            <a:ext uri="{FF2B5EF4-FFF2-40B4-BE49-F238E27FC236}">
              <a16:creationId xmlns:a16="http://schemas.microsoft.com/office/drawing/2014/main" id="{E5F6ADE3-5351-41BD-A7B8-DE7CCF680A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32</xdr:row>
      <xdr:rowOff>136524</xdr:rowOff>
    </xdr:from>
    <xdr:to>
      <xdr:col>11</xdr:col>
      <xdr:colOff>546100</xdr:colOff>
      <xdr:row>49</xdr:row>
      <xdr:rowOff>63499</xdr:rowOff>
    </xdr:to>
    <xdr:graphicFrame macro="">
      <xdr:nvGraphicFramePr>
        <xdr:cNvPr id="16" name="Chart 15">
          <a:extLst>
            <a:ext uri="{FF2B5EF4-FFF2-40B4-BE49-F238E27FC236}">
              <a16:creationId xmlns:a16="http://schemas.microsoft.com/office/drawing/2014/main" id="{8ED457EC-F908-4F8F-AFBD-2E5FC4CC0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101600</xdr:colOff>
      <xdr:row>17</xdr:row>
      <xdr:rowOff>104774</xdr:rowOff>
    </xdr:from>
    <xdr:to>
      <xdr:col>26</xdr:col>
      <xdr:colOff>83553</xdr:colOff>
      <xdr:row>49</xdr:row>
      <xdr:rowOff>83552</xdr:rowOff>
    </xdr:to>
    <xdr:graphicFrame macro="">
      <xdr:nvGraphicFramePr>
        <xdr:cNvPr id="17" name="Chart 16">
          <a:extLst>
            <a:ext uri="{FF2B5EF4-FFF2-40B4-BE49-F238E27FC236}">
              <a16:creationId xmlns:a16="http://schemas.microsoft.com/office/drawing/2014/main" id="{927A5AE7-1779-4D1A-AF9C-D4D3DB47FC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114300</xdr:colOff>
      <xdr:row>9</xdr:row>
      <xdr:rowOff>76200</xdr:rowOff>
    </xdr:from>
    <xdr:to>
      <xdr:col>26</xdr:col>
      <xdr:colOff>63500</xdr:colOff>
      <xdr:row>16</xdr:row>
      <xdr:rowOff>177800</xdr:rowOff>
    </xdr:to>
    <mc:AlternateContent xmlns:mc="http://schemas.openxmlformats.org/markup-compatibility/2006" xmlns:tsle="http://schemas.microsoft.com/office/drawing/2012/timeslicer">
      <mc:Choice Requires="tsle">
        <xdr:graphicFrame macro="">
          <xdr:nvGraphicFramePr>
            <xdr:cNvPr id="18" name="Sale_Date">
              <a:extLst>
                <a:ext uri="{FF2B5EF4-FFF2-40B4-BE49-F238E27FC236}">
                  <a16:creationId xmlns:a16="http://schemas.microsoft.com/office/drawing/2014/main" id="{EED40AD3-2AC8-4C1A-05E5-A9AEC3CC31C6}"/>
                </a:ext>
              </a:extLst>
            </xdr:cNvPr>
            <xdr:cNvGraphicFramePr/>
          </xdr:nvGraphicFramePr>
          <xdr:xfrm>
            <a:off x="0" y="0"/>
            <a:ext cx="0" cy="0"/>
          </xdr:xfrm>
          <a:graphic>
            <a:graphicData uri="http://schemas.microsoft.com/office/drawing/2012/timeslicer">
              <tsle:timeslicer name="Sale_Date"/>
            </a:graphicData>
          </a:graphic>
        </xdr:graphicFrame>
      </mc:Choice>
      <mc:Fallback xmlns="">
        <xdr:sp macro="" textlink="">
          <xdr:nvSpPr>
            <xdr:cNvPr id="0" name=""/>
            <xdr:cNvSpPr>
              <a:spLocks noTextEdit="1"/>
            </xdr:cNvSpPr>
          </xdr:nvSpPr>
          <xdr:spPr>
            <a:xfrm>
              <a:off x="4337050" y="1790700"/>
              <a:ext cx="11410950" cy="1435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9</xdr:row>
      <xdr:rowOff>76200</xdr:rowOff>
    </xdr:from>
    <xdr:to>
      <xdr:col>3</xdr:col>
      <xdr:colOff>266700</xdr:colOff>
      <xdr:row>17</xdr:row>
      <xdr:rowOff>15875</xdr:rowOff>
    </xdr:to>
    <mc:AlternateContent xmlns:mc="http://schemas.openxmlformats.org/markup-compatibility/2006" xmlns:a14="http://schemas.microsoft.com/office/drawing/2010/main">
      <mc:Choice Requires="a14">
        <xdr:graphicFrame macro="">
          <xdr:nvGraphicFramePr>
            <xdr:cNvPr id="19" name="Loyalty_Card">
              <a:extLst>
                <a:ext uri="{FF2B5EF4-FFF2-40B4-BE49-F238E27FC236}">
                  <a16:creationId xmlns:a16="http://schemas.microsoft.com/office/drawing/2014/main" id="{F7232C5C-D768-0BFF-81DA-19851F3A3070}"/>
                </a:ext>
              </a:extLst>
            </xdr:cNvPr>
            <xdr:cNvGraphicFramePr/>
          </xdr:nvGraphicFramePr>
          <xdr:xfrm>
            <a:off x="0" y="0"/>
            <a:ext cx="0" cy="0"/>
          </xdr:xfrm>
          <a:graphic>
            <a:graphicData uri="http://schemas.microsoft.com/office/drawing/2010/slicer">
              <sle:slicer xmlns:sle="http://schemas.microsoft.com/office/drawing/2010/slicer" name="Loyalty_Card"/>
            </a:graphicData>
          </a:graphic>
        </xdr:graphicFrame>
      </mc:Choice>
      <mc:Fallback xmlns="">
        <xdr:sp macro="" textlink="">
          <xdr:nvSpPr>
            <xdr:cNvPr id="0" name=""/>
            <xdr:cNvSpPr>
              <a:spLocks noTextEdit="1"/>
            </xdr:cNvSpPr>
          </xdr:nvSpPr>
          <xdr:spPr>
            <a:xfrm>
              <a:off x="0" y="1790700"/>
              <a:ext cx="2076450" cy="1463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406400</xdr:colOff>
      <xdr:row>9</xdr:row>
      <xdr:rowOff>76200</xdr:rowOff>
    </xdr:from>
    <xdr:to>
      <xdr:col>7</xdr:col>
      <xdr:colOff>22225</xdr:colOff>
      <xdr:row>17</xdr:row>
      <xdr:rowOff>22225</xdr:rowOff>
    </xdr:to>
    <mc:AlternateContent xmlns:mc="http://schemas.openxmlformats.org/markup-compatibility/2006" xmlns:a14="http://schemas.microsoft.com/office/drawing/2010/main">
      <mc:Choice Requires="a14">
        <xdr:graphicFrame macro="">
          <xdr:nvGraphicFramePr>
            <xdr:cNvPr id="20" name="Membership_Type">
              <a:extLst>
                <a:ext uri="{FF2B5EF4-FFF2-40B4-BE49-F238E27FC236}">
                  <a16:creationId xmlns:a16="http://schemas.microsoft.com/office/drawing/2014/main" id="{F635EC18-4839-90AC-2980-6FB96E4D3749}"/>
                </a:ext>
              </a:extLst>
            </xdr:cNvPr>
            <xdr:cNvGraphicFramePr/>
          </xdr:nvGraphicFramePr>
          <xdr:xfrm>
            <a:off x="0" y="0"/>
            <a:ext cx="0" cy="0"/>
          </xdr:xfrm>
          <a:graphic>
            <a:graphicData uri="http://schemas.microsoft.com/office/drawing/2010/slicer">
              <sle:slicer xmlns:sle="http://schemas.microsoft.com/office/drawing/2010/slicer" name="Membership_Type"/>
            </a:graphicData>
          </a:graphic>
        </xdr:graphicFrame>
      </mc:Choice>
      <mc:Fallback xmlns="">
        <xdr:sp macro="" textlink="">
          <xdr:nvSpPr>
            <xdr:cNvPr id="0" name=""/>
            <xdr:cNvSpPr>
              <a:spLocks noTextEdit="1"/>
            </xdr:cNvSpPr>
          </xdr:nvSpPr>
          <xdr:spPr>
            <a:xfrm>
              <a:off x="2216150" y="1790700"/>
              <a:ext cx="2028825" cy="1470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32.040123726852" createdVersion="8" refreshedVersion="8" minRefreshableVersion="3" recordCount="982" xr:uid="{819248D0-7D83-43AF-BC00-57DE3229DAE6}">
  <cacheSource type="worksheet">
    <worksheetSource ref="A1:N983" sheet="sales"/>
  </cacheSource>
  <cacheFields count="16">
    <cacheField name="Sale_ID" numFmtId="0">
      <sharedItems/>
    </cacheField>
    <cacheField name="Sale_Date" numFmtId="15">
      <sharedItems containsSemiMixedTypes="0" containsNonDate="0" containsDate="1" containsString="0" minDate="2023-01-02T00:00:00" maxDate="2025-01-01T00:00:00" count="716">
        <d v="2023-01-15T00:00:00"/>
        <d v="2023-03-22T00:00:00"/>
        <d v="2023-02-10T00:00:00"/>
        <d v="2023-05-18T00:00:00"/>
        <d v="2023-07-03T00:00:00"/>
        <d v="2024-09-14T00:00:00"/>
        <d v="2023-11-25T00:00:00"/>
        <d v="2024-02-28T00:00:00"/>
        <d v="2023-08-19T00:00:00"/>
        <d v="2024-04-05T00:00:00"/>
        <d v="2023-12-08T00:00:00"/>
        <d v="2024-06-21T00:00:00"/>
        <d v="2023-10-30T00:00:00"/>
        <d v="2024-01-17T00:00:00"/>
        <d v="2023-06-11T00:00:00"/>
        <d v="2024-07-29T00:00:00"/>
        <d v="2023-04-02T00:00:00"/>
        <d v="2024-11-10T00:00:00"/>
        <d v="2023-09-07T00:00:00"/>
        <d v="2024-03-16T00:00:00"/>
        <d v="2023-02-24T00:00:00"/>
        <d v="2024-08-12T00:00:00"/>
        <d v="2023-05-05T00:00:00"/>
        <d v="2024-10-23T00:00:00"/>
        <d v="2023-07-19T00:00:00"/>
        <d v="2024-12-31T00:00:00"/>
        <d v="2023-03-14T00:00:00"/>
        <d v="2024-02-03T00:00:00"/>
        <d v="2023-08-26T00:00:00"/>
        <d v="2024-05-09T00:00:00"/>
        <d v="2023-11-12T00:00:00"/>
        <d v="2024-07-02T00:00:00"/>
        <d v="2023-06-28T00:00:00"/>
        <d v="2024-09-18T00:00:00"/>
        <d v="2023-04-21T00:00:00"/>
        <d v="2024-01-05T00:00:00"/>
        <d v="2023-10-07T00:00:00"/>
        <d v="2024-11-28T00:00:00"/>
        <d v="2023-12-15T00:00:00"/>
        <d v="2024-03-24T00:00:00"/>
        <d v="2023-02-18T00:00:00"/>
        <d v="2024-06-07T00:00:00"/>
        <d v="2023-05-29T00:00:00"/>
        <d v="2024-10-14T00:00:00"/>
        <d v="2023-07-22T00:00:00"/>
        <d v="2024-08-31T00:00:00"/>
        <d v="2023-01-28T00:00:00"/>
        <d v="2024-04-19T00:00:00"/>
        <d v="2023-09-14T00:00:00"/>
        <d v="2024-12-08T00:00:00"/>
        <d v="2023-03-05T00:00:00"/>
        <d v="2024-02-14T00:00:00"/>
        <d v="2023-08-03T00:00:00"/>
        <d v="2024-05-26T00:00:00"/>
        <d v="2023-11-18T00:00:00"/>
        <d v="2024-07-15T00:00:00"/>
        <d v="2023-06-04T00:00:00"/>
        <d v="2024-09-27T00:00:00"/>
        <d v="2023-04-16T00:00:00"/>
        <d v="2024-01-22T00:00:00"/>
        <d v="2023-10-25T00:00:00"/>
        <d v="2024-11-05T00:00:00"/>
        <d v="2023-12-30T00:00:00"/>
        <d v="2024-03-09T00:00:00"/>
        <d v="2023-02-01T00:00:00"/>
        <d v="2024-06-14T00:00:00"/>
        <d v="2023-05-12T00:00:00"/>
        <d v="2024-10-07T00:00:00"/>
        <d v="2023-07-28T00:00:00"/>
        <d v="2024-08-21T00:00:00"/>
        <d v="2023-01-20T00:00:00"/>
        <d v="2024-04-30T00:00:00"/>
        <d v="2023-09-02T00:00:00"/>
        <d v="2024-12-19T00:00:00"/>
        <d v="2023-03-29T00:00:00"/>
        <d v="2024-02-21T00:00:00"/>
        <d v="2023-08-11T00:00:00"/>
        <d v="2024-05-15T00:00:00"/>
        <d v="2023-11-02T00:00:00"/>
        <d v="2024-07-08T00:00:00"/>
        <d v="2023-06-19T00:00:00"/>
        <d v="2024-09-03T00:00:00"/>
        <d v="2023-04-09T00:00:00"/>
        <d v="2024-01-29T00:00:00"/>
        <d v="2023-10-14T00:00:00"/>
        <d v="2024-11-19T00:00:00"/>
        <d v="2023-12-22T00:00:00"/>
        <d v="2024-03-31T00:00:00"/>
        <d v="2023-02-07T00:00:00"/>
        <d v="2024-06-28T00:00:00"/>
        <d v="2023-05-23T00:00:00"/>
        <d v="2024-10-30T00:00:00"/>
        <d v="2023-07-11T00:00:00"/>
        <d v="2024-08-05T00:00:00"/>
        <d v="2023-01-09T00:00:00"/>
        <d v="2024-04-12T00:00:00"/>
        <d v="2023-09-25T00:00:00"/>
        <d v="2024-12-26T00:00:00"/>
        <d v="2023-03-18T00:00:00"/>
        <d v="2024-02-09T00:00:00"/>
        <d v="2023-08-29T00:00:00"/>
        <d v="2024-05-04T00:00:00"/>
        <d v="2023-11-08T00:00:00"/>
        <d v="2024-07-23T00:00:00"/>
        <d v="2023-06-14T00:00:00"/>
        <d v="2024-09-09T00:00:00"/>
        <d v="2023-04-27T00:00:00"/>
        <d v="2024-01-12T00:00:00"/>
        <d v="2023-10-03T00:00:00"/>
        <d v="2024-11-15T00:00:00"/>
        <d v="2023-12-05T00:00:00"/>
        <d v="2024-03-19T00:00:00"/>
        <d v="2023-11-29T00:00:00"/>
        <d v="2024-06-02T00:00:00"/>
        <d v="2023-05-16T00:00:00"/>
        <d v="2024-10-21T00:00:00"/>
        <d v="2023-07-06T00:00:00"/>
        <d v="2024-08-16T00:00:00"/>
        <d v="2023-01-24T00:00:00"/>
        <d v="2024-04-25T00:00:00"/>
        <d v="2023-09-19T00:00:00"/>
        <d v="2024-12-13T00:00:00"/>
        <d v="2023-03-09T00:00:00"/>
        <d v="2024-02-26T00:00:00"/>
        <d v="2023-08-14T00:00:00"/>
        <d v="2024-05-21T00:00:00"/>
        <d v="2023-11-22T00:00:00"/>
        <d v="2024-07-30T00:00:00"/>
        <d v="2023-06-25T00:00:00"/>
        <d v="2024-09-22T00:00:00"/>
        <d v="2023-04-14T00:00:00"/>
        <d v="2024-01-08T00:00:00"/>
        <d v="2023-10-18T00:00:00"/>
        <d v="2024-11-26T00:00:00"/>
        <d v="2023-12-17T00:00:00"/>
        <d v="2024-03-05T00:00:00"/>
        <d v="2023-02-12T00:00:00"/>
        <d v="2024-06-19T00:00:00"/>
        <d v="2023-05-08T00:00:00"/>
        <d v="2024-10-11T00:00:00"/>
        <d v="2023-07-15T00:00:00"/>
        <d v="2024-08-28T00:00:00"/>
        <d v="2023-01-03T00:00:00"/>
        <d v="2024-04-08T00:00:00"/>
        <d v="2023-09-29T00:00:00"/>
        <d v="2024-12-03T00:00:00"/>
        <d v="2023-03-26T00:00:00"/>
        <d v="2024-02-17T00:00:00"/>
        <d v="2023-08-07T00:00:00"/>
        <d v="2024-05-31T00:00:00"/>
        <d v="2024-07-11T00:00:00"/>
        <d v="2023-06-08T00:00:00"/>
        <d v="2024-09-05T00:00:00"/>
        <d v="2023-04-04T00:00:00"/>
        <d v="2024-01-15T00:00:00"/>
        <d v="2023-10-22T00:00:00"/>
        <d v="2024-11-08T00:00:00"/>
        <d v="2023-12-10T00:00:00"/>
        <d v="2024-03-28T00:00:00"/>
        <d v="2023-02-21T00:00:00"/>
        <d v="2024-06-24T00:00:00"/>
        <d v="2023-05-27T00:00:00"/>
        <d v="2024-10-04T00:00:00"/>
        <d v="2023-07-26T00:00:00"/>
        <d v="2024-08-09T00:00:00"/>
        <d v="2023-01-12T00:00:00"/>
        <d v="2024-04-17T00:00:00"/>
        <d v="2023-09-10T00:00:00"/>
        <d v="2024-12-21T00:00:00"/>
        <d v="2023-03-13T00:00:00"/>
        <d v="2024-02-05T00:00:00"/>
        <d v="2023-08-22T00:00:00"/>
        <d v="2024-05-12T00:00:00"/>
        <d v="2023-11-15T00:00:00"/>
        <d v="2024-07-19T00:00:00"/>
        <d v="2023-06-01T00:00:00"/>
        <d v="2024-09-29T00:00:00"/>
        <d v="2023-04-24T00:00:00"/>
        <d v="2024-01-03T00:00:00"/>
        <d v="2023-10-11T00:00:00"/>
        <d v="2024-11-21T00:00:00"/>
        <d v="2023-12-27T00:00:00"/>
        <d v="2024-03-14T00:00:00"/>
        <d v="2023-02-16T00:00:00"/>
        <d v="2024-06-05T00:00:00"/>
        <d v="2023-05-19T00:00:00"/>
        <d v="2024-10-26T00:00:00"/>
        <d v="2023-07-09T00:00:00"/>
        <d v="2024-08-24T00:00:00"/>
        <d v="2023-01-31T00:00:00"/>
        <d v="2024-04-22T00:00:00"/>
        <d v="2023-09-05T00:00:00"/>
        <d v="2024-12-16T00:00:00"/>
        <d v="2023-03-21T00:00:00"/>
        <d v="2024-02-11T00:00:00"/>
        <d v="2023-08-17T00:00:00"/>
        <d v="2024-05-07T00:00:00"/>
        <d v="2023-11-05T00:00:00"/>
        <d v="2024-07-26T00:00:00"/>
        <d v="2023-06-17T00:00:00"/>
        <d v="2024-09-12T00:00:00"/>
        <d v="2023-04-11T00:00:00"/>
        <d v="2024-01-24T00:00:00"/>
        <d v="2023-10-29T00:00:00"/>
        <d v="2024-11-03T00:00:00"/>
        <d v="2023-12-02T00:00:00"/>
        <d v="2024-03-21T00:00:00"/>
        <d v="2023-02-05T00:00:00"/>
        <d v="2024-06-30T00:00:00"/>
        <d v="2023-05-14T00:00:00"/>
        <d v="2024-10-17T00:00:00"/>
        <d v="2023-07-24T00:00:00"/>
        <d v="2024-08-02T00:00:00"/>
        <d v="2023-01-18T00:00:00"/>
        <d v="2024-04-14T00:00:00"/>
        <d v="2023-09-23T00:00:00"/>
        <d v="2024-12-28T00:00:00"/>
        <d v="2023-03-02T00:00:00"/>
        <d v="2024-02-23T00:00:00"/>
        <d v="2023-08-31T00:00:00"/>
        <d v="2024-05-19T00:00:00"/>
        <d v="2023-11-11T00:00:00"/>
        <d v="2024-07-06T00:00:00"/>
        <d v="2023-06-22T00:00:00"/>
        <d v="2024-09-25T00:00:00"/>
        <d v="2023-04-29T00:00:00"/>
        <d v="2024-01-19T00:00:00"/>
        <d v="2023-10-06T00:00:00"/>
        <d v="2024-11-12T00:00:00"/>
        <d v="2023-12-19T00:00:00"/>
        <d v="2024-03-10T00:00:00"/>
        <d v="2023-02-27T00:00:00"/>
        <d v="2024-06-13T00:00:00"/>
        <d v="2023-05-03T00:00:00"/>
        <d v="2024-10-08T00:00:00"/>
        <d v="2023-07-17T00:00:00"/>
        <d v="2024-08-19T00:00:00"/>
        <d v="2023-01-06T00:00:00"/>
        <d v="2024-04-27T00:00:00"/>
        <d v="2023-09-16T00:00:00"/>
        <d v="2024-12-10T00:00:00"/>
        <d v="2023-03-30T00:00:00"/>
        <d v="2024-02-19T00:00:00"/>
        <d v="2023-08-09T00:00:00"/>
        <d v="2024-05-24T00:00:00"/>
        <d v="2023-11-26T00:00:00"/>
        <d v="2024-07-14T00:00:00"/>
        <d v="2023-06-06T00:00:00"/>
        <d v="2024-09-02T00:00:00"/>
        <d v="2023-04-19T00:00:00"/>
        <d v="2024-01-31T00:00:00"/>
        <d v="2023-10-16T00:00:00"/>
        <d v="2024-11-24T00:00:00"/>
        <d v="2023-12-24T00:00:00"/>
        <d v="2024-03-25T00:00:00"/>
        <d v="2023-02-09T00:00:00"/>
        <d v="2024-06-22T00:00:00"/>
        <d v="2023-05-25T00:00:00"/>
        <d v="2024-10-31T00:00:00"/>
        <d v="2023-07-13T00:00:00"/>
        <d v="2024-08-07T00:00:00"/>
        <d v="2023-01-22T00:00:00"/>
        <d v="2024-04-03T00:00:00"/>
        <d v="2023-09-03T00:00:00"/>
        <d v="2024-12-24T00:00:00"/>
        <d v="2023-03-17T00:00:00"/>
        <d v="2024-02-07T00:00:00"/>
        <d v="2023-08-25T00:00:00"/>
        <d v="2024-05-17T00:00:00"/>
        <d v="2023-11-19T00:00:00"/>
        <d v="2024-07-28T00:00:00"/>
        <d v="2023-06-12T00:00:00"/>
        <d v="2024-09-19T00:00:00"/>
        <d v="2023-04-07T00:00:00"/>
        <d v="2024-01-11T00:00:00"/>
        <d v="2023-10-24T00:00:00"/>
        <d v="2024-11-09T00:00:00"/>
        <d v="2023-12-13T00:00:00"/>
        <d v="2024-03-30T00:00:00"/>
        <d v="2023-02-23T00:00:00"/>
        <d v="2024-06-09T00:00:00"/>
        <d v="2023-05-30T00:00:00"/>
        <d v="2024-10-22T00:00:00"/>
        <d v="2023-07-05T00:00:00"/>
        <d v="2024-08-14T00:00:00"/>
        <d v="2023-01-14T00:00:00"/>
        <d v="2024-04-20T00:00:00"/>
        <d v="2023-09-27T00:00:00"/>
        <d v="2024-12-06T00:00:00"/>
        <d v="2023-03-25T00:00:00"/>
        <d v="2024-02-13T00:00:00"/>
        <d v="2023-08-04T00:00:00"/>
        <d v="2024-05-28T00:00:00"/>
        <d v="2023-11-01T00:00:00"/>
        <d v="2024-07-20T00:00:00"/>
        <d v="2023-06-29T00:00:00"/>
        <d v="2024-09-15T00:00:00"/>
        <d v="2023-04-12T00:00:00"/>
        <d v="2024-01-26T00:00:00"/>
        <d v="2023-10-08T00:00:00"/>
        <d v="2024-11-29T00:00:00"/>
        <d v="2023-12-07T00:00:00"/>
        <d v="2024-03-17T00:00:00"/>
        <d v="2023-02-14T00:00:00"/>
        <d v="2024-06-25T00:00:00"/>
        <d v="2023-05-09T00:00:00"/>
        <d v="2024-10-13T00:00:00"/>
        <d v="2023-07-21T00:00:00"/>
        <d v="2024-08-30T00:00:00"/>
        <d v="2023-01-26T00:00:00"/>
        <d v="2024-04-10T00:00:00"/>
        <d v="2023-09-12T00:00:00"/>
        <d v="2024-12-18T00:00:00"/>
        <d v="2023-03-06T00:00:00"/>
        <d v="2024-02-25T00:00:00"/>
        <d v="2023-08-16T00:00:00"/>
        <d v="2024-05-03T00:00:00"/>
        <d v="2023-11-09T00:00:00"/>
        <d v="2024-07-04T00:00:00"/>
        <d v="2023-06-16T00:00:00"/>
        <d v="2024-09-07T00:00:00"/>
        <d v="2023-04-23T00:00:00"/>
        <d v="2024-01-21T00:00:00"/>
        <d v="2023-10-31T00:00:00"/>
        <d v="2024-11-17T00:00:00"/>
        <d v="2023-12-29T00:00:00"/>
        <d v="2024-03-07T00:00:00"/>
        <d v="2023-02-03T00:00:00"/>
        <d v="2024-06-16T00:00:00"/>
        <d v="2023-05-21T00:00:00"/>
        <d v="2024-10-27T00:00:00"/>
        <d v="2023-07-31T00:00:00"/>
        <d v="2024-08-25T00:00:00"/>
        <d v="2023-01-10T00:00:00"/>
        <d v="2024-04-29T00:00:00"/>
        <d v="2023-09-21T00:00:00"/>
        <d v="2024-12-02T00:00:00"/>
        <d v="2024-02-15T00:00:00"/>
        <d v="2023-08-12T00:00:00"/>
        <d v="2024-05-10T00:00:00"/>
        <d v="2023-11-28T00:00:00"/>
        <d v="2024-07-17T00:00:00"/>
        <d v="2023-06-03T00:00:00"/>
        <d v="2024-09-28T00:00:00"/>
        <d v="2023-04-17T00:00:00"/>
        <d v="2024-01-06T00:00:00"/>
        <d v="2023-10-13T00:00:00"/>
        <d v="2024-11-22T00:00:00"/>
        <d v="2023-12-11T00:00:00"/>
        <d v="2024-03-22T00:00:00"/>
        <d v="2023-02-19T00:00:00"/>
        <d v="2024-06-03T00:00:00"/>
        <d v="2023-05-11T00:00:00"/>
        <d v="2024-10-19T00:00:00"/>
        <d v="2023-07-08T00:00:00"/>
        <d v="2024-08-08T00:00:00"/>
        <d v="2023-01-29T00:00:00"/>
        <d v="2024-04-23T00:00:00"/>
        <d v="2023-09-09T00:00:00"/>
        <d v="2024-12-29T00:00:00"/>
        <d v="2023-03-11T00:00:00"/>
        <d v="2024-02-02T00:00:00"/>
        <d v="2023-08-28T00:00:00"/>
        <d v="2024-05-22T00:00:00"/>
        <d v="2023-11-14T00:00:00"/>
        <d v="2024-07-10T00:00:00"/>
        <d v="2023-06-21T00:00:00"/>
        <d v="2024-09-23T00:00:00"/>
        <d v="2023-04-05T00:00:00"/>
        <d v="2024-01-16T00:00:00"/>
        <d v="2023-10-28T00:00:00"/>
        <d v="2024-11-13T00:00:00"/>
        <d v="2023-12-20T00:00:00"/>
        <d v="2024-03-26T00:00:00"/>
        <d v="2023-02-08T00:00:00"/>
        <d v="2024-06-27T00:00:00"/>
        <d v="2023-05-24T00:00:00"/>
        <d v="2024-10-06T00:00:00"/>
        <d v="2023-07-16T00:00:00"/>
        <d v="2024-08-17T00:00:00"/>
        <d v="2023-01-04T00:00:00"/>
        <d v="2024-04-16T00:00:00"/>
        <d v="2023-09-30T00:00:00"/>
        <d v="2024-12-15T00:00:00"/>
        <d v="2023-03-28T00:00:00"/>
        <d v="2024-02-20T00:00:00"/>
        <d v="2023-08-02T00:00:00"/>
        <d v="2024-05-25T00:00:00"/>
        <d v="2023-11-23T00:00:00"/>
        <d v="2024-07-24T00:00:00"/>
        <d v="2023-06-10T00:00:00"/>
        <d v="2024-09-10T00:00:00"/>
        <d v="2023-04-28T00:00:00"/>
        <d v="2024-01-27T00:00:00"/>
        <d v="2023-10-02T00:00:00"/>
        <d v="2024-11-25T00:00:00"/>
        <d v="2023-12-04T00:00:00"/>
        <d v="2024-03-12T00:00:00"/>
        <d v="2023-02-25T00:00:00"/>
        <d v="2024-06-18T00:00:00"/>
        <d v="2023-05-07T00:00:00"/>
        <d v="2024-10-16T00:00:00"/>
        <d v="2023-07-02T00:00:00"/>
        <d v="2024-08-22T00:00:00"/>
        <d v="2023-01-17T00:00:00"/>
        <d v="2024-04-06T00:00:00"/>
        <d v="2023-09-17T00:00:00"/>
        <d v="2024-12-23T00:00:00"/>
        <d v="2023-03-03T00:00:00"/>
        <d v="2024-02-27T00:00:00"/>
        <d v="2023-08-21T00:00:00"/>
        <d v="2024-05-14T00:00:00"/>
        <d v="2023-11-07T00:00:00"/>
        <d v="2024-07-01T00:00:00"/>
        <d v="2023-06-24T00:00:00"/>
        <d v="2024-09-04T00:00:00"/>
        <d v="2023-04-15T00:00:00"/>
        <d v="2024-01-10T00:00:00"/>
        <d v="2023-10-20T00:00:00"/>
        <d v="2024-11-07T00:00:00"/>
        <d v="2023-12-16T00:00:00"/>
        <d v="2024-03-29T00:00:00"/>
        <d v="2023-02-11T00:00:00"/>
        <d v="2024-06-11T00:00:00"/>
        <d v="2023-05-28T00:00:00"/>
        <d v="2024-10-29T00:00:00"/>
        <d v="2023-07-27T00:00:00"/>
        <d v="2024-08-04T00:00:00"/>
        <d v="2023-01-23T00:00:00"/>
        <d v="2024-04-18T00:00:00"/>
        <d v="2023-09-06T00:00:00"/>
        <d v="2024-12-05T00:00:00"/>
        <d v="2023-03-19T00:00:00"/>
        <d v="2024-02-08T00:00:00"/>
        <d v="2023-08-18T00:00:00"/>
        <d v="2024-05-05T00:00:00"/>
        <d v="2023-11-17T00:00:00"/>
        <d v="2024-07-22T00:00:00"/>
        <d v="2023-06-02T00:00:00"/>
        <d v="2024-09-30T00:00:00"/>
        <d v="2023-04-08T00:00:00"/>
        <d v="2024-01-30T00:00:00"/>
        <d v="2023-10-09T00:00:00"/>
        <d v="2024-11-18T00:00:00"/>
        <d v="2023-12-23T00:00:00"/>
        <d v="2024-03-08T00:00:00"/>
        <d v="2023-02-22T00:00:00"/>
        <d v="2024-06-06T00:00:00"/>
        <d v="2023-05-17T00:00:00"/>
        <d v="2024-10-24T00:00:00"/>
        <d v="2023-07-12T00:00:00"/>
        <d v="2024-08-26T00:00:00"/>
        <d v="2023-01-07T00:00:00"/>
        <d v="2024-04-24T00:00:00"/>
        <d v="2023-09-24T00:00:00"/>
        <d v="2024-12-11T00:00:00"/>
        <d v="2023-03-31T00:00:00"/>
        <d v="2024-02-16T00:00:00"/>
        <d v="2023-08-08T00:00:00"/>
        <d v="2024-05-29T00:00:00"/>
        <d v="2023-11-04T00:00:00"/>
        <d v="2024-07-07T00:00:00"/>
        <d v="2023-06-18T00:00:00"/>
        <d v="2024-09-16T00:00:00"/>
        <d v="2023-04-25T00:00:00"/>
        <d v="2024-01-13T00:00:00"/>
        <d v="2023-10-26T00:00:00"/>
        <d v="2024-11-01T00:00:00"/>
        <d v="2023-12-01T00:00:00"/>
        <d v="2024-03-20T00:00:00"/>
        <d v="2023-02-28T00:00:00"/>
        <d v="2024-06-23T00:00:00"/>
        <d v="2023-05-02T00:00:00"/>
        <d v="2024-10-09T00:00:00"/>
        <d v="2023-07-23T00:00:00"/>
        <d v="2024-08-11T00:00:00"/>
        <d v="2023-01-19T00:00:00"/>
        <d v="2024-04-13T00:00:00"/>
        <d v="2023-09-13T00:00:00"/>
        <d v="2024-12-27T00:00:00"/>
        <d v="2023-03-08T00:00:00"/>
        <d v="2024-02-24T00:00:00"/>
        <d v="2023-08-27T00:00:00"/>
        <d v="2024-05-08T00:00:00"/>
        <d v="2023-11-13T00:00:00"/>
        <d v="2024-07-27T00:00:00"/>
        <d v="2023-06-07T00:00:00"/>
        <d v="2024-09-08T00:00:00"/>
        <d v="2023-04-22T00:00:00"/>
        <d v="2024-01-23T00:00:00"/>
        <d v="2023-10-05T00:00:00"/>
        <d v="2024-11-27T00:00:00"/>
        <d v="2023-12-14T00:00:00"/>
        <d v="2024-03-13T00:00:00"/>
        <d v="2023-02-17T00:00:00"/>
        <d v="2024-06-20T00:00:00"/>
        <d v="2023-05-22T00:00:00"/>
        <d v="2023-07-01T00:00:00"/>
        <d v="2024-08-18T00:00:00"/>
        <d v="2023-01-05T00:00:00"/>
        <d v="2024-04-28T00:00:00"/>
        <d v="2023-09-28T00:00:00"/>
        <d v="2024-12-09T00:00:00"/>
        <d v="2023-03-23T00:00:00"/>
        <d v="2024-02-22T00:00:00"/>
        <d v="2023-08-13T00:00:00"/>
        <d v="2024-05-16T00:00:00"/>
        <d v="2023-11-27T00:00:00"/>
        <d v="2024-07-13T00:00:00"/>
        <d v="2023-06-15T00:00:00"/>
        <d v="2024-09-21T00:00:00"/>
        <d v="2023-04-03T00:00:00"/>
        <d v="2024-01-04T00:00:00"/>
        <d v="2023-10-17T00:00:00"/>
        <d v="2024-11-04T00:00:00"/>
        <d v="2023-12-26T00:00:00"/>
        <d v="2024-03-23T00:00:00"/>
        <d v="2023-02-06T00:00:00"/>
        <d v="2024-06-12T00:00:00"/>
        <d v="2023-05-13T00:00:00"/>
        <d v="2024-10-25T00:00:00"/>
        <d v="2023-07-14T00:00:00"/>
        <d v="2024-08-03T00:00:00"/>
        <d v="2023-01-25T00:00:00"/>
        <d v="2024-04-21T00:00:00"/>
        <d v="2023-09-04T00:00:00"/>
        <d v="2024-12-30T00:00:00"/>
        <d v="2023-03-16T00:00:00"/>
        <d v="2024-02-10T00:00:00"/>
        <d v="2023-08-23T00:00:00"/>
        <d v="2024-05-20T00:00:00"/>
        <d v="2023-11-21T00:00:00"/>
        <d v="2024-07-05T00:00:00"/>
        <d v="2023-06-30T00:00:00"/>
        <d v="2024-09-26T00:00:00"/>
        <d v="2023-04-26T00:00:00"/>
        <d v="2024-01-18T00:00:00"/>
        <d v="2023-10-12T00:00:00"/>
        <d v="2024-11-11T00:00:00"/>
        <d v="2023-12-09T00:00:00"/>
        <d v="2024-03-27T00:00:00"/>
        <d v="2023-02-20T00:00:00"/>
        <d v="2024-06-29T00:00:00"/>
        <d v="2023-05-06T00:00:00"/>
        <d v="2024-10-03T00:00:00"/>
        <d v="2023-07-25T00:00:00"/>
        <d v="2024-08-27T00:00:00"/>
        <d v="2023-01-11T00:00:00"/>
        <d v="2024-04-02T00:00:00"/>
        <d v="2023-09-20T00:00:00"/>
        <d v="2024-12-22T00:00:00"/>
        <d v="2023-03-04T00:00:00"/>
        <d v="2024-02-06T00:00:00"/>
        <d v="2023-08-30T00:00:00"/>
        <d v="2024-05-27T00:00:00"/>
        <d v="2023-11-10T00:00:00"/>
        <d v="2024-07-21T00:00:00"/>
        <d v="2023-06-05T00:00:00"/>
        <d v="2024-09-13T00:00:00"/>
        <d v="2023-04-13T00:00:00"/>
        <d v="2024-01-28T00:00:00"/>
        <d v="2023-10-21T00:00:00"/>
        <d v="2024-11-30T00:00:00"/>
        <d v="2023-12-25T00:00:00"/>
        <d v="2024-03-06T00:00:00"/>
        <d v="2023-02-13T00:00:00"/>
        <d v="2024-06-08T00:00:00"/>
        <d v="2023-05-31T00:00:00"/>
        <d v="2024-10-20T00:00:00"/>
        <d v="2023-07-18T00:00:00"/>
        <d v="2024-08-10T00:00:00"/>
        <d v="2023-01-30T00:00:00"/>
        <d v="2024-04-15T00:00:00"/>
        <d v="2023-09-11T00:00:00"/>
        <d v="2024-12-14T00:00:00"/>
        <d v="2023-03-27T00:00:00"/>
        <d v="2024-02-12T00:00:00"/>
        <d v="2023-08-06T00:00:00"/>
        <d v="2024-05-02T00:00:00"/>
        <d v="2023-11-30T00:00:00"/>
        <d v="2024-07-18T00:00:00"/>
        <d v="2023-06-13T00:00:00"/>
        <d v="2024-09-06T00:00:00"/>
        <d v="2023-04-10T00:00:00"/>
        <d v="2024-01-07T00:00:00"/>
        <d v="2023-10-27T00:00:00"/>
        <d v="2024-11-06T00:00:00"/>
        <d v="2023-12-28T00:00:00"/>
        <d v="2024-03-15T00:00:00"/>
        <d v="2023-02-26T00:00:00"/>
        <d v="2024-06-17T00:00:00"/>
        <d v="2023-05-10T00:00:00"/>
        <d v="2024-10-12T00:00:00"/>
        <d v="2023-07-20T00:00:00"/>
        <d v="2024-08-23T00:00:00"/>
        <d v="2023-01-13T00:00:00"/>
        <d v="2024-04-26T00:00:00"/>
        <d v="2023-09-26T00:00:00"/>
        <d v="2024-12-04T00:00:00"/>
        <d v="2023-03-12T00:00:00"/>
        <d v="2024-02-04T00:00:00"/>
        <d v="2023-08-24T00:00:00"/>
        <d v="2024-05-23T00:00:00"/>
        <d v="2023-11-16T00:00:00"/>
        <d v="2024-07-09T00:00:00"/>
        <d v="2023-06-27T00:00:00"/>
        <d v="2024-09-24T00:00:00"/>
        <d v="2023-04-30T00:00:00"/>
        <d v="2024-01-02T00:00:00"/>
        <d v="2023-10-01T00:00:00"/>
        <d v="2024-11-20T00:00:00"/>
        <d v="2023-12-03T00:00:00"/>
        <d v="2024-03-11T00:00:00"/>
        <d v="2023-02-04T00:00:00"/>
        <d v="2024-06-10T00:00:00"/>
        <d v="2023-05-15T00:00:00"/>
        <d v="2024-10-28T00:00:00"/>
        <d v="2023-07-29T00:00:00"/>
        <d v="2024-08-06T00:00:00"/>
        <d v="2023-01-02T00:00:00"/>
        <d v="2024-04-09T00:00:00"/>
        <d v="2023-09-15T00:00:00"/>
        <d v="2024-12-25T00:00:00"/>
        <d v="2023-03-24T00:00:00"/>
        <d v="2024-02-29T00:00:00"/>
        <d v="2023-08-10T00:00:00"/>
        <d v="2024-05-06T00:00:00"/>
        <d v="2023-11-24T00:00:00"/>
        <d v="2024-07-25T00:00:00"/>
        <d v="2023-06-23T00:00:00"/>
        <d v="2024-09-11T00:00:00"/>
        <d v="2023-04-18T00:00:00"/>
        <d v="2024-01-09T00:00:00"/>
        <d v="2023-10-19T00:00:00"/>
        <d v="2024-11-02T00:00:00"/>
        <d v="2023-12-31T00:00:00"/>
        <d v="2024-03-01T00:00:00"/>
        <d v="2023-02-15T00:00:00"/>
        <d v="2024-06-26T00:00:00"/>
        <d v="2023-05-01T00:00:00"/>
        <d v="2024-10-05T00:00:00"/>
        <d v="2023-07-10T00:00:00"/>
        <d v="2024-08-29T00:00:00"/>
        <d v="2023-01-08T00:00:00"/>
        <d v="2024-04-11T00:00:00"/>
        <d v="2023-09-01T00:00:00"/>
        <d v="2024-12-07T00:00:00"/>
        <d v="2023-03-20T00:00:00"/>
        <d v="2024-02-18T00:00:00"/>
        <d v="2023-08-15T00:00:00"/>
        <d v="2024-05-13T00:00:00"/>
        <d v="2023-11-03T00:00:00"/>
        <d v="2024-07-16T00:00:00"/>
        <d v="2023-06-09T00:00:00"/>
        <d v="2024-09-20T00:00:00"/>
        <d v="2023-04-06T00:00:00"/>
        <d v="2024-01-14T00:00:00"/>
        <d v="2023-10-10T00:00:00"/>
        <d v="2024-11-16T00:00:00"/>
        <d v="2023-12-12T00:00:00"/>
        <d v="2024-03-04T00:00:00"/>
        <d v="2023-02-02T00:00:00"/>
        <d v="2024-06-04T00:00:00"/>
        <d v="2023-05-20T00:00:00"/>
        <d v="2024-10-15T00:00:00"/>
        <d v="2023-07-04T00:00:00"/>
        <d v="2024-08-13T00:00:00"/>
        <d v="2023-01-27T00:00:00"/>
        <d v="2024-04-01T00:00:00"/>
        <d v="2023-09-18T00:00:00"/>
        <d v="2024-12-01T00:00:00"/>
        <d v="2023-03-01T00:00:00"/>
        <d v="2024-02-01T00:00:00"/>
        <d v="2023-08-20T00:00:00"/>
        <d v="2024-05-18T00:00:00"/>
        <d v="2023-11-20T00:00:00"/>
        <d v="2024-07-31T00:00:00"/>
        <d v="2023-06-26T00:00:00"/>
        <d v="2024-09-17T00:00:00"/>
        <d v="2023-04-20T00:00:00"/>
        <d v="2024-01-20T00:00:00"/>
        <d v="2023-10-23T00:00:00"/>
        <d v="2024-11-23T00:00:00"/>
        <d v="2023-12-06T00:00:00"/>
        <d v="2024-03-18T00:00:00"/>
        <d v="2024-06-15T00:00:00"/>
        <d v="2023-05-26T00:00:00"/>
        <d v="2024-10-10T00:00:00"/>
        <d v="2023-07-30T00:00:00"/>
        <d v="2024-08-20T00:00:00"/>
        <d v="2023-01-21T00:00:00"/>
        <d v="2024-04-07T00:00:00"/>
        <d v="2023-09-22T00:00:00"/>
        <d v="2024-12-12T00:00:00"/>
        <d v="2023-03-15T00:00:00"/>
        <d v="2023-08-05T00:00:00"/>
        <d v="2024-05-11T00:00:00"/>
        <d v="2023-11-06T00:00:00"/>
        <d v="2024-07-03T00:00:00"/>
        <d v="2023-06-20T00:00:00"/>
        <d v="2024-09-01T00:00:00"/>
        <d v="2023-04-01T00:00:00"/>
        <d v="2024-01-01T00:00:00"/>
        <d v="2023-10-15T00:00:00"/>
        <d v="2024-11-14T00:00:00"/>
        <d v="2023-12-18T00:00:00"/>
        <d v="2024-03-02T00:00:00"/>
        <d v="2024-06-01T00:00:00"/>
        <d v="2023-03-07T00:00:00"/>
        <d v="2024-01-25T00:00:00"/>
        <d v="2024-10-18T00:00:00"/>
        <d v="2023-09-08T00:00:00"/>
        <d v="2024-12-20T00:00:00"/>
        <d v="2023-05-04T00:00:00"/>
        <d v="2024-05-30T00:00:00"/>
        <d v="2024-10-02T00:00:00"/>
      </sharedItems>
      <fieldGroup par="15"/>
    </cacheField>
    <cacheField name="Customer_ID" numFmtId="0">
      <sharedItems/>
    </cacheField>
    <cacheField name="Product_SKU" numFmtId="0">
      <sharedItems/>
    </cacheField>
    <cacheField name="Units_Sold" numFmtId="0">
      <sharedItems containsSemiMixedTypes="0" containsString="0" containsNumber="1" containsInteger="1" minValue="1" maxValue="5"/>
    </cacheField>
    <cacheField name="Customer_Name" numFmtId="0">
      <sharedItems/>
    </cacheField>
    <cacheField name="Customer_Email" numFmtId="0">
      <sharedItems/>
    </cacheField>
    <cacheField name="Ship_Country" numFmtId="0">
      <sharedItems count="52">
        <s v="Norway"/>
        <s v="Sweden"/>
        <s v="USA"/>
        <s v="Pakistan"/>
        <s v="Germany"/>
        <s v="Spain"/>
        <s v="UAE"/>
        <s v="Russia"/>
        <s v="Japan"/>
        <s v="Egypt"/>
        <s v="Kenya"/>
        <s v="China"/>
        <s v="Denmark"/>
        <s v="Portugal"/>
        <s v="Austria"/>
        <s v="South Korea"/>
        <s v="Poland"/>
        <s v="India"/>
        <s v="Singapore"/>
        <s v="Bangladesh"/>
        <s v="Brazil"/>
        <s v="Switzerland"/>
        <s v="Czech Republic"/>
        <s v=""/>
        <s v="Slovenia"/>
        <s v="France"/>
        <s v="Serbia"/>
        <s v="Romania"/>
        <s v="Senegal"/>
        <s v="Taiwan"/>
        <s v="Canada"/>
        <s v="Italy"/>
        <s v="Venezuela"/>
        <s v="Saudi Arabia"/>
        <s v="Croatia"/>
        <s v="Iran"/>
        <s v="Ecuador"/>
        <s v="Colombia"/>
        <s v="Costa Rica"/>
        <s v="Sudan"/>
        <s v="Iraq"/>
        <s v="Finland"/>
        <s v="Peru"/>
        <s v="Panama"/>
        <s v="Greece"/>
        <s v="Slovakia"/>
        <s v="Oman"/>
        <s v="Nigeria"/>
        <s v="Mexico"/>
        <s v="Turkey"/>
        <s v="Morocco"/>
        <s v="Chile"/>
      </sharedItems>
    </cacheField>
    <cacheField name="Book_Genre" numFmtId="0">
      <sharedItems count="5">
        <s v="TECH"/>
        <s v="BUSINESS"/>
        <s v="FICTION"/>
        <s v="HISTORY"/>
        <s v="SCIENCE"/>
      </sharedItems>
    </cacheField>
    <cacheField name="Price_Per_Unit" numFmtId="164">
      <sharedItems containsSemiMixedTypes="0" containsString="0" containsNumber="1" minValue="10.01" maxValue="39.94"/>
    </cacheField>
    <cacheField name="Revenue" numFmtId="164">
      <sharedItems containsSemiMixedTypes="0" containsString="0" containsNumber="1" minValue="10.02" maxValue="159.76"/>
    </cacheField>
    <cacheField name="Loyalty_Card" numFmtId="165">
      <sharedItems count="2">
        <s v="Yes"/>
        <s v="No"/>
      </sharedItems>
    </cacheField>
    <cacheField name="Membership_Type" numFmtId="0">
      <sharedItems count="4">
        <s v="None"/>
        <s v="Gold"/>
        <s v="Silver"/>
        <s v="Platinum"/>
      </sharedItems>
    </cacheField>
    <cacheField name="Book_title" numFmtId="0">
      <sharedItems count="90">
        <s v="Forest Data"/>
        <s v="Quantum Power"/>
        <s v="Mind Journey"/>
        <s v="Journey Forest"/>
        <s v="Secrets Forest"/>
        <s v="Forest Silent"/>
        <s v="Data Mind"/>
        <s v="Secrets Quantum"/>
        <s v="Secrets Data"/>
        <s v="Silent Future"/>
        <s v="Science Future"/>
        <s v="Data Quantum"/>
        <s v="Quantum Secrets"/>
        <s v="Power Data"/>
        <s v="Science Silent"/>
        <s v="Science Quantum"/>
        <s v="Mind Quantum"/>
        <s v="Mind Data"/>
        <s v="Silent Secrets"/>
        <s v="Future Power"/>
        <s v="Secrets Power"/>
        <s v="Data Journey"/>
        <s v="Science Secrets"/>
        <s v="Journey Science"/>
        <s v="Mind Power"/>
        <s v="Science Forest"/>
        <s v="Journey Power"/>
        <s v="Future Quantum"/>
        <s v="Silent Science"/>
        <s v="Data Silent"/>
        <s v="Secrets Mind"/>
        <s v="Future Journey"/>
        <s v="Science Journey"/>
        <s v="Journey Silent"/>
        <s v="Mind Secrets"/>
        <s v="Future Silent"/>
        <s v="Quantum Forest"/>
        <s v="Data Secrets"/>
        <s v="Data Forest"/>
        <s v="Data Science"/>
        <s v="Journey Mind"/>
        <s v="Quantum Silent"/>
        <s v="Secrets Silent"/>
        <s v="Science Mind"/>
        <s v="Power Mind"/>
        <s v="Quantum Mind"/>
        <s v="Forest Science"/>
        <s v="Power Secrets"/>
        <s v="Future Science"/>
        <s v="Science Data"/>
        <s v="Quantum Journey"/>
        <s v="Secrets Journey"/>
        <s v="Secrets Future"/>
        <s v="Power Future"/>
        <s v="Power Silent"/>
        <s v="Silent Mind"/>
        <s v="Power Quantum"/>
        <s v="Journey Data"/>
        <s v="Power Journey"/>
        <s v="Silent Forest"/>
        <s v="Future Mind"/>
        <s v="Forest Power"/>
        <s v="Data Future"/>
        <s v="Future Forest"/>
        <s v="Power Science"/>
        <s v="Forest Journey"/>
        <s v="Silent Quantum"/>
        <s v="Quantum Data"/>
        <s v="Journey Secrets"/>
        <s v="Science Power"/>
        <s v="Silent Journey"/>
        <s v="Mind Future"/>
        <s v="Forest Future"/>
        <s v="Silent Power"/>
        <s v="Quantum Future"/>
        <s v="Mind Forest"/>
        <s v="Quantum Science"/>
        <s v="Power Forest"/>
        <s v="Silent Data"/>
        <s v="Forest Quantum"/>
        <s v="Mind Science"/>
        <s v="Mind Silent"/>
        <s v="Forest Secrets"/>
        <s v="Secrets Science"/>
        <s v="Journey Quantum"/>
        <s v="Future Secrets"/>
        <s v="Journey Future"/>
        <s v="Data Power"/>
        <s v="Forest Mind"/>
        <s v="Future Data"/>
      </sharedItems>
    </cacheField>
    <cacheField name="Months (Sale_Date)" numFmtId="0" databaseField="0">
      <fieldGroup base="1">
        <rangePr groupBy="months" startDate="2023-01-02T00:00:00" endDate="2025-01-01T00:00:00"/>
        <groupItems count="14">
          <s v="&lt;02/01/2023"/>
          <s v="janv"/>
          <s v="févr"/>
          <s v="mars"/>
          <s v="avr"/>
          <s v="mai"/>
          <s v="juin"/>
          <s v="juil"/>
          <s v="août"/>
          <s v="sept"/>
          <s v="oct"/>
          <s v="nov"/>
          <s v="déc"/>
          <s v="&gt;01/01/2025"/>
        </groupItems>
      </fieldGroup>
    </cacheField>
    <cacheField name="Years (Sale_Date)" numFmtId="0" databaseField="0">
      <fieldGroup base="1">
        <rangePr groupBy="years" startDate="2023-01-02T00:00:00" endDate="2025-01-01T00:00:00"/>
        <groupItems count="5">
          <s v="&lt;02/01/2023"/>
          <s v="2023"/>
          <s v="2024"/>
          <s v="2025"/>
          <s v="&gt;01/01/2025"/>
        </groupItems>
      </fieldGroup>
    </cacheField>
  </cacheFields>
  <extLst>
    <ext xmlns:x14="http://schemas.microsoft.com/office/spreadsheetml/2009/9/main" uri="{725AE2AE-9491-48be-B2B4-4EB974FC3084}">
      <x14:pivotCacheDefinition pivotCacheId="3395144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2">
  <r>
    <s v="SALE-004-2023"/>
    <x v="0"/>
    <s v="CUST-1859"/>
    <s v="BK-782355"/>
    <n v="4"/>
    <s v="William Hill"/>
    <s v="william.hill841@outlook.com"/>
    <x v="0"/>
    <x v="0"/>
    <n v="34.35"/>
    <n v="137.4"/>
    <x v="0"/>
    <x v="0"/>
    <x v="0"/>
  </r>
  <r>
    <s v="SALE-026-2023"/>
    <x v="1"/>
    <s v="CUST-1373"/>
    <s v="BK-811569"/>
    <n v="2"/>
    <s v="Laura Martinez"/>
    <s v="laura.martinez355@hotmail.com"/>
    <x v="1"/>
    <x v="1"/>
    <n v="33.630000000000003"/>
    <n v="67.260000000000005"/>
    <x v="1"/>
    <x v="1"/>
    <x v="1"/>
  </r>
  <r>
    <s v="SALE-043-2023"/>
    <x v="2"/>
    <s v="CUST-1559"/>
    <s v="BK-799901"/>
    <n v="2"/>
    <s v="Paul Thomas"/>
    <s v="paul.thomas541@hotmail.com"/>
    <x v="2"/>
    <x v="1"/>
    <n v="31.32"/>
    <n v="62.64"/>
    <x v="1"/>
    <x v="2"/>
    <x v="2"/>
  </r>
  <r>
    <s v="SALE-060-2023"/>
    <x v="3"/>
    <s v="CUST-1245"/>
    <s v="BK-735269"/>
    <n v="2"/>
    <s v="Emma Lopez"/>
    <s v="emma.lopez227@gmail.com"/>
    <x v="3"/>
    <x v="1"/>
    <n v="30.46"/>
    <n v="60.92"/>
    <x v="1"/>
    <x v="0"/>
    <x v="3"/>
  </r>
  <r>
    <s v="SALE-077-2023"/>
    <x v="4"/>
    <s v="CUST-1253"/>
    <s v="BK-582215"/>
    <n v="2"/>
    <s v="Zoe Lee"/>
    <s v="zoe.lee235@outlook.com"/>
    <x v="2"/>
    <x v="1"/>
    <n v="31.45"/>
    <n v="62.9"/>
    <x v="1"/>
    <x v="2"/>
    <x v="4"/>
  </r>
  <r>
    <s v="SALE-094-2023"/>
    <x v="5"/>
    <s v="CUST-1036"/>
    <s v="BK-921200"/>
    <n v="1"/>
    <s v="Emily Anderson"/>
    <s v="emily.anderson18@gmail.com"/>
    <x v="4"/>
    <x v="2"/>
    <n v="17.41"/>
    <n v="17.41"/>
    <x v="1"/>
    <x v="0"/>
    <x v="5"/>
  </r>
  <r>
    <s v="SALE-111-2023"/>
    <x v="6"/>
    <s v="CUST-1458"/>
    <s v="BK-110284"/>
    <n v="1"/>
    <s v="James Allen"/>
    <s v="james.allen440@outlook.com"/>
    <x v="5"/>
    <x v="0"/>
    <n v="11.13"/>
    <n v="11.13"/>
    <x v="0"/>
    <x v="2"/>
    <x v="6"/>
  </r>
  <r>
    <s v="SALE-128-2023"/>
    <x v="7"/>
    <s v="CUST-1418"/>
    <s v="BK-253635"/>
    <n v="1"/>
    <s v="Thomas Hill"/>
    <s v="thomas.hill400@yahoo.com"/>
    <x v="1"/>
    <x v="1"/>
    <n v="31.29"/>
    <n v="31.29"/>
    <x v="0"/>
    <x v="0"/>
    <x v="7"/>
  </r>
  <r>
    <s v="SALE-145-2023"/>
    <x v="8"/>
    <s v="CUST-1398"/>
    <s v="BK-633345"/>
    <n v="1"/>
    <s v="Peter Adams"/>
    <s v="peter.adams380@gmail.com"/>
    <x v="6"/>
    <x v="1"/>
    <n v="10.51"/>
    <n v="10.51"/>
    <x v="0"/>
    <x v="0"/>
    <x v="8"/>
  </r>
  <r>
    <s v="SALE-162-2023"/>
    <x v="9"/>
    <s v="CUST-1733"/>
    <s v="BK-640596"/>
    <n v="1"/>
    <s v="Emily Young"/>
    <s v="emily.young715@hotmail.com"/>
    <x v="1"/>
    <x v="2"/>
    <n v="23.32"/>
    <n v="23.32"/>
    <x v="0"/>
    <x v="2"/>
    <x v="9"/>
  </r>
  <r>
    <s v="SALE-179-2023"/>
    <x v="10"/>
    <s v="CUST-1971"/>
    <s v="BK-746815"/>
    <n v="1"/>
    <s v="George Allen"/>
    <s v="george.allen953@hotmail.com"/>
    <x v="7"/>
    <x v="0"/>
    <n v="39.22"/>
    <n v="39.22"/>
    <x v="0"/>
    <x v="2"/>
    <x v="10"/>
  </r>
  <r>
    <s v="SALE-196-2023"/>
    <x v="11"/>
    <s v="CUST-1252"/>
    <s v="BK-664582"/>
    <n v="1"/>
    <s v="Andrew Jackson"/>
    <s v="andrew.jackson234@gmail.com"/>
    <x v="4"/>
    <x v="2"/>
    <n v="28.12"/>
    <n v="28.12"/>
    <x v="1"/>
    <x v="1"/>
    <x v="8"/>
  </r>
  <r>
    <s v="SALE-213-2023"/>
    <x v="12"/>
    <s v="CUST-1748"/>
    <s v="BK-372999"/>
    <n v="1"/>
    <s v="Emma Walker"/>
    <s v="emma.walker730@yahoo.com"/>
    <x v="2"/>
    <x v="0"/>
    <n v="20.59"/>
    <n v="20.59"/>
    <x v="0"/>
    <x v="2"/>
    <x v="11"/>
  </r>
  <r>
    <s v="SALE-230-2023"/>
    <x v="13"/>
    <s v="CUST-1875"/>
    <s v="BK-357233"/>
    <n v="1"/>
    <s v="Lily Lewis"/>
    <s v="lily.lewis857@outlook.com"/>
    <x v="8"/>
    <x v="3"/>
    <n v="38.630000000000003"/>
    <n v="38.630000000000003"/>
    <x v="1"/>
    <x v="0"/>
    <x v="12"/>
  </r>
  <r>
    <s v="SALE-247-2023"/>
    <x v="14"/>
    <s v="CUST-1516"/>
    <s v="BK-236108"/>
    <n v="1"/>
    <s v="Laura Clark"/>
    <s v="laura.clark498@outlook.com"/>
    <x v="8"/>
    <x v="1"/>
    <n v="33.54"/>
    <n v="33.54"/>
    <x v="0"/>
    <x v="0"/>
    <x v="13"/>
  </r>
  <r>
    <s v="SALE-264-2023"/>
    <x v="15"/>
    <s v="CUST-1218"/>
    <s v="BK-484945"/>
    <n v="1"/>
    <s v="Mia Thomas"/>
    <s v="mia.thomas200@outlook.com"/>
    <x v="3"/>
    <x v="4"/>
    <n v="38.770000000000003"/>
    <n v="38.770000000000003"/>
    <x v="0"/>
    <x v="2"/>
    <x v="14"/>
  </r>
  <r>
    <s v="SALE-281-2023"/>
    <x v="16"/>
    <s v="CUST-1804"/>
    <s v="BK-454669"/>
    <n v="1"/>
    <s v="Olivia Harris"/>
    <s v="olivia.harris786@gmail.com"/>
    <x v="8"/>
    <x v="4"/>
    <n v="31.33"/>
    <n v="31.33"/>
    <x v="0"/>
    <x v="2"/>
    <x v="15"/>
  </r>
  <r>
    <s v="SALE-298-2023"/>
    <x v="17"/>
    <s v="CUST-1768"/>
    <s v="BK-849576"/>
    <n v="1"/>
    <s v="Emma Lopez"/>
    <s v="emma.lopez750@gmail.com"/>
    <x v="8"/>
    <x v="0"/>
    <n v="31.75"/>
    <n v="31.75"/>
    <x v="0"/>
    <x v="1"/>
    <x v="16"/>
  </r>
  <r>
    <s v="SALE-315-2023"/>
    <x v="18"/>
    <s v="CUST-1157"/>
    <s v="BK-396077"/>
    <n v="1"/>
    <s v="Mark Garcia"/>
    <s v="mark.garcia139@yahoo.com"/>
    <x v="1"/>
    <x v="0"/>
    <n v="28.67"/>
    <n v="28.67"/>
    <x v="0"/>
    <x v="0"/>
    <x v="17"/>
  </r>
  <r>
    <s v="SALE-332-2023"/>
    <x v="19"/>
    <s v="CUST-1752"/>
    <s v="BK-258830"/>
    <n v="1"/>
    <s v="William Hill"/>
    <s v="william.hill734@hotmail.com"/>
    <x v="9"/>
    <x v="0"/>
    <n v="12.77"/>
    <n v="12.77"/>
    <x v="0"/>
    <x v="0"/>
    <x v="18"/>
  </r>
  <r>
    <s v="SALE-349-2023"/>
    <x v="20"/>
    <s v="CUST-1973"/>
    <s v="BK-782878"/>
    <n v="1"/>
    <s v="Isabella Thomas"/>
    <s v="isabella.thomas955@yahoo.com"/>
    <x v="10"/>
    <x v="2"/>
    <n v="28.36"/>
    <n v="28.36"/>
    <x v="1"/>
    <x v="0"/>
    <x v="19"/>
  </r>
  <r>
    <s v="SALE-366-2023"/>
    <x v="21"/>
    <s v="CUST-1969"/>
    <s v="BK-645684"/>
    <n v="1"/>
    <s v="Mark Johnson"/>
    <s v="mark.johnson951@hotmail.com"/>
    <x v="8"/>
    <x v="1"/>
    <n v="27.33"/>
    <n v="27.33"/>
    <x v="1"/>
    <x v="2"/>
    <x v="10"/>
  </r>
  <r>
    <s v="SALE-383-2023"/>
    <x v="22"/>
    <s v="CUST-1587"/>
    <s v="BK-993105"/>
    <n v="1"/>
    <s v="Charlotte Brown"/>
    <s v="charlotte.brown569@outlook.com"/>
    <x v="6"/>
    <x v="0"/>
    <n v="18.55"/>
    <n v="18.55"/>
    <x v="0"/>
    <x v="2"/>
    <x v="20"/>
  </r>
  <r>
    <s v="SALE-400-2023"/>
    <x v="23"/>
    <s v="CUST-1275"/>
    <s v="BK-384537"/>
    <n v="1"/>
    <s v="Anthony Lopez"/>
    <s v="anthony.lopez257@yahoo.com"/>
    <x v="9"/>
    <x v="0"/>
    <n v="19.25"/>
    <n v="19.25"/>
    <x v="1"/>
    <x v="0"/>
    <x v="21"/>
  </r>
  <r>
    <s v="SALE-417-2023"/>
    <x v="24"/>
    <s v="CUST-1141"/>
    <s v="BK-950844"/>
    <n v="1"/>
    <s v="Andrew Hall"/>
    <s v="andrew.hall123@yahoo.com"/>
    <x v="5"/>
    <x v="1"/>
    <n v="37.31"/>
    <n v="37.31"/>
    <x v="0"/>
    <x v="2"/>
    <x v="18"/>
  </r>
  <r>
    <s v="SALE-434-2023"/>
    <x v="25"/>
    <s v="CUST-1858"/>
    <s v="BK-456018"/>
    <n v="1"/>
    <s v="Olivia Lee"/>
    <s v="olivia.lee840@hotmail.com"/>
    <x v="11"/>
    <x v="0"/>
    <n v="21.9"/>
    <n v="21.9"/>
    <x v="0"/>
    <x v="3"/>
    <x v="22"/>
  </r>
  <r>
    <s v="SALE-451-2023"/>
    <x v="26"/>
    <s v="CUST-1825"/>
    <s v="BK-361282"/>
    <n v="1"/>
    <s v="James Harris"/>
    <s v="james.harris807@gmail.com"/>
    <x v="5"/>
    <x v="0"/>
    <n v="11.28"/>
    <n v="11.28"/>
    <x v="1"/>
    <x v="0"/>
    <x v="0"/>
  </r>
  <r>
    <s v="SALE-468-2023"/>
    <x v="27"/>
    <s v="CUST-1871"/>
    <s v="BK-934719"/>
    <n v="1"/>
    <s v="Ava Johnson"/>
    <s v="ava.johnson853@yahoo.com"/>
    <x v="12"/>
    <x v="1"/>
    <n v="25.09"/>
    <n v="25.09"/>
    <x v="0"/>
    <x v="2"/>
    <x v="23"/>
  </r>
  <r>
    <s v="SALE-485-2023"/>
    <x v="28"/>
    <s v="CUST-1614"/>
    <s v="BK-984422"/>
    <n v="1"/>
    <s v="Sophia Robinson"/>
    <s v="sophia.robinson596@outlook.com"/>
    <x v="6"/>
    <x v="4"/>
    <n v="34.630000000000003"/>
    <n v="34.630000000000003"/>
    <x v="1"/>
    <x v="2"/>
    <x v="2"/>
  </r>
  <r>
    <s v="SALE-502-2023"/>
    <x v="29"/>
    <s v="CUST-1828"/>
    <s v="BK-621584"/>
    <n v="1"/>
    <s v="David Scott"/>
    <s v="david.scott810@gmail.com"/>
    <x v="4"/>
    <x v="1"/>
    <n v="31.7"/>
    <n v="31.7"/>
    <x v="0"/>
    <x v="2"/>
    <x v="24"/>
  </r>
  <r>
    <s v="SALE-519-2023"/>
    <x v="30"/>
    <s v="CUST-1448"/>
    <s v="BK-152808"/>
    <n v="1"/>
    <s v="Edward Rodriguez"/>
    <s v="edward.rodriguez430@hotmail.com"/>
    <x v="8"/>
    <x v="4"/>
    <n v="30.09"/>
    <n v="30.09"/>
    <x v="0"/>
    <x v="2"/>
    <x v="15"/>
  </r>
  <r>
    <s v="SALE-536-2023"/>
    <x v="31"/>
    <s v="CUST-1526"/>
    <s v="BK-436429"/>
    <n v="1"/>
    <s v="Daniel Martinez"/>
    <s v="daniel.martinez508@outlook.com"/>
    <x v="1"/>
    <x v="3"/>
    <n v="30.4"/>
    <n v="30.4"/>
    <x v="0"/>
    <x v="2"/>
    <x v="25"/>
  </r>
  <r>
    <s v="SALE-553-2023"/>
    <x v="32"/>
    <s v="CUST-1434"/>
    <s v="BK-271189"/>
    <n v="1"/>
    <s v="Paul Jackson"/>
    <s v="paul.jackson416@outlook.com"/>
    <x v="3"/>
    <x v="0"/>
    <n v="24"/>
    <n v="24"/>
    <x v="0"/>
    <x v="2"/>
    <x v="5"/>
  </r>
  <r>
    <s v="SALE-570-2023"/>
    <x v="33"/>
    <s v="CUST-1072"/>
    <s v="BK-727645"/>
    <n v="1"/>
    <s v="Amelia Thomas"/>
    <s v="amelia.thomas54@hotmail.com"/>
    <x v="4"/>
    <x v="2"/>
    <n v="31.61"/>
    <n v="31.61"/>
    <x v="1"/>
    <x v="2"/>
    <x v="16"/>
  </r>
  <r>
    <s v="SALE-587-2023"/>
    <x v="34"/>
    <s v="CUST-1436"/>
    <s v="BK-346362"/>
    <n v="1"/>
    <s v="Ella Thomas"/>
    <s v="ella.thomas418@outlook.com"/>
    <x v="1"/>
    <x v="2"/>
    <n v="10.91"/>
    <n v="10.91"/>
    <x v="1"/>
    <x v="1"/>
    <x v="26"/>
  </r>
  <r>
    <s v="SALE-604-2023"/>
    <x v="35"/>
    <s v="CUST-1101"/>
    <s v="BK-905871"/>
    <n v="1"/>
    <s v="William Anderson"/>
    <s v="william.anderson83@yahoo.com"/>
    <x v="6"/>
    <x v="2"/>
    <n v="15.21"/>
    <n v="15.21"/>
    <x v="1"/>
    <x v="0"/>
    <x v="27"/>
  </r>
  <r>
    <s v="SALE-621-2023"/>
    <x v="36"/>
    <s v="CUST-1509"/>
    <s v="BK-760132"/>
    <n v="1"/>
    <s v="Sophia Brown"/>
    <s v="sophia.brown491@outlook.com"/>
    <x v="9"/>
    <x v="1"/>
    <n v="10.28"/>
    <n v="10.28"/>
    <x v="0"/>
    <x v="2"/>
    <x v="28"/>
  </r>
  <r>
    <s v="SALE-638-2023"/>
    <x v="37"/>
    <s v="CUST-1729"/>
    <s v="BK-158908"/>
    <n v="1"/>
    <s v="Robert Lee"/>
    <s v="robert.lee711@outlook.com"/>
    <x v="4"/>
    <x v="0"/>
    <n v="33.81"/>
    <n v="33.81"/>
    <x v="0"/>
    <x v="0"/>
    <x v="29"/>
  </r>
  <r>
    <s v="SALE-655-2023"/>
    <x v="38"/>
    <s v="CUST-1078"/>
    <s v="BK-636548"/>
    <n v="1"/>
    <s v="Mark Adams"/>
    <s v="mark.adams60@gmail.com"/>
    <x v="5"/>
    <x v="2"/>
    <n v="15.65"/>
    <n v="15.65"/>
    <x v="0"/>
    <x v="2"/>
    <x v="6"/>
  </r>
  <r>
    <s v="SALE-672-2023"/>
    <x v="39"/>
    <s v="CUST-1176"/>
    <s v="BK-824258"/>
    <n v="1"/>
    <s v="Emma Brown"/>
    <s v="emma.brown158@gmail.com"/>
    <x v="9"/>
    <x v="2"/>
    <n v="30.01"/>
    <n v="30.01"/>
    <x v="1"/>
    <x v="2"/>
    <x v="30"/>
  </r>
  <r>
    <s v="SALE-689-2023"/>
    <x v="40"/>
    <s v="CUST-1900"/>
    <s v="BK-752846"/>
    <n v="1"/>
    <s v="Isabella Thomas"/>
    <s v="isabella.thomas882@yahoo.com"/>
    <x v="4"/>
    <x v="1"/>
    <n v="17.059999999999999"/>
    <n v="17.059999999999999"/>
    <x v="1"/>
    <x v="1"/>
    <x v="31"/>
  </r>
  <r>
    <s v="SALE-706-2023"/>
    <x v="41"/>
    <s v="CUST-1311"/>
    <s v="BK-591793"/>
    <n v="1"/>
    <s v="Robert Hill"/>
    <s v="robert.hill293@hotmail.com"/>
    <x v="9"/>
    <x v="3"/>
    <n v="19.899999999999999"/>
    <n v="19.899999999999999"/>
    <x v="1"/>
    <x v="2"/>
    <x v="32"/>
  </r>
  <r>
    <s v="SALE-723-2023"/>
    <x v="42"/>
    <s v="CUST-1781"/>
    <s v="BK-304635"/>
    <n v="1"/>
    <s v="Mia Brown"/>
    <s v="mia.brown763@yahoo.com"/>
    <x v="8"/>
    <x v="3"/>
    <n v="19.149999999999999"/>
    <n v="19.149999999999999"/>
    <x v="0"/>
    <x v="0"/>
    <x v="33"/>
  </r>
  <r>
    <s v="SALE-740-2023"/>
    <x v="43"/>
    <s v="CUST-1297"/>
    <s v="BK-146002"/>
    <n v="1"/>
    <s v="Sarah Clark"/>
    <s v="sarah.clark279@gmail.com"/>
    <x v="4"/>
    <x v="4"/>
    <n v="16.09"/>
    <n v="16.09"/>
    <x v="0"/>
    <x v="0"/>
    <x v="34"/>
  </r>
  <r>
    <s v="SALE-757-2023"/>
    <x v="44"/>
    <s v="CUST-1277"/>
    <s v="BK-863036"/>
    <n v="1"/>
    <s v="Ella Clark"/>
    <s v="ella.clark259@outlook.com"/>
    <x v="8"/>
    <x v="1"/>
    <n v="20.73"/>
    <n v="20.73"/>
    <x v="1"/>
    <x v="2"/>
    <x v="35"/>
  </r>
  <r>
    <s v="SALE-774-2023"/>
    <x v="45"/>
    <s v="CUST-1549"/>
    <s v="BK-107511"/>
    <n v="1"/>
    <s v="Chloe Johnson"/>
    <s v="chloe.johnson531@hotmail.com"/>
    <x v="4"/>
    <x v="4"/>
    <n v="18.78"/>
    <n v="18.78"/>
    <x v="0"/>
    <x v="0"/>
    <x v="36"/>
  </r>
  <r>
    <s v="SALE-791-2023"/>
    <x v="46"/>
    <s v="CUST-1068"/>
    <s v="BK-753920"/>
    <n v="1"/>
    <s v="Paul Brown"/>
    <s v="paul.brown50@hotmail.com"/>
    <x v="9"/>
    <x v="0"/>
    <n v="12"/>
    <n v="12"/>
    <x v="0"/>
    <x v="0"/>
    <x v="37"/>
  </r>
  <r>
    <s v="SALE-808-2023"/>
    <x v="47"/>
    <s v="CUST-1929"/>
    <s v="BK-460029"/>
    <n v="1"/>
    <s v="Mia Green"/>
    <s v="mia.green911@gmail.com"/>
    <x v="13"/>
    <x v="4"/>
    <n v="27.41"/>
    <n v="27.41"/>
    <x v="1"/>
    <x v="1"/>
    <x v="25"/>
  </r>
  <r>
    <s v="SALE-825-2023"/>
    <x v="48"/>
    <s v="CUST-1407"/>
    <s v="BK-543542"/>
    <n v="1"/>
    <s v="David Rodriguez"/>
    <s v="david.rodriguez389@yahoo.com"/>
    <x v="3"/>
    <x v="3"/>
    <n v="24.91"/>
    <n v="24.91"/>
    <x v="1"/>
    <x v="0"/>
    <x v="38"/>
  </r>
  <r>
    <s v="SALE-842-2023"/>
    <x v="49"/>
    <s v="CUST-1325"/>
    <s v="BK-550274"/>
    <n v="1"/>
    <s v="Sophia Thompson"/>
    <s v="sophia.thompson307@gmail.com"/>
    <x v="2"/>
    <x v="3"/>
    <n v="15.13"/>
    <n v="15.13"/>
    <x v="0"/>
    <x v="2"/>
    <x v="23"/>
  </r>
  <r>
    <s v="SALE-859-2023"/>
    <x v="50"/>
    <s v="CUST-1656"/>
    <s v="BK-950234"/>
    <n v="1"/>
    <s v="Ava Anderson"/>
    <s v="ava.anderson638@hotmail.com"/>
    <x v="5"/>
    <x v="2"/>
    <n v="38.03"/>
    <n v="38.03"/>
    <x v="0"/>
    <x v="0"/>
    <x v="39"/>
  </r>
  <r>
    <s v="SALE-876-2023"/>
    <x v="51"/>
    <s v="CUST-1613"/>
    <s v="BK-455278"/>
    <n v="1"/>
    <s v="Paul Brown"/>
    <s v="paul.brown595@hotmail.com"/>
    <x v="2"/>
    <x v="3"/>
    <n v="21.29"/>
    <n v="21.29"/>
    <x v="0"/>
    <x v="2"/>
    <x v="40"/>
  </r>
  <r>
    <s v="SALE-893-2023"/>
    <x v="52"/>
    <s v="CUST-1032"/>
    <s v="BK-991999"/>
    <n v="1"/>
    <s v="Mia Jackson"/>
    <s v="mia.jackson14@yahoo.com"/>
    <x v="9"/>
    <x v="0"/>
    <n v="33.49"/>
    <n v="33.49"/>
    <x v="0"/>
    <x v="2"/>
    <x v="41"/>
  </r>
  <r>
    <s v="SALE-910-2023"/>
    <x v="53"/>
    <s v="CUST-1648"/>
    <s v="BK-514493"/>
    <n v="1"/>
    <s v="Emily White"/>
    <s v="emily.white630@yahoo.com"/>
    <x v="4"/>
    <x v="1"/>
    <n v="29.21"/>
    <n v="29.21"/>
    <x v="1"/>
    <x v="1"/>
    <x v="42"/>
  </r>
  <r>
    <s v="SALE-927-2023"/>
    <x v="54"/>
    <s v="CUST-1578"/>
    <s v="BK-518292"/>
    <n v="1"/>
    <s v="Chloe Robinson"/>
    <s v="chloe.robinson560@gmail.com"/>
    <x v="3"/>
    <x v="3"/>
    <n v="31.76"/>
    <n v="31.76"/>
    <x v="0"/>
    <x v="2"/>
    <x v="43"/>
  </r>
  <r>
    <s v="SALE-944-2023"/>
    <x v="55"/>
    <s v="CUST-1508"/>
    <s v="BK-491311"/>
    <n v="1"/>
    <s v="Lily Lewis"/>
    <s v="lily.lewis490@hotmail.com"/>
    <x v="1"/>
    <x v="2"/>
    <n v="32.29"/>
    <n v="32.29"/>
    <x v="1"/>
    <x v="0"/>
    <x v="44"/>
  </r>
  <r>
    <s v="SALE-961-2023"/>
    <x v="56"/>
    <s v="CUST-1039"/>
    <s v="BK-963325"/>
    <n v="1"/>
    <s v="Grace Johnson"/>
    <s v="grace.johnson21@yahoo.com"/>
    <x v="8"/>
    <x v="2"/>
    <n v="23.85"/>
    <n v="23.85"/>
    <x v="0"/>
    <x v="1"/>
    <x v="3"/>
  </r>
  <r>
    <s v="SALE-978-2023"/>
    <x v="57"/>
    <s v="CUST-1959"/>
    <s v="BK-437214"/>
    <n v="1"/>
    <s v="Sophia Smith"/>
    <s v="sophia.smith941@hotmail.com"/>
    <x v="14"/>
    <x v="0"/>
    <n v="25.21"/>
    <n v="25.21"/>
    <x v="0"/>
    <x v="1"/>
    <x v="17"/>
  </r>
  <r>
    <s v="SALE-014-2023"/>
    <x v="58"/>
    <s v="CUST-1369"/>
    <s v="BK-970444"/>
    <n v="2"/>
    <s v="David Baker"/>
    <s v="david.baker351@yahoo.com"/>
    <x v="4"/>
    <x v="1"/>
    <n v="38.049999999999997"/>
    <n v="76.099999999999994"/>
    <x v="1"/>
    <x v="2"/>
    <x v="45"/>
  </r>
  <r>
    <s v="SALE-031-2023"/>
    <x v="59"/>
    <s v="CUST-1393"/>
    <s v="BK-564065"/>
    <n v="4"/>
    <s v="Mark Lopez"/>
    <s v="mark.lopez375@hotmail.com"/>
    <x v="5"/>
    <x v="3"/>
    <n v="24.06"/>
    <n v="96.24"/>
    <x v="1"/>
    <x v="2"/>
    <x v="46"/>
  </r>
  <r>
    <s v="SALE-048-2023"/>
    <x v="60"/>
    <s v="CUST-1790"/>
    <s v="BK-262890"/>
    <n v="1"/>
    <s v="Emily Robinson"/>
    <s v="emily.robinson772@yahoo.com"/>
    <x v="8"/>
    <x v="3"/>
    <n v="13.84"/>
    <n v="13.84"/>
    <x v="1"/>
    <x v="0"/>
    <x v="47"/>
  </r>
  <r>
    <s v="SALE-065-2023"/>
    <x v="61"/>
    <s v="CUST-1815"/>
    <s v="BK-779699"/>
    <n v="1"/>
    <s v="Kevin Baker"/>
    <s v="kevin.baker797@yahoo.com"/>
    <x v="9"/>
    <x v="4"/>
    <n v="24.72"/>
    <n v="24.72"/>
    <x v="0"/>
    <x v="2"/>
    <x v="44"/>
  </r>
  <r>
    <s v="SALE-082-2023"/>
    <x v="62"/>
    <s v="CUST-1805"/>
    <s v="BK-123417"/>
    <n v="4"/>
    <s v="Anna Thomas"/>
    <s v="anna.thomas787@outlook.com"/>
    <x v="1"/>
    <x v="2"/>
    <n v="29.23"/>
    <n v="116.92"/>
    <x v="0"/>
    <x v="1"/>
    <x v="23"/>
  </r>
  <r>
    <s v="SALE-099-2023"/>
    <x v="63"/>
    <s v="CUST-1417"/>
    <s v="BK-566970"/>
    <n v="4"/>
    <s v="Thomas Garcia"/>
    <s v="thomas.garcia399@gmail.com"/>
    <x v="8"/>
    <x v="2"/>
    <n v="31.71"/>
    <n v="126.84"/>
    <x v="0"/>
    <x v="2"/>
    <x v="24"/>
  </r>
  <r>
    <s v="SALE-116-2023"/>
    <x v="64"/>
    <s v="CUST-1432"/>
    <s v="BK-960662"/>
    <n v="4"/>
    <s v="Robert Baker"/>
    <s v="robert.baker414@yahoo.com"/>
    <x v="4"/>
    <x v="3"/>
    <n v="11.19"/>
    <n v="44.76"/>
    <x v="1"/>
    <x v="0"/>
    <x v="23"/>
  </r>
  <r>
    <s v="SALE-133-2023"/>
    <x v="65"/>
    <s v="CUST-1607"/>
    <s v="BK-566768"/>
    <n v="4"/>
    <s v="Daniel Harris"/>
    <s v="daniel.harris589@yahoo.com"/>
    <x v="1"/>
    <x v="3"/>
    <n v="13.58"/>
    <n v="54.32"/>
    <x v="0"/>
    <x v="2"/>
    <x v="48"/>
  </r>
  <r>
    <s v="SALE-150-2023"/>
    <x v="66"/>
    <s v="CUST-1201"/>
    <s v="BK-234116"/>
    <n v="4"/>
    <s v="Mia Anderson"/>
    <s v="mia.anderson183@gmail.com"/>
    <x v="8"/>
    <x v="4"/>
    <n v="26.45"/>
    <n v="105.8"/>
    <x v="1"/>
    <x v="0"/>
    <x v="49"/>
  </r>
  <r>
    <s v="SALE-167-2023"/>
    <x v="67"/>
    <s v="CUST-1071"/>
    <s v="BK-808613"/>
    <n v="4"/>
    <s v="Amelia Jackson"/>
    <s v="amelia.jackson53@gmail.com"/>
    <x v="5"/>
    <x v="3"/>
    <n v="14.34"/>
    <n v="57.36"/>
    <x v="0"/>
    <x v="2"/>
    <x v="15"/>
  </r>
  <r>
    <s v="SALE-184-2023"/>
    <x v="68"/>
    <s v="CUST-1192"/>
    <s v="BK-154037"/>
    <n v="4"/>
    <s v="Steven Lewis"/>
    <s v="steven.lewis174@yahoo.com"/>
    <x v="8"/>
    <x v="4"/>
    <n v="24.83"/>
    <n v="99.32"/>
    <x v="1"/>
    <x v="0"/>
    <x v="39"/>
  </r>
  <r>
    <s v="SALE-201-2023"/>
    <x v="69"/>
    <s v="CUST-1305"/>
    <s v="BK-881656"/>
    <n v="4"/>
    <s v="Anthony Smith"/>
    <s v="anthony.smith287@gmail.com"/>
    <x v="5"/>
    <x v="4"/>
    <n v="13.23"/>
    <n v="52.92"/>
    <x v="0"/>
    <x v="0"/>
    <x v="41"/>
  </r>
  <r>
    <s v="SALE-218-2023"/>
    <x v="70"/>
    <s v="CUST-1532"/>
    <s v="BK-240203"/>
    <n v="4"/>
    <s v="Zoe Baker"/>
    <s v="zoe.baker514@hotmail.com"/>
    <x v="2"/>
    <x v="3"/>
    <n v="13.58"/>
    <n v="54.32"/>
    <x v="0"/>
    <x v="0"/>
    <x v="46"/>
  </r>
  <r>
    <s v="SALE-235-2023"/>
    <x v="71"/>
    <s v="CUST-1838"/>
    <s v="BK-581564"/>
    <n v="4"/>
    <s v="Lily Lopez"/>
    <s v="lily.lopez820@gmail.com"/>
    <x v="15"/>
    <x v="1"/>
    <n v="13.11"/>
    <n v="52.44"/>
    <x v="1"/>
    <x v="1"/>
    <x v="11"/>
  </r>
  <r>
    <s v="SALE-252-2023"/>
    <x v="72"/>
    <s v="CUST-1106"/>
    <s v="BK-804634"/>
    <n v="4"/>
    <s v="John Rodriguez"/>
    <s v="john.rodriguez88@hotmail.com"/>
    <x v="8"/>
    <x v="2"/>
    <n v="14.67"/>
    <n v="58.68"/>
    <x v="1"/>
    <x v="0"/>
    <x v="5"/>
  </r>
  <r>
    <s v="SALE-269-2023"/>
    <x v="73"/>
    <s v="CUST-1691"/>
    <s v="BK-570957"/>
    <n v="4"/>
    <s v="Laura Thomas"/>
    <s v="laura.thomas673@yahoo.com"/>
    <x v="8"/>
    <x v="2"/>
    <n v="35.17"/>
    <n v="140.68"/>
    <x v="1"/>
    <x v="2"/>
    <x v="32"/>
  </r>
  <r>
    <s v="SALE-286-2023"/>
    <x v="74"/>
    <s v="CUST-1822"/>
    <s v="BK-300863"/>
    <n v="4"/>
    <s v="Daniel Adams"/>
    <s v="daniel.adams804@outlook.com"/>
    <x v="8"/>
    <x v="2"/>
    <n v="21.89"/>
    <n v="87.56"/>
    <x v="1"/>
    <x v="1"/>
    <x v="50"/>
  </r>
  <r>
    <s v="SALE-303-2023"/>
    <x v="75"/>
    <s v="CUST-1161"/>
    <s v="BK-638302"/>
    <n v="4"/>
    <s v="Grace Lopez"/>
    <s v="grace.lopez143@outlook.com"/>
    <x v="5"/>
    <x v="3"/>
    <n v="13.31"/>
    <n v="53.24"/>
    <x v="0"/>
    <x v="2"/>
    <x v="23"/>
  </r>
  <r>
    <s v="SALE-320-2023"/>
    <x v="76"/>
    <s v="CUST-1300"/>
    <s v="BK-216898"/>
    <n v="4"/>
    <s v="Chloe Hall"/>
    <s v="chloe.hall282@yahoo.com"/>
    <x v="8"/>
    <x v="2"/>
    <n v="39.44"/>
    <n v="157.76"/>
    <x v="0"/>
    <x v="0"/>
    <x v="9"/>
  </r>
  <r>
    <s v="SALE-337-2023"/>
    <x v="77"/>
    <s v="CUST-1455"/>
    <s v="BK-655856"/>
    <n v="4"/>
    <s v="James Harris"/>
    <s v="james.harris437@gmail.com"/>
    <x v="9"/>
    <x v="1"/>
    <n v="20.3"/>
    <n v="81.2"/>
    <x v="1"/>
    <x v="0"/>
    <x v="51"/>
  </r>
  <r>
    <s v="SALE-354-2023"/>
    <x v="78"/>
    <s v="CUST-1475"/>
    <s v="BK-248927"/>
    <n v="4"/>
    <s v="Mark Rodriguez"/>
    <s v="mark.rodriguez457@hotmail.com"/>
    <x v="8"/>
    <x v="4"/>
    <n v="38.880000000000003"/>
    <n v="155.52000000000001"/>
    <x v="1"/>
    <x v="1"/>
    <x v="52"/>
  </r>
  <r>
    <s v="SALE-371-2023"/>
    <x v="79"/>
    <s v="CUST-1472"/>
    <s v="BK-807884"/>
    <n v="4"/>
    <s v="Sarah Taylor"/>
    <s v="sarah.taylor454@yahoo.com"/>
    <x v="1"/>
    <x v="1"/>
    <n v="24.56"/>
    <n v="98.24"/>
    <x v="0"/>
    <x v="0"/>
    <x v="36"/>
  </r>
  <r>
    <s v="SALE-388-2023"/>
    <x v="80"/>
    <s v="CUST-1174"/>
    <s v="BK-637230"/>
    <n v="4"/>
    <s v="John Anderson"/>
    <s v="john.anderson156@yahoo.com"/>
    <x v="8"/>
    <x v="1"/>
    <n v="14.98"/>
    <n v="59.92"/>
    <x v="1"/>
    <x v="0"/>
    <x v="27"/>
  </r>
  <r>
    <s v="SALE-405-2023"/>
    <x v="81"/>
    <s v="CUST-1051"/>
    <s v="BK-623148"/>
    <n v="4"/>
    <s v="James Smith"/>
    <s v="james.smith33@outlook.com"/>
    <x v="5"/>
    <x v="4"/>
    <n v="24.36"/>
    <n v="97.44"/>
    <x v="1"/>
    <x v="2"/>
    <x v="52"/>
  </r>
  <r>
    <s v="SALE-422-2023"/>
    <x v="82"/>
    <s v="CUST-1278"/>
    <s v="BK-379953"/>
    <n v="4"/>
    <s v="Hannah King"/>
    <s v="hannah.king260@hotmail.com"/>
    <x v="5"/>
    <x v="0"/>
    <n v="20.68"/>
    <n v="82.72"/>
    <x v="1"/>
    <x v="1"/>
    <x v="22"/>
  </r>
  <r>
    <s v="SALE-439-2023"/>
    <x v="83"/>
    <s v="CUST-1397"/>
    <s v="BK-131284"/>
    <n v="4"/>
    <s v="Thomas Johnson"/>
    <s v="thomas.johnson379@hotmail.com"/>
    <x v="2"/>
    <x v="0"/>
    <n v="37.43"/>
    <n v="149.72"/>
    <x v="1"/>
    <x v="0"/>
    <x v="16"/>
  </r>
  <r>
    <s v="SALE-456-2023"/>
    <x v="84"/>
    <s v="CUST-1701"/>
    <s v="BK-363644"/>
    <n v="4"/>
    <s v="James Johnson"/>
    <s v="james.johnson683@hotmail.com"/>
    <x v="5"/>
    <x v="1"/>
    <n v="33.42"/>
    <n v="133.68"/>
    <x v="0"/>
    <x v="2"/>
    <x v="8"/>
  </r>
  <r>
    <s v="SALE-473-2023"/>
    <x v="85"/>
    <s v="CUST-1050"/>
    <s v="BK-955788"/>
    <n v="4"/>
    <s v="Peter Martin"/>
    <s v="peter.martin32@gmail.com"/>
    <x v="9"/>
    <x v="4"/>
    <n v="16.2"/>
    <n v="64.8"/>
    <x v="1"/>
    <x v="2"/>
    <x v="49"/>
  </r>
  <r>
    <s v="SALE-490-2023"/>
    <x v="86"/>
    <s v="CUST-1423"/>
    <s v="BK-275398"/>
    <n v="4"/>
    <s v="Olivia Wright"/>
    <s v="olivia.wright405@gmail.com"/>
    <x v="4"/>
    <x v="1"/>
    <n v="37.979999999999997"/>
    <n v="151.91999999999999"/>
    <x v="0"/>
    <x v="0"/>
    <x v="26"/>
  </r>
  <r>
    <s v="SALE-507-2023"/>
    <x v="87"/>
    <s v="CUST-1853"/>
    <s v="BK-682749"/>
    <n v="4"/>
    <s v="Robert Jackson"/>
    <s v="robert.jackson835@yahoo.com"/>
    <x v="8"/>
    <x v="0"/>
    <n v="28.52"/>
    <n v="114.08"/>
    <x v="1"/>
    <x v="1"/>
    <x v="30"/>
  </r>
  <r>
    <s v="SALE-524-2023"/>
    <x v="88"/>
    <s v="CUST-1065"/>
    <s v="BK-648232"/>
    <n v="4"/>
    <s v="Lucy Thomas"/>
    <s v="lucy.thomas47@outlook.com"/>
    <x v="3"/>
    <x v="4"/>
    <n v="25.77"/>
    <n v="103.08"/>
    <x v="1"/>
    <x v="2"/>
    <x v="27"/>
  </r>
  <r>
    <s v="SALE-541-2023"/>
    <x v="89"/>
    <s v="CUST-1183"/>
    <s v="BK-543386"/>
    <n v="4"/>
    <s v="Amelia Green"/>
    <s v="amelia.green165@yahoo.com"/>
    <x v="8"/>
    <x v="2"/>
    <n v="13.85"/>
    <n v="55.4"/>
    <x v="0"/>
    <x v="0"/>
    <x v="35"/>
  </r>
  <r>
    <s v="SALE-558-2023"/>
    <x v="90"/>
    <s v="CUST-1088"/>
    <s v="BK-634012"/>
    <n v="4"/>
    <s v="William Thomas"/>
    <s v="william.thomas70@outlook.com"/>
    <x v="8"/>
    <x v="4"/>
    <n v="28.9"/>
    <n v="115.6"/>
    <x v="1"/>
    <x v="0"/>
    <x v="53"/>
  </r>
  <r>
    <s v="SALE-575-2023"/>
    <x v="91"/>
    <s v="CUST-1385"/>
    <s v="BK-374661"/>
    <n v="4"/>
    <s v="Joshua Thompson"/>
    <s v="joshua.thompson367@gmail.com"/>
    <x v="8"/>
    <x v="4"/>
    <n v="33.78"/>
    <n v="135.12"/>
    <x v="1"/>
    <x v="2"/>
    <x v="54"/>
  </r>
  <r>
    <s v="SALE-592-2023"/>
    <x v="92"/>
    <s v="CUST-1527"/>
    <s v="BK-180910"/>
    <n v="4"/>
    <s v="Ella Lewis"/>
    <s v="ella.lewis509@outlook.com"/>
    <x v="9"/>
    <x v="4"/>
    <n v="11.21"/>
    <n v="44.84"/>
    <x v="0"/>
    <x v="0"/>
    <x v="11"/>
  </r>
  <r>
    <s v="SALE-609-2023"/>
    <x v="93"/>
    <s v="CUST-1794"/>
    <s v="BK-909020"/>
    <n v="4"/>
    <s v="James Lewis"/>
    <s v="james.lewis776@gmail.com"/>
    <x v="6"/>
    <x v="2"/>
    <n v="16.45"/>
    <n v="65.8"/>
    <x v="1"/>
    <x v="2"/>
    <x v="30"/>
  </r>
  <r>
    <s v="SALE-626-2023"/>
    <x v="94"/>
    <s v="CUST-1960"/>
    <s v="BK-749964"/>
    <n v="4"/>
    <s v="William Lewis"/>
    <s v="william.lewis942@yahoo.com"/>
    <x v="9"/>
    <x v="1"/>
    <n v="26.06"/>
    <n v="104.24"/>
    <x v="1"/>
    <x v="1"/>
    <x v="55"/>
  </r>
  <r>
    <s v="SALE-643-2023"/>
    <x v="95"/>
    <s v="CUST-1067"/>
    <s v="BK-676939"/>
    <n v="4"/>
    <s v="Ava Adams"/>
    <s v="ava.adams49@outlook.com"/>
    <x v="1"/>
    <x v="3"/>
    <n v="28.45"/>
    <n v="113.8"/>
    <x v="0"/>
    <x v="0"/>
    <x v="54"/>
  </r>
  <r>
    <s v="SALE-660-2023"/>
    <x v="96"/>
    <s v="CUST-1026"/>
    <s v="BK-885546"/>
    <n v="4"/>
    <s v="Chloe Wright"/>
    <s v="chloe.wright8@hotmail.com"/>
    <x v="5"/>
    <x v="3"/>
    <n v="38.369999999999997"/>
    <n v="153.47999999999999"/>
    <x v="0"/>
    <x v="2"/>
    <x v="2"/>
  </r>
  <r>
    <s v="SALE-677-2023"/>
    <x v="97"/>
    <s v="CUST-1293"/>
    <s v="BK-300378"/>
    <n v="4"/>
    <s v="Paul Adams"/>
    <s v="paul.adams275@yahoo.com"/>
    <x v="9"/>
    <x v="3"/>
    <n v="22.93"/>
    <n v="91.72"/>
    <x v="0"/>
    <x v="2"/>
    <x v="37"/>
  </r>
  <r>
    <s v="SALE-694-2023"/>
    <x v="98"/>
    <s v="CUST-1619"/>
    <s v="BK-297602"/>
    <n v="4"/>
    <s v="Robert Scott"/>
    <s v="robert.scott601@outlook.com"/>
    <x v="8"/>
    <x v="4"/>
    <n v="14.12"/>
    <n v="56.48"/>
    <x v="1"/>
    <x v="0"/>
    <x v="29"/>
  </r>
  <r>
    <s v="SALE-711-2023"/>
    <x v="99"/>
    <s v="CUST-1427"/>
    <s v="BK-647757"/>
    <n v="4"/>
    <s v="Peter Lee"/>
    <s v="peter.lee409@hotmail.com"/>
    <x v="1"/>
    <x v="2"/>
    <n v="26.34"/>
    <n v="105.36"/>
    <x v="0"/>
    <x v="1"/>
    <x v="56"/>
  </r>
  <r>
    <s v="SALE-728-2023"/>
    <x v="100"/>
    <s v="CUST-1126"/>
    <s v="BK-904188"/>
    <n v="4"/>
    <s v="James Baker"/>
    <s v="james.baker108@yahoo.com"/>
    <x v="4"/>
    <x v="2"/>
    <n v="33.75"/>
    <n v="135"/>
    <x v="0"/>
    <x v="1"/>
    <x v="57"/>
  </r>
  <r>
    <s v="SALE-745-2023"/>
    <x v="101"/>
    <s v="CUST-1282"/>
    <s v="BK-402091"/>
    <n v="4"/>
    <s v="Michael Jackson"/>
    <s v="michael.jackson264@yahoo.com"/>
    <x v="8"/>
    <x v="4"/>
    <n v="35.659999999999997"/>
    <n v="142.63999999999999"/>
    <x v="1"/>
    <x v="2"/>
    <x v="58"/>
  </r>
  <r>
    <s v="SALE-762-2023"/>
    <x v="102"/>
    <s v="CUST-1881"/>
    <s v="BK-728877"/>
    <n v="4"/>
    <s v="Peter Young"/>
    <s v="peter.young863@gmail.com"/>
    <x v="13"/>
    <x v="1"/>
    <n v="33.119999999999997"/>
    <n v="132.47999999999999"/>
    <x v="0"/>
    <x v="0"/>
    <x v="54"/>
  </r>
  <r>
    <s v="SALE-779-2023"/>
    <x v="103"/>
    <s v="CUST-1200"/>
    <s v="BK-170671"/>
    <n v="4"/>
    <s v="Olivia Lewis"/>
    <s v="olivia.lewis182@gmail.com"/>
    <x v="3"/>
    <x v="0"/>
    <n v="32.93"/>
    <n v="131.72"/>
    <x v="0"/>
    <x v="2"/>
    <x v="16"/>
  </r>
  <r>
    <s v="SALE-796-2023"/>
    <x v="104"/>
    <s v="CUST-1514"/>
    <s v="BK-959860"/>
    <n v="4"/>
    <s v="John White"/>
    <s v="john.white496@hotmail.com"/>
    <x v="2"/>
    <x v="1"/>
    <n v="20.8"/>
    <n v="83.2"/>
    <x v="0"/>
    <x v="0"/>
    <x v="59"/>
  </r>
  <r>
    <s v="SALE-813-2023"/>
    <x v="105"/>
    <s v="CUST-1538"/>
    <s v="BK-384723"/>
    <n v="4"/>
    <s v="George Garcia"/>
    <s v="george.garcia520@gmail.com"/>
    <x v="8"/>
    <x v="4"/>
    <n v="35.42"/>
    <n v="141.68"/>
    <x v="0"/>
    <x v="1"/>
    <x v="1"/>
  </r>
  <r>
    <s v="SALE-830-2023"/>
    <x v="106"/>
    <s v="CUST-1525"/>
    <s v="BK-776308"/>
    <n v="4"/>
    <s v="Laura Martinez"/>
    <s v="laura.martinez507@hotmail.com"/>
    <x v="8"/>
    <x v="0"/>
    <n v="16.649999999999999"/>
    <n v="66.599999999999994"/>
    <x v="0"/>
    <x v="0"/>
    <x v="34"/>
  </r>
  <r>
    <s v="SALE-847-2023"/>
    <x v="107"/>
    <s v="CUST-1650"/>
    <s v="BK-718932"/>
    <n v="4"/>
    <s v="Mark Walker"/>
    <s v="mark.walker632@outlook.com"/>
    <x v="3"/>
    <x v="1"/>
    <n v="21.64"/>
    <n v="86.56"/>
    <x v="1"/>
    <x v="1"/>
    <x v="60"/>
  </r>
  <r>
    <s v="SALE-864-2023"/>
    <x v="108"/>
    <s v="CUST-1167"/>
    <s v="BK-354674"/>
    <n v="4"/>
    <s v="Thomas Anderson"/>
    <s v="thomas.anderson149@hotmail.com"/>
    <x v="9"/>
    <x v="1"/>
    <n v="39.799999999999997"/>
    <n v="159.19999999999999"/>
    <x v="0"/>
    <x v="1"/>
    <x v="61"/>
  </r>
  <r>
    <s v="SALE-881-2023"/>
    <x v="109"/>
    <s v="CUST-1347"/>
    <s v="BK-819585"/>
    <n v="4"/>
    <s v="Isabella Martin"/>
    <s v="isabella.martin329@outlook.com"/>
    <x v="9"/>
    <x v="1"/>
    <n v="17.04"/>
    <n v="68.16"/>
    <x v="1"/>
    <x v="3"/>
    <x v="0"/>
  </r>
  <r>
    <s v="SALE-898-2023"/>
    <x v="110"/>
    <s v="CUST-1628"/>
    <s v="BK-475240"/>
    <n v="4"/>
    <s v="Brian Thompson"/>
    <s v="brian.thompson610@gmail.com"/>
    <x v="8"/>
    <x v="3"/>
    <n v="27.78"/>
    <n v="111.12"/>
    <x v="1"/>
    <x v="0"/>
    <x v="44"/>
  </r>
  <r>
    <s v="SALE-915-2023"/>
    <x v="111"/>
    <s v="CUST-1082"/>
    <s v="BK-696423"/>
    <n v="4"/>
    <s v="Andrew Walker"/>
    <s v="andrew.walker64@yahoo.com"/>
    <x v="2"/>
    <x v="1"/>
    <n v="22.32"/>
    <n v="89.28"/>
    <x v="1"/>
    <x v="1"/>
    <x v="38"/>
  </r>
  <r>
    <s v="SALE-932-2023"/>
    <x v="112"/>
    <s v="CUST-1138"/>
    <s v="BK-697737"/>
    <n v="4"/>
    <s v="Emma Thomas"/>
    <s v="emma.thomas120@outlook.com"/>
    <x v="8"/>
    <x v="0"/>
    <n v="17.91"/>
    <n v="71.64"/>
    <x v="1"/>
    <x v="1"/>
    <x v="56"/>
  </r>
  <r>
    <s v="SALE-949-2023"/>
    <x v="113"/>
    <s v="CUST-1332"/>
    <s v="BK-998982"/>
    <n v="4"/>
    <s v="Jessica King"/>
    <s v="jessica.king314@outlook.com"/>
    <x v="5"/>
    <x v="3"/>
    <n v="13.56"/>
    <n v="54.24"/>
    <x v="1"/>
    <x v="2"/>
    <x v="0"/>
  </r>
  <r>
    <s v="SALE-966-2023"/>
    <x v="114"/>
    <s v="CUST-1604"/>
    <s v="BK-924829"/>
    <n v="4"/>
    <s v="Peter Baker"/>
    <s v="peter.baker586@gmail.com"/>
    <x v="2"/>
    <x v="4"/>
    <n v="15.49"/>
    <n v="61.96"/>
    <x v="1"/>
    <x v="0"/>
    <x v="62"/>
  </r>
  <r>
    <s v="SALE-009-2023"/>
    <x v="115"/>
    <s v="CUST-1880"/>
    <s v="BK-191191"/>
    <n v="4"/>
    <s v="Paul Clark"/>
    <s v="paul.clark862@yahoo.com"/>
    <x v="9"/>
    <x v="0"/>
    <n v="21.91"/>
    <n v="87.64"/>
    <x v="1"/>
    <x v="1"/>
    <x v="12"/>
  </r>
  <r>
    <s v="SALE-020-2023"/>
    <x v="116"/>
    <s v="CUST-1466"/>
    <s v="BK-495936"/>
    <n v="3"/>
    <s v="Charlotte Green"/>
    <s v="charlotte.green448@hotmail.com"/>
    <x v="8"/>
    <x v="3"/>
    <n v="30.27"/>
    <n v="90.81"/>
    <x v="0"/>
    <x v="1"/>
    <x v="61"/>
  </r>
  <r>
    <s v="SALE-037-2023"/>
    <x v="117"/>
    <s v="CUST-1257"/>
    <s v="BK-561046"/>
    <n v="2"/>
    <s v="Brian Clark"/>
    <s v="brian.clark239@gmail.com"/>
    <x v="9"/>
    <x v="1"/>
    <n v="23.46"/>
    <n v="46.92"/>
    <x v="1"/>
    <x v="0"/>
    <x v="63"/>
  </r>
  <r>
    <s v="SALE-054-2023"/>
    <x v="118"/>
    <s v="CUST-1361"/>
    <s v="BK-800984"/>
    <n v="3"/>
    <s v="Mia Lewis"/>
    <s v="mia.lewis343@yahoo.com"/>
    <x v="2"/>
    <x v="3"/>
    <n v="17.190000000000001"/>
    <n v="51.570000000000007"/>
    <x v="1"/>
    <x v="2"/>
    <x v="36"/>
  </r>
  <r>
    <s v="SALE-071-2023"/>
    <x v="119"/>
    <s v="CUST-1718"/>
    <s v="BK-230532"/>
    <n v="3"/>
    <s v="Brian King"/>
    <s v="brian.king700@hotmail.com"/>
    <x v="8"/>
    <x v="2"/>
    <n v="26.8"/>
    <n v="80.400000000000006"/>
    <x v="0"/>
    <x v="0"/>
    <x v="20"/>
  </r>
  <r>
    <s v="SALE-088-2023"/>
    <x v="120"/>
    <s v="CUST-1584"/>
    <s v="BK-118109"/>
    <n v="2"/>
    <s v="Steven Hall"/>
    <s v="steven.hall566@yahoo.com"/>
    <x v="5"/>
    <x v="2"/>
    <n v="33.229999999999997"/>
    <n v="66.459999999999994"/>
    <x v="0"/>
    <x v="0"/>
    <x v="23"/>
  </r>
  <r>
    <s v="SALE-105-2023"/>
    <x v="121"/>
    <s v="CUST-1690"/>
    <s v="BK-615803"/>
    <n v="2"/>
    <s v="George Martinez"/>
    <s v="george.martinez672@gmail.com"/>
    <x v="5"/>
    <x v="2"/>
    <n v="18.82"/>
    <n v="37.64"/>
    <x v="1"/>
    <x v="2"/>
    <x v="3"/>
  </r>
  <r>
    <s v="SALE-122-2023"/>
    <x v="122"/>
    <s v="CUST-1049"/>
    <s v="BK-481781"/>
    <n v="2"/>
    <s v="Isabella Wright"/>
    <s v="isabella.wright31@yahoo.com"/>
    <x v="1"/>
    <x v="3"/>
    <n v="21.05"/>
    <n v="42.1"/>
    <x v="1"/>
    <x v="0"/>
    <x v="13"/>
  </r>
  <r>
    <s v="SALE-139-2023"/>
    <x v="123"/>
    <s v="CUST-1776"/>
    <s v="BK-876946"/>
    <n v="2"/>
    <s v="Amelia Allen"/>
    <s v="amelia.allen758@gmail.com"/>
    <x v="3"/>
    <x v="3"/>
    <n v="32.43"/>
    <n v="64.86"/>
    <x v="1"/>
    <x v="0"/>
    <x v="64"/>
  </r>
  <r>
    <s v="SALE-156-2023"/>
    <x v="124"/>
    <s v="CUST-1716"/>
    <s v="BK-513449"/>
    <n v="2"/>
    <s v="Mark Thomas"/>
    <s v="mark.thomas698@hotmail.com"/>
    <x v="9"/>
    <x v="0"/>
    <n v="39.46"/>
    <n v="78.92"/>
    <x v="0"/>
    <x v="1"/>
    <x v="31"/>
  </r>
  <r>
    <s v="SALE-173-2023"/>
    <x v="125"/>
    <s v="CUST-1020"/>
    <s v="BK-109904"/>
    <n v="2"/>
    <s v="Amelia Martin"/>
    <s v="amelia.martin2@hotmail.com"/>
    <x v="6"/>
    <x v="0"/>
    <n v="13.99"/>
    <n v="27.98"/>
    <x v="0"/>
    <x v="0"/>
    <x v="2"/>
  </r>
  <r>
    <s v="SALE-190-2023"/>
    <x v="126"/>
    <s v="CUST-1287"/>
    <s v="BK-745931"/>
    <n v="2"/>
    <s v="Kevin Hill"/>
    <s v="kevin.hill269@hotmail.com"/>
    <x v="5"/>
    <x v="0"/>
    <n v="13.12"/>
    <n v="26.24"/>
    <x v="0"/>
    <x v="0"/>
    <x v="57"/>
  </r>
  <r>
    <s v="SALE-207-2023"/>
    <x v="127"/>
    <s v="CUST-1938"/>
    <s v="BK-122625"/>
    <n v="2"/>
    <s v="John Thompson"/>
    <s v="john.thompson920@hotmail.com"/>
    <x v="3"/>
    <x v="0"/>
    <n v="18.489999999999998"/>
    <n v="36.979999999999997"/>
    <x v="0"/>
    <x v="3"/>
    <x v="15"/>
  </r>
  <r>
    <s v="SALE-224-2023"/>
    <x v="128"/>
    <s v="CUST-1346"/>
    <s v="BK-897648"/>
    <n v="2"/>
    <s v="Emma Johnson"/>
    <s v="emma.johnson328@yahoo.com"/>
    <x v="1"/>
    <x v="1"/>
    <n v="36.020000000000003"/>
    <n v="72.040000000000006"/>
    <x v="1"/>
    <x v="1"/>
    <x v="65"/>
  </r>
  <r>
    <s v="SALE-241-2023"/>
    <x v="129"/>
    <s v="CUST-1820"/>
    <s v="BK-432569"/>
    <n v="2"/>
    <s v="James Garcia"/>
    <s v="james.garcia802@hotmail.com"/>
    <x v="2"/>
    <x v="4"/>
    <n v="33.9"/>
    <n v="67.8"/>
    <x v="0"/>
    <x v="0"/>
    <x v="37"/>
  </r>
  <r>
    <s v="SALE-258-2023"/>
    <x v="130"/>
    <s v="CUST-1581"/>
    <s v="BK-695210"/>
    <n v="2"/>
    <s v="Isabella Garcia"/>
    <s v="isabella.garcia563@gmail.com"/>
    <x v="9"/>
    <x v="1"/>
    <n v="14"/>
    <n v="28"/>
    <x v="0"/>
    <x v="0"/>
    <x v="20"/>
  </r>
  <r>
    <s v="SALE-275-2023"/>
    <x v="131"/>
    <s v="CUST-1180"/>
    <s v="BK-854870"/>
    <n v="2"/>
    <s v="Brian Lopez"/>
    <s v="brian.lopez162@outlook.com"/>
    <x v="4"/>
    <x v="4"/>
    <n v="34.76"/>
    <n v="69.52"/>
    <x v="0"/>
    <x v="1"/>
    <x v="66"/>
  </r>
  <r>
    <s v="SALE-292-2023"/>
    <x v="132"/>
    <s v="CUST-1125"/>
    <s v="BK-839233"/>
    <n v="2"/>
    <s v="Kevin Lee"/>
    <s v="kevin.lee107@yahoo.com"/>
    <x v="5"/>
    <x v="4"/>
    <n v="12.71"/>
    <n v="25.42"/>
    <x v="1"/>
    <x v="1"/>
    <x v="45"/>
  </r>
  <r>
    <s v="SALE-309-2023"/>
    <x v="133"/>
    <s v="CUST-1583"/>
    <s v="BK-968616"/>
    <n v="2"/>
    <s v="Charlotte Thompson"/>
    <s v="charlotte.thompson565@hotmail.com"/>
    <x v="8"/>
    <x v="0"/>
    <n v="15.88"/>
    <n v="31.76"/>
    <x v="1"/>
    <x v="0"/>
    <x v="17"/>
  </r>
  <r>
    <s v="SALE-326-2023"/>
    <x v="134"/>
    <s v="CUST-1952"/>
    <s v="BK-583477"/>
    <n v="2"/>
    <s v="Steven Hall"/>
    <s v="steven.hall934@yahoo.com"/>
    <x v="16"/>
    <x v="3"/>
    <n v="38.01"/>
    <n v="76.02"/>
    <x v="1"/>
    <x v="1"/>
    <x v="48"/>
  </r>
  <r>
    <s v="SALE-343-2023"/>
    <x v="135"/>
    <s v="CUST-1438"/>
    <s v="BK-710997"/>
    <n v="2"/>
    <s v="Steven Brown"/>
    <s v="steven.brown420@yahoo.com"/>
    <x v="5"/>
    <x v="2"/>
    <n v="37.380000000000003"/>
    <n v="74.760000000000005"/>
    <x v="1"/>
    <x v="1"/>
    <x v="57"/>
  </r>
  <r>
    <s v="SALE-360-2023"/>
    <x v="136"/>
    <s v="CUST-1097"/>
    <s v="BK-863205"/>
    <n v="2"/>
    <s v="Peter Martin"/>
    <s v="peter.martin79@hotmail.com"/>
    <x v="8"/>
    <x v="3"/>
    <n v="20.18"/>
    <n v="40.36"/>
    <x v="0"/>
    <x v="3"/>
    <x v="35"/>
  </r>
  <r>
    <s v="SALE-377-2023"/>
    <x v="137"/>
    <s v="CUST-1181"/>
    <s v="BK-543984"/>
    <n v="2"/>
    <s v="Hannah Adams"/>
    <s v="hannah.adams163@yahoo.com"/>
    <x v="2"/>
    <x v="2"/>
    <n v="20.12"/>
    <n v="40.24"/>
    <x v="1"/>
    <x v="0"/>
    <x v="44"/>
  </r>
  <r>
    <s v="SALE-394-2023"/>
    <x v="138"/>
    <s v="CUST-1481"/>
    <s v="BK-456829"/>
    <n v="2"/>
    <s v="Anthony King"/>
    <s v="anthony.king463@outlook.com"/>
    <x v="1"/>
    <x v="0"/>
    <n v="31.22"/>
    <n v="62.44"/>
    <x v="1"/>
    <x v="0"/>
    <x v="67"/>
  </r>
  <r>
    <s v="SALE-411-2023"/>
    <x v="139"/>
    <s v="CUST-1156"/>
    <s v="BK-866445"/>
    <n v="2"/>
    <s v="Ryan Harris"/>
    <s v="ryan.harris138@yahoo.com"/>
    <x v="8"/>
    <x v="2"/>
    <n v="19.89"/>
    <n v="39.78"/>
    <x v="1"/>
    <x v="1"/>
    <x v="6"/>
  </r>
  <r>
    <s v="SALE-428-2023"/>
    <x v="140"/>
    <s v="CUST-1035"/>
    <s v="BK-990276"/>
    <n v="2"/>
    <s v="Paul Garcia"/>
    <s v="paul.garcia17@hotmail.com"/>
    <x v="5"/>
    <x v="1"/>
    <n v="12.05"/>
    <n v="24.1"/>
    <x v="1"/>
    <x v="3"/>
    <x v="48"/>
  </r>
  <r>
    <s v="SALE-445-2023"/>
    <x v="141"/>
    <s v="CUST-1445"/>
    <s v="BK-913379"/>
    <n v="2"/>
    <s v="Kevin Walker"/>
    <s v="kevin.walker427@outlook.com"/>
    <x v="1"/>
    <x v="1"/>
    <n v="37.83"/>
    <n v="75.66"/>
    <x v="0"/>
    <x v="2"/>
    <x v="68"/>
  </r>
  <r>
    <s v="SALE-462-2023"/>
    <x v="142"/>
    <s v="CUST-1712"/>
    <s v="BK-744081"/>
    <n v="2"/>
    <s v="Lily Young"/>
    <s v="lily.young694@yahoo.com"/>
    <x v="2"/>
    <x v="1"/>
    <n v="20.72"/>
    <n v="41.44"/>
    <x v="0"/>
    <x v="1"/>
    <x v="57"/>
  </r>
  <r>
    <s v="SALE-479-2023"/>
    <x v="143"/>
    <s v="CUST-1019"/>
    <s v="BK-246726"/>
    <n v="2"/>
    <s v="Joshua Green"/>
    <s v="joshua.green1@hotmail.com"/>
    <x v="2"/>
    <x v="2"/>
    <n v="30.97"/>
    <n v="61.94"/>
    <x v="1"/>
    <x v="1"/>
    <x v="58"/>
  </r>
  <r>
    <s v="SALE-496-2023"/>
    <x v="144"/>
    <s v="CUST-1926"/>
    <s v="BK-888427"/>
    <n v="2"/>
    <s v="Isabella Thomas"/>
    <s v="isabella.thomas908@hotmail.com"/>
    <x v="8"/>
    <x v="4"/>
    <n v="38.97"/>
    <n v="77.94"/>
    <x v="1"/>
    <x v="0"/>
    <x v="28"/>
  </r>
  <r>
    <s v="SALE-513-2023"/>
    <x v="145"/>
    <s v="CUST-1892"/>
    <s v="BK-603237"/>
    <n v="2"/>
    <s v="Lucy Young"/>
    <s v="lucy.young874@yahoo.com"/>
    <x v="2"/>
    <x v="4"/>
    <n v="11.4"/>
    <n v="22.8"/>
    <x v="1"/>
    <x v="0"/>
    <x v="33"/>
  </r>
  <r>
    <s v="SALE-530-2023"/>
    <x v="146"/>
    <s v="CUST-1846"/>
    <s v="BK-794360"/>
    <n v="2"/>
    <s v="Steven Martin"/>
    <s v="steven.martin828@hotmail.com"/>
    <x v="16"/>
    <x v="0"/>
    <n v="17.95"/>
    <n v="35.9"/>
    <x v="1"/>
    <x v="2"/>
    <x v="38"/>
  </r>
  <r>
    <s v="SALE-547-2023"/>
    <x v="147"/>
    <s v="CUST-1487"/>
    <s v="BK-445049"/>
    <n v="2"/>
    <s v="Joshua Young"/>
    <s v="joshua.young469@outlook.com"/>
    <x v="2"/>
    <x v="4"/>
    <n v="16.84"/>
    <n v="33.68"/>
    <x v="0"/>
    <x v="0"/>
    <x v="14"/>
  </r>
  <r>
    <s v="SALE-564-2023"/>
    <x v="148"/>
    <s v="CUST-1728"/>
    <s v="BK-800471"/>
    <n v="2"/>
    <s v="Zoe Lewis"/>
    <s v="zoe.lewis710@outlook.com"/>
    <x v="5"/>
    <x v="4"/>
    <n v="16.8"/>
    <n v="33.6"/>
    <x v="0"/>
    <x v="0"/>
    <x v="14"/>
  </r>
  <r>
    <s v="SALE-581-2023"/>
    <x v="149"/>
    <s v="CUST-1169"/>
    <s v="BK-139431"/>
    <n v="2"/>
    <s v="Daniel Thompson"/>
    <s v="daniel.thompson151@gmail.com"/>
    <x v="8"/>
    <x v="1"/>
    <n v="36.07"/>
    <n v="72.14"/>
    <x v="1"/>
    <x v="0"/>
    <x v="9"/>
  </r>
  <r>
    <s v="SALE-598-2023"/>
    <x v="112"/>
    <s v="CUST-1844"/>
    <s v="BK-716476"/>
    <n v="2"/>
    <s v="Mark Thompson"/>
    <s v="mark.thompson826@outlook.com"/>
    <x v="8"/>
    <x v="4"/>
    <n v="15.08"/>
    <n v="30.16"/>
    <x v="1"/>
    <x v="0"/>
    <x v="62"/>
  </r>
  <r>
    <s v="SALE-615-2023"/>
    <x v="150"/>
    <s v="CUST-1723"/>
    <s v="BK-556579"/>
    <n v="2"/>
    <s v="William Jackson"/>
    <s v="william.jackson705@hotmail.com"/>
    <x v="8"/>
    <x v="0"/>
    <n v="39.869999999999997"/>
    <n v="79.739999999999995"/>
    <x v="0"/>
    <x v="2"/>
    <x v="69"/>
  </r>
  <r>
    <s v="SALE-632-2023"/>
    <x v="151"/>
    <s v="CUST-1667"/>
    <s v="BK-864933"/>
    <n v="2"/>
    <s v="Emma Rodriguez"/>
    <s v="emma.rodriguez649@yahoo.com"/>
    <x v="2"/>
    <x v="4"/>
    <n v="19.43"/>
    <n v="38.86"/>
    <x v="1"/>
    <x v="0"/>
    <x v="37"/>
  </r>
  <r>
    <s v="SALE-649-2023"/>
    <x v="152"/>
    <s v="CUST-1060"/>
    <s v="BK-853993"/>
    <n v="2"/>
    <s v="Sophia White"/>
    <s v="sophia.white42@yahoo.com"/>
    <x v="5"/>
    <x v="2"/>
    <n v="18.43"/>
    <n v="36.86"/>
    <x v="0"/>
    <x v="2"/>
    <x v="70"/>
  </r>
  <r>
    <s v="SALE-666-2023"/>
    <x v="153"/>
    <s v="CUST-1797"/>
    <s v="BK-112399"/>
    <n v="2"/>
    <s v="Thomas King"/>
    <s v="thomas.king779@hotmail.com"/>
    <x v="9"/>
    <x v="3"/>
    <n v="24.47"/>
    <n v="48.94"/>
    <x v="0"/>
    <x v="2"/>
    <x v="71"/>
  </r>
  <r>
    <s v="SALE-683-2023"/>
    <x v="154"/>
    <s v="CUST-1689"/>
    <s v="BK-158188"/>
    <n v="2"/>
    <s v="Sarah Hall"/>
    <s v="sarah.hall671@hotmail.com"/>
    <x v="9"/>
    <x v="1"/>
    <n v="25.8"/>
    <n v="51.6"/>
    <x v="1"/>
    <x v="0"/>
    <x v="61"/>
  </r>
  <r>
    <s v="SALE-700-2023"/>
    <x v="155"/>
    <s v="CUST-1695"/>
    <s v="BK-316637"/>
    <n v="2"/>
    <s v="Steven Garcia"/>
    <s v="steven.garcia677@hotmail.com"/>
    <x v="6"/>
    <x v="3"/>
    <n v="33.049999999999997"/>
    <n v="66.099999999999994"/>
    <x v="0"/>
    <x v="0"/>
    <x v="72"/>
  </r>
  <r>
    <s v="SALE-717-2023"/>
    <x v="156"/>
    <s v="CUST-1422"/>
    <s v="BK-372275"/>
    <n v="2"/>
    <s v="Sarah Baker"/>
    <s v="sarah.baker404@gmail.com"/>
    <x v="5"/>
    <x v="3"/>
    <n v="12.03"/>
    <n v="24.06"/>
    <x v="0"/>
    <x v="2"/>
    <x v="9"/>
  </r>
  <r>
    <s v="SALE-734-2023"/>
    <x v="157"/>
    <s v="CUST-1034"/>
    <s v="BK-510425"/>
    <n v="2"/>
    <s v="Ryan White"/>
    <s v="ryan.white16@hotmail.com"/>
    <x v="8"/>
    <x v="3"/>
    <n v="32.97"/>
    <n v="65.94"/>
    <x v="0"/>
    <x v="2"/>
    <x v="36"/>
  </r>
  <r>
    <s v="SALE-751-2023"/>
    <x v="158"/>
    <s v="CUST-1936"/>
    <s v="BK-883732"/>
    <n v="2"/>
    <s v="Michael Lopez"/>
    <s v="michael.lopez918@yahoo.com"/>
    <x v="17"/>
    <x v="3"/>
    <n v="16.170000000000002"/>
    <n v="32.340000000000003"/>
    <x v="0"/>
    <x v="2"/>
    <x v="66"/>
  </r>
  <r>
    <s v="SALE-768-2023"/>
    <x v="159"/>
    <s v="CUST-1849"/>
    <s v="BK-257978"/>
    <n v="2"/>
    <s v="Paul Martinez"/>
    <s v="paul.martinez831@outlook.com"/>
    <x v="8"/>
    <x v="1"/>
    <n v="31.72"/>
    <n v="63.44"/>
    <x v="0"/>
    <x v="0"/>
    <x v="73"/>
  </r>
  <r>
    <s v="SALE-785-2023"/>
    <x v="160"/>
    <s v="CUST-1950"/>
    <s v="BK-506999"/>
    <n v="2"/>
    <s v="Sarah Anderson"/>
    <s v="sarah.anderson932@yahoo.com"/>
    <x v="5"/>
    <x v="4"/>
    <n v="28.7"/>
    <n v="57.4"/>
    <x v="0"/>
    <x v="2"/>
    <x v="43"/>
  </r>
  <r>
    <s v="SALE-802-2023"/>
    <x v="161"/>
    <s v="CUST-1598"/>
    <s v="BK-552625"/>
    <n v="2"/>
    <s v="William King"/>
    <s v="william.king580@yahoo.com"/>
    <x v="1"/>
    <x v="4"/>
    <n v="35.270000000000003"/>
    <n v="70.540000000000006"/>
    <x v="0"/>
    <x v="0"/>
    <x v="1"/>
  </r>
  <r>
    <s v="SALE-819-2023"/>
    <x v="162"/>
    <s v="CUST-1894"/>
    <s v="BK-858664"/>
    <n v="2"/>
    <s v="Mia Garcia"/>
    <s v="mia.garcia876@hotmail.com"/>
    <x v="8"/>
    <x v="2"/>
    <n v="22.4"/>
    <n v="44.8"/>
    <x v="1"/>
    <x v="0"/>
    <x v="26"/>
  </r>
  <r>
    <s v="SALE-836-2023"/>
    <x v="163"/>
    <s v="CUST-1615"/>
    <s v="BK-836562"/>
    <n v="2"/>
    <s v="Anna Lopez"/>
    <s v="anna.lopez597@outlook.com"/>
    <x v="8"/>
    <x v="1"/>
    <n v="14.38"/>
    <n v="28.76"/>
    <x v="1"/>
    <x v="0"/>
    <x v="32"/>
  </r>
  <r>
    <s v="SALE-853-2023"/>
    <x v="164"/>
    <s v="CUST-1571"/>
    <s v="BK-631752"/>
    <n v="2"/>
    <s v="Anna Lee"/>
    <s v="anna.lee553@hotmail.com"/>
    <x v="1"/>
    <x v="3"/>
    <n v="38.299999999999997"/>
    <n v="76.599999999999994"/>
    <x v="1"/>
    <x v="0"/>
    <x v="74"/>
  </r>
  <r>
    <s v="SALE-870-2023"/>
    <x v="165"/>
    <s v="CUST-1401"/>
    <s v="BK-534389"/>
    <n v="2"/>
    <s v="Robert Smith"/>
    <s v="robert.smith383@outlook.com"/>
    <x v="9"/>
    <x v="4"/>
    <n v="35.75"/>
    <n v="71.5"/>
    <x v="1"/>
    <x v="0"/>
    <x v="34"/>
  </r>
  <r>
    <s v="SALE-887-2023"/>
    <x v="166"/>
    <s v="CUST-1299"/>
    <s v="BK-535907"/>
    <n v="2"/>
    <s v="Emily Baker"/>
    <s v="emily.baker281@yahoo.com"/>
    <x v="3"/>
    <x v="3"/>
    <n v="23.82"/>
    <n v="47.64"/>
    <x v="1"/>
    <x v="1"/>
    <x v="10"/>
  </r>
  <r>
    <s v="SALE-904-2023"/>
    <x v="167"/>
    <s v="CUST-1515"/>
    <s v="BK-561909"/>
    <n v="2"/>
    <s v="Olivia Thompson"/>
    <s v="olivia.thompson497@hotmail.com"/>
    <x v="3"/>
    <x v="2"/>
    <n v="33.82"/>
    <n v="67.64"/>
    <x v="1"/>
    <x v="1"/>
    <x v="65"/>
  </r>
  <r>
    <s v="SALE-921-2023"/>
    <x v="168"/>
    <s v="CUST-1762"/>
    <s v="BK-820142"/>
    <n v="2"/>
    <s v="Amelia Martin"/>
    <s v="amelia.martin744@gmail.com"/>
    <x v="5"/>
    <x v="4"/>
    <n v="10.87"/>
    <n v="21.74"/>
    <x v="0"/>
    <x v="1"/>
    <x v="1"/>
  </r>
  <r>
    <s v="SALE-938-2023"/>
    <x v="169"/>
    <s v="CUST-1112"/>
    <s v="BK-121212"/>
    <n v="2"/>
    <s v="Olivia Johnson"/>
    <s v="olivia.johnson94@hotmail.com"/>
    <x v="1"/>
    <x v="0"/>
    <n v="15.84"/>
    <n v="31.68"/>
    <x v="0"/>
    <x v="0"/>
    <x v="68"/>
  </r>
  <r>
    <s v="SALE-955-2023"/>
    <x v="170"/>
    <s v="CUST-1495"/>
    <s v="BK-932094"/>
    <n v="2"/>
    <s v="Anna Young"/>
    <s v="anna.young477@gmail.com"/>
    <x v="4"/>
    <x v="2"/>
    <n v="30.18"/>
    <n v="60.36"/>
    <x v="1"/>
    <x v="1"/>
    <x v="75"/>
  </r>
  <r>
    <s v="SALE-972-2023"/>
    <x v="171"/>
    <s v="CUST-1522"/>
    <s v="BK-333567"/>
    <n v="2"/>
    <s v="Lucy Lopez"/>
    <s v="lucy.lopez504@outlook.com"/>
    <x v="4"/>
    <x v="3"/>
    <n v="21.41"/>
    <n v="42.82"/>
    <x v="1"/>
    <x v="0"/>
    <x v="9"/>
  </r>
  <r>
    <s v="SALE-008-2023"/>
    <x v="172"/>
    <s v="CUST-1917"/>
    <s v="BK-380830"/>
    <n v="3"/>
    <s v="Steven Rodriguez"/>
    <s v="steven.rodriguez899@hotmail.com"/>
    <x v="18"/>
    <x v="4"/>
    <n v="32.11"/>
    <n v="96.33"/>
    <x v="1"/>
    <x v="1"/>
    <x v="25"/>
  </r>
  <r>
    <s v="SALE-019-2023"/>
    <x v="173"/>
    <s v="CUST-1202"/>
    <s v="BK-181686"/>
    <n v="1"/>
    <s v="Edward Scott"/>
    <s v="edward.scott184@gmail.com"/>
    <x v="1"/>
    <x v="1"/>
    <n v="20.73"/>
    <n v="20.73"/>
    <x v="1"/>
    <x v="2"/>
    <x v="47"/>
  </r>
  <r>
    <s v="SALE-036-2023"/>
    <x v="174"/>
    <s v="CUST-1102"/>
    <s v="BK-853053"/>
    <n v="3"/>
    <s v="Brian Robinson"/>
    <s v="brian.robinson84@gmail.com"/>
    <x v="8"/>
    <x v="4"/>
    <n v="30.52"/>
    <n v="91.56"/>
    <x v="1"/>
    <x v="0"/>
    <x v="65"/>
  </r>
  <r>
    <s v="SALE-053-2023"/>
    <x v="175"/>
    <s v="CUST-1195"/>
    <s v="BK-356661"/>
    <n v="1"/>
    <s v="Anthony Martinez"/>
    <s v="anthony.martinez177@gmail.com"/>
    <x v="5"/>
    <x v="4"/>
    <n v="12.67"/>
    <n v="12.67"/>
    <x v="1"/>
    <x v="0"/>
    <x v="70"/>
  </r>
  <r>
    <s v="SALE-070-2023"/>
    <x v="176"/>
    <s v="CUST-1477"/>
    <s v="BK-225030"/>
    <n v="2"/>
    <s v="Emma Walker"/>
    <s v="emma.walker459@hotmail.com"/>
    <x v="4"/>
    <x v="3"/>
    <n v="19.309999999999999"/>
    <n v="38.619999999999997"/>
    <x v="1"/>
    <x v="1"/>
    <x v="11"/>
  </r>
  <r>
    <s v="SALE-087-2023"/>
    <x v="177"/>
    <s v="CUST-1603"/>
    <s v="BK-379622"/>
    <n v="3"/>
    <s v="Mark Green"/>
    <s v="mark.green585@gmail.com"/>
    <x v="4"/>
    <x v="4"/>
    <n v="32.78"/>
    <n v="98.34"/>
    <x v="0"/>
    <x v="2"/>
    <x v="37"/>
  </r>
  <r>
    <s v="SALE-104-2023"/>
    <x v="178"/>
    <s v="CUST-1497"/>
    <s v="BK-464186"/>
    <n v="3"/>
    <s v="Brian Robinson"/>
    <s v="brian.robinson479@hotmail.com"/>
    <x v="3"/>
    <x v="4"/>
    <n v="26.02"/>
    <n v="78.06"/>
    <x v="1"/>
    <x v="1"/>
    <x v="76"/>
  </r>
  <r>
    <s v="SALE-121-2023"/>
    <x v="179"/>
    <s v="CUST-1484"/>
    <s v="BK-466154"/>
    <n v="3"/>
    <s v="Emma Scott"/>
    <s v="emma.scott466@hotmail.com"/>
    <x v="8"/>
    <x v="2"/>
    <n v="26.95"/>
    <n v="80.849999999999994"/>
    <x v="0"/>
    <x v="2"/>
    <x v="33"/>
  </r>
  <r>
    <s v="SALE-138-2023"/>
    <x v="180"/>
    <s v="CUST-1459"/>
    <s v="BK-319787"/>
    <n v="3"/>
    <s v="Steven Wright"/>
    <s v="steven.wright441@hotmail.com"/>
    <x v="4"/>
    <x v="4"/>
    <n v="35.6"/>
    <n v="106.80000000000001"/>
    <x v="1"/>
    <x v="0"/>
    <x v="77"/>
  </r>
  <r>
    <s v="SALE-155-2023"/>
    <x v="181"/>
    <s v="CUST-1248"/>
    <s v="BK-160174"/>
    <n v="3"/>
    <s v="Ava Lewis"/>
    <s v="ava.lewis230@hotmail.com"/>
    <x v="9"/>
    <x v="3"/>
    <n v="21.51"/>
    <n v="64.53"/>
    <x v="1"/>
    <x v="0"/>
    <x v="42"/>
  </r>
  <r>
    <s v="SALE-172-2023"/>
    <x v="182"/>
    <s v="CUST-1908"/>
    <s v="BK-799444"/>
    <n v="3"/>
    <s v="Edward Robinson"/>
    <s v="edward.robinson890@gmail.com"/>
    <x v="2"/>
    <x v="1"/>
    <n v="25.95"/>
    <n v="77.849999999999994"/>
    <x v="0"/>
    <x v="0"/>
    <x v="59"/>
  </r>
  <r>
    <s v="SALE-189-2023"/>
    <x v="183"/>
    <s v="CUST-1856"/>
    <s v="BK-241542"/>
    <n v="3"/>
    <s v="George Green"/>
    <s v="george.green838@yahoo.com"/>
    <x v="4"/>
    <x v="2"/>
    <n v="25.65"/>
    <n v="76.949999999999989"/>
    <x v="0"/>
    <x v="1"/>
    <x v="78"/>
  </r>
  <r>
    <s v="SALE-206-2023"/>
    <x v="184"/>
    <s v="CUST-1808"/>
    <s v="BK-469995"/>
    <n v="3"/>
    <s v="Laura Thompson"/>
    <s v="laura.thompson790@outlook.com"/>
    <x v="8"/>
    <x v="0"/>
    <n v="10.74"/>
    <n v="32.22"/>
    <x v="0"/>
    <x v="1"/>
    <x v="42"/>
  </r>
  <r>
    <s v="SALE-223-2023"/>
    <x v="185"/>
    <s v="CUST-1131"/>
    <s v="BK-595382"/>
    <n v="3"/>
    <s v="James Adams"/>
    <s v="james.adams113@gmail.com"/>
    <x v="9"/>
    <x v="1"/>
    <n v="24"/>
    <n v="72"/>
    <x v="1"/>
    <x v="2"/>
    <x v="28"/>
  </r>
  <r>
    <s v="SALE-240-2023"/>
    <x v="186"/>
    <s v="CUST-1567"/>
    <s v="BK-382770"/>
    <n v="3"/>
    <s v="Robert Jackson"/>
    <s v="robert.jackson549@gmail.com"/>
    <x v="4"/>
    <x v="2"/>
    <n v="36.42"/>
    <n v="109.26"/>
    <x v="1"/>
    <x v="0"/>
    <x v="22"/>
  </r>
  <r>
    <s v="SALE-257-2023"/>
    <x v="187"/>
    <s v="CUST-1812"/>
    <s v="BK-667877"/>
    <n v="3"/>
    <s v="Thomas Lewis"/>
    <s v="thomas.lewis794@outlook.com"/>
    <x v="2"/>
    <x v="3"/>
    <n v="12.98"/>
    <n v="38.94"/>
    <x v="0"/>
    <x v="1"/>
    <x v="48"/>
  </r>
  <r>
    <s v="SALE-274-2023"/>
    <x v="188"/>
    <s v="CUST-1336"/>
    <s v="BK-938222"/>
    <n v="3"/>
    <s v="Paul Anderson"/>
    <s v="paul.anderson318@gmail.com"/>
    <x v="8"/>
    <x v="0"/>
    <n v="12.49"/>
    <n v="37.47"/>
    <x v="1"/>
    <x v="2"/>
    <x v="68"/>
  </r>
  <r>
    <s v="SALE-291-2023"/>
    <x v="189"/>
    <s v="CUST-1839"/>
    <s v="BK-292076"/>
    <n v="3"/>
    <s v="Daniel Jackson"/>
    <s v="daniel.jackson821@gmail.com"/>
    <x v="19"/>
    <x v="4"/>
    <n v="20.63"/>
    <n v="61.89"/>
    <x v="1"/>
    <x v="2"/>
    <x v="59"/>
  </r>
  <r>
    <s v="SALE-308-2023"/>
    <x v="190"/>
    <s v="CUST-1476"/>
    <s v="BK-679684"/>
    <n v="3"/>
    <s v="Michael Harris"/>
    <s v="michael.harris458@outlook.com"/>
    <x v="5"/>
    <x v="1"/>
    <n v="28.25"/>
    <n v="84.75"/>
    <x v="1"/>
    <x v="0"/>
    <x v="40"/>
  </r>
  <r>
    <s v="SALE-325-2023"/>
    <x v="191"/>
    <s v="CUST-1543"/>
    <s v="BK-446478"/>
    <n v="3"/>
    <s v="Ryan Allen"/>
    <s v="ryan.allen525@yahoo.com"/>
    <x v="8"/>
    <x v="0"/>
    <n v="32.229999999999997"/>
    <n v="96.69"/>
    <x v="0"/>
    <x v="2"/>
    <x v="37"/>
  </r>
  <r>
    <s v="SALE-342-2023"/>
    <x v="192"/>
    <s v="CUST-1430"/>
    <s v="BK-441842"/>
    <n v="3"/>
    <s v="Lily Walker"/>
    <s v="lily.walker412@outlook.com"/>
    <x v="8"/>
    <x v="1"/>
    <n v="24.75"/>
    <n v="74.25"/>
    <x v="0"/>
    <x v="0"/>
    <x v="77"/>
  </r>
  <r>
    <s v="SALE-359-2023"/>
    <x v="193"/>
    <s v="CUST-1038"/>
    <s v="BK-603396"/>
    <n v="3"/>
    <s v="Mark Garcia"/>
    <s v="mark.garcia20@outlook.com"/>
    <x v="3"/>
    <x v="1"/>
    <n v="11.16"/>
    <n v="33.480000000000004"/>
    <x v="0"/>
    <x v="2"/>
    <x v="63"/>
  </r>
  <r>
    <s v="SALE-376-2023"/>
    <x v="194"/>
    <s v="CUST-1506"/>
    <s v="BK-269645"/>
    <n v="3"/>
    <s v="Ava Taylor"/>
    <s v="ava.taylor488@yahoo.com"/>
    <x v="6"/>
    <x v="1"/>
    <n v="31.91"/>
    <n v="95.73"/>
    <x v="1"/>
    <x v="1"/>
    <x v="45"/>
  </r>
  <r>
    <s v="SALE-393-2023"/>
    <x v="195"/>
    <s v="CUST-1149"/>
    <s v="BK-256740"/>
    <n v="3"/>
    <s v="Steven Hill"/>
    <s v="steven.hill131@yahoo.com"/>
    <x v="9"/>
    <x v="1"/>
    <n v="10.9"/>
    <n v="32.700000000000003"/>
    <x v="0"/>
    <x v="2"/>
    <x v="79"/>
  </r>
  <r>
    <s v="SALE-410-2023"/>
    <x v="196"/>
    <s v="CUST-1834"/>
    <s v="BK-546565"/>
    <n v="3"/>
    <s v="Emma Lewis"/>
    <s v="emma.lewis816@yahoo.com"/>
    <x v="20"/>
    <x v="4"/>
    <n v="18.18"/>
    <n v="54.54"/>
    <x v="0"/>
    <x v="0"/>
    <x v="10"/>
  </r>
  <r>
    <s v="SALE-427-2023"/>
    <x v="197"/>
    <s v="CUST-1350"/>
    <s v="BK-187218"/>
    <n v="3"/>
    <s v="Zoe Lewis"/>
    <s v="zoe.lewis332@gmail.com"/>
    <x v="5"/>
    <x v="3"/>
    <n v="26.14"/>
    <n v="78.42"/>
    <x v="1"/>
    <x v="2"/>
    <x v="57"/>
  </r>
  <r>
    <s v="SALE-444-2023"/>
    <x v="198"/>
    <s v="CUST-1821"/>
    <s v="BK-259896"/>
    <n v="3"/>
    <s v="Peter Thomas"/>
    <s v="peter.thomas803@hotmail.com"/>
    <x v="2"/>
    <x v="1"/>
    <n v="16.89"/>
    <n v="50.67"/>
    <x v="1"/>
    <x v="0"/>
    <x v="13"/>
  </r>
  <r>
    <s v="SALE-461-2023"/>
    <x v="199"/>
    <s v="CUST-1994"/>
    <s v="BK-791429"/>
    <n v="3"/>
    <s v="Sophia Thomas"/>
    <s v="sophia.thomas976@outlook.com"/>
    <x v="21"/>
    <x v="4"/>
    <n v="19.36"/>
    <n v="58.08"/>
    <x v="1"/>
    <x v="1"/>
    <x v="79"/>
  </r>
  <r>
    <s v="SALE-478-2023"/>
    <x v="200"/>
    <s v="CUST-1676"/>
    <s v="BK-669665"/>
    <n v="3"/>
    <s v="Paul Hill"/>
    <s v="paul.hill658@hotmail.com"/>
    <x v="2"/>
    <x v="2"/>
    <n v="14.28"/>
    <n v="42.839999999999996"/>
    <x v="0"/>
    <x v="0"/>
    <x v="8"/>
  </r>
  <r>
    <s v="SALE-495-2023"/>
    <x v="201"/>
    <s v="CUST-1610"/>
    <s v="BK-971272"/>
    <n v="3"/>
    <s v="Hannah Johnson"/>
    <s v="hannah.johnson592@gmail.com"/>
    <x v="8"/>
    <x v="1"/>
    <n v="36.11"/>
    <n v="108.33"/>
    <x v="0"/>
    <x v="0"/>
    <x v="54"/>
  </r>
  <r>
    <s v="SALE-512-2023"/>
    <x v="202"/>
    <s v="CUST-1921"/>
    <s v="BK-362359"/>
    <n v="3"/>
    <s v="Lily Lee"/>
    <s v="lily.lee903@yahoo.com"/>
    <x v="22"/>
    <x v="2"/>
    <n v="31.93"/>
    <n v="95.789999999999992"/>
    <x v="0"/>
    <x v="3"/>
    <x v="0"/>
  </r>
  <r>
    <s v="SALE-529-2023"/>
    <x v="203"/>
    <s v="CUST-1033"/>
    <s v="BK-397866"/>
    <n v="3"/>
    <s v="William Johnson"/>
    <s v="william.johnson15@gmail.com"/>
    <x v="5"/>
    <x v="4"/>
    <n v="21.14"/>
    <n v="63.42"/>
    <x v="0"/>
    <x v="1"/>
    <x v="48"/>
  </r>
  <r>
    <s v="SALE-546-2023"/>
    <x v="204"/>
    <s v="CUST-1378"/>
    <s v="BK-635671"/>
    <n v="3"/>
    <s v="Jessica Johnson"/>
    <s v="jessica.johnson360@hotmail.com"/>
    <x v="4"/>
    <x v="2"/>
    <n v="13.46"/>
    <n v="40.380000000000003"/>
    <x v="0"/>
    <x v="2"/>
    <x v="53"/>
  </r>
  <r>
    <s v="SALE-563-2023"/>
    <x v="205"/>
    <s v="CUST-1904"/>
    <s v="BK-833989"/>
    <n v="3"/>
    <s v="Olivia Harris"/>
    <s v="olivia.harris886@outlook.com"/>
    <x v="17"/>
    <x v="0"/>
    <n v="22.95"/>
    <n v="68.849999999999994"/>
    <x v="1"/>
    <x v="2"/>
    <x v="11"/>
  </r>
  <r>
    <s v="SALE-580-2023"/>
    <x v="206"/>
    <s v="CUST-1086"/>
    <s v="BK-179434"/>
    <n v="3"/>
    <s v="James King"/>
    <s v="james.king68@outlook.com"/>
    <x v="9"/>
    <x v="1"/>
    <n v="19.54"/>
    <n v="58.62"/>
    <x v="0"/>
    <x v="2"/>
    <x v="41"/>
  </r>
  <r>
    <s v="SALE-597-2023"/>
    <x v="207"/>
    <s v="CUST-1546"/>
    <s v="BK-441575"/>
    <n v="3"/>
    <s v="Edward Young"/>
    <s v="edward.young528@gmail.com"/>
    <x v="5"/>
    <x v="4"/>
    <n v="35.65"/>
    <n v="106.94999999999999"/>
    <x v="1"/>
    <x v="1"/>
    <x v="15"/>
  </r>
  <r>
    <s v="SALE-614-2023"/>
    <x v="208"/>
    <s v="CUST-1637"/>
    <s v="BK-896684"/>
    <n v="3"/>
    <s v="Ryan Jackson"/>
    <s v="ryan.jackson619@gmail.com"/>
    <x v="8"/>
    <x v="3"/>
    <n v="22.95"/>
    <n v="68.849999999999994"/>
    <x v="1"/>
    <x v="0"/>
    <x v="29"/>
  </r>
  <r>
    <s v="SALE-631-2023"/>
    <x v="209"/>
    <s v="CUST-1220"/>
    <s v="BK-921823"/>
    <n v="3"/>
    <s v="Amelia Lopez"/>
    <s v="amelia.lopez202@outlook.com"/>
    <x v="1"/>
    <x v="1"/>
    <n v="28.37"/>
    <n v="85.11"/>
    <x v="0"/>
    <x v="1"/>
    <x v="80"/>
  </r>
  <r>
    <s v="SALE-648-2023"/>
    <x v="210"/>
    <s v="CUST-1244"/>
    <s v="BK-373394"/>
    <n v="3"/>
    <s v="Lucy Hall"/>
    <s v="lucy.hall226@outlook.com"/>
    <x v="2"/>
    <x v="4"/>
    <n v="35.450000000000003"/>
    <n v="106.35000000000001"/>
    <x v="1"/>
    <x v="0"/>
    <x v="12"/>
  </r>
  <r>
    <s v="SALE-665-2023"/>
    <x v="211"/>
    <s v="CUST-1428"/>
    <s v="BK-704707"/>
    <n v="3"/>
    <s v="Paul Garcia"/>
    <s v="paul.garcia410@hotmail.com"/>
    <x v="9"/>
    <x v="0"/>
    <n v="26.45"/>
    <n v="79.349999999999994"/>
    <x v="0"/>
    <x v="0"/>
    <x v="56"/>
  </r>
  <r>
    <s v="SALE-682-2023"/>
    <x v="212"/>
    <s v="CUST-1763"/>
    <s v="BK-417744"/>
    <n v="3"/>
    <s v="Andrew Johnson"/>
    <s v="andrew.johnson745@outlook.com"/>
    <x v="8"/>
    <x v="4"/>
    <n v="12.44"/>
    <n v="37.32"/>
    <x v="0"/>
    <x v="1"/>
    <x v="43"/>
  </r>
  <r>
    <s v="SALE-699-2023"/>
    <x v="213"/>
    <s v="CUST-1864"/>
    <s v="BK-888175"/>
    <n v="3"/>
    <s v="James Allen"/>
    <s v="james.allen846@yahoo.com"/>
    <x v="11"/>
    <x v="1"/>
    <n v="39.770000000000003"/>
    <n v="119.31"/>
    <x v="0"/>
    <x v="1"/>
    <x v="58"/>
  </r>
  <r>
    <s v="SALE-716-2023"/>
    <x v="214"/>
    <s v="CUST-1901"/>
    <s v="BK-976708"/>
    <n v="3"/>
    <s v="James Allen"/>
    <s v="james.allen883@yahoo.com"/>
    <x v="11"/>
    <x v="0"/>
    <n v="23.42"/>
    <n v="70.260000000000005"/>
    <x v="1"/>
    <x v="2"/>
    <x v="30"/>
  </r>
  <r>
    <s v="SALE-733-2023"/>
    <x v="215"/>
    <s v="CUST-1502"/>
    <s v="BK-531249"/>
    <n v="3"/>
    <s v="Joshua Martinez"/>
    <s v="joshua.martinez484@yahoo.com"/>
    <x v="8"/>
    <x v="0"/>
    <n v="27.19"/>
    <n v="81.570000000000007"/>
    <x v="1"/>
    <x v="0"/>
    <x v="58"/>
  </r>
  <r>
    <s v="SALE-750-2023"/>
    <x v="216"/>
    <s v="CUST-1814"/>
    <s v="BK-276773"/>
    <n v="3"/>
    <s v="Kevin Green"/>
    <s v="kevin.green796@outlook.com"/>
    <x v="1"/>
    <x v="0"/>
    <n v="34.15"/>
    <n v="102.44999999999999"/>
    <x v="1"/>
    <x v="2"/>
    <x v="34"/>
  </r>
  <r>
    <s v="SALE-767-2023"/>
    <x v="217"/>
    <s v="CUST-1089"/>
    <s v="BK-669636"/>
    <n v="3"/>
    <s v="Ryan Martin"/>
    <s v="ryan.martin71@yahoo.com"/>
    <x v="5"/>
    <x v="0"/>
    <n v="25.59"/>
    <n v="76.77"/>
    <x v="1"/>
    <x v="1"/>
    <x v="58"/>
  </r>
  <r>
    <s v="SALE-784-2023"/>
    <x v="218"/>
    <s v="CUST-1547"/>
    <s v="BK-201399"/>
    <n v="3"/>
    <s v="Ella Adams"/>
    <s v="ella.adams529@hotmail.com"/>
    <x v="8"/>
    <x v="3"/>
    <n v="13.61"/>
    <n v="40.83"/>
    <x v="0"/>
    <x v="0"/>
    <x v="22"/>
  </r>
  <r>
    <s v="SALE-801-2023"/>
    <x v="219"/>
    <s v="CUST-1640"/>
    <s v="BK-989265"/>
    <n v="3"/>
    <s v="William Martin"/>
    <s v="william.martin622@gmail.com"/>
    <x v="2"/>
    <x v="0"/>
    <n v="28.8"/>
    <n v="86.4"/>
    <x v="0"/>
    <x v="0"/>
    <x v="35"/>
  </r>
  <r>
    <s v="SALE-818-2023"/>
    <x v="220"/>
    <s v="CUST-1496"/>
    <s v="BK-198365"/>
    <n v="3"/>
    <s v="Thomas Rodriguez"/>
    <s v="thomas.rodriguez478@gmail.com"/>
    <x v="2"/>
    <x v="0"/>
    <n v="28.79"/>
    <n v="86.37"/>
    <x v="0"/>
    <x v="0"/>
    <x v="14"/>
  </r>
  <r>
    <s v="SALE-835-2023"/>
    <x v="221"/>
    <s v="CUST-1787"/>
    <s v="BK-155910"/>
    <n v="3"/>
    <s v="Zoe Martin"/>
    <s v="zoe.martin769@gmail.com"/>
    <x v="1"/>
    <x v="4"/>
    <n v="30.98"/>
    <n v="92.94"/>
    <x v="1"/>
    <x v="0"/>
    <x v="25"/>
  </r>
  <r>
    <s v="SALE-852-2023"/>
    <x v="222"/>
    <s v="CUST-1090"/>
    <s v="BK-318105"/>
    <n v="3"/>
    <s v="Ava King"/>
    <s v="ava.king72@hotmail.com"/>
    <x v="4"/>
    <x v="4"/>
    <n v="29.4"/>
    <n v="88.199999999999989"/>
    <x v="0"/>
    <x v="1"/>
    <x v="40"/>
  </r>
  <r>
    <s v="SALE-869-2023"/>
    <x v="223"/>
    <s v="CUST-1054"/>
    <s v="BK-565750"/>
    <n v="3"/>
    <s v="Peter Thompson"/>
    <s v="peter.thompson36@gmail.com"/>
    <x v="4"/>
    <x v="2"/>
    <n v="29.7"/>
    <n v="89.1"/>
    <x v="1"/>
    <x v="3"/>
    <x v="72"/>
  </r>
  <r>
    <s v="SALE-886-2023"/>
    <x v="224"/>
    <s v="CUST-1025"/>
    <s v="BK-158021"/>
    <n v="3"/>
    <s v="Lily Johnson"/>
    <s v="lily.johnson7@outlook.com"/>
    <x v="23"/>
    <x v="3"/>
    <n v="29.97"/>
    <n v="89.91"/>
    <x v="0"/>
    <x v="0"/>
    <x v="63"/>
  </r>
  <r>
    <s v="SALE-903-2023"/>
    <x v="225"/>
    <s v="CUST-1702"/>
    <s v="BK-704798"/>
    <n v="3"/>
    <s v="William Anderson"/>
    <s v="william.anderson684@hotmail.com"/>
    <x v="4"/>
    <x v="1"/>
    <n v="38.83"/>
    <n v="116.49"/>
    <x v="0"/>
    <x v="2"/>
    <x v="5"/>
  </r>
  <r>
    <s v="SALE-920-2023"/>
    <x v="226"/>
    <s v="CUST-1405"/>
    <s v="BK-419973"/>
    <n v="3"/>
    <s v="Anna Allen"/>
    <s v="anna.allen387@hotmail.com"/>
    <x v="4"/>
    <x v="0"/>
    <n v="18.11"/>
    <n v="54.33"/>
    <x v="0"/>
    <x v="2"/>
    <x v="16"/>
  </r>
  <r>
    <s v="SALE-937-2023"/>
    <x v="227"/>
    <s v="CUST-1286"/>
    <s v="BK-715443"/>
    <n v="3"/>
    <s v="Emily Johnson"/>
    <s v="emily.johnson268@outlook.com"/>
    <x v="8"/>
    <x v="0"/>
    <n v="20.48"/>
    <n v="61.44"/>
    <x v="1"/>
    <x v="2"/>
    <x v="14"/>
  </r>
  <r>
    <s v="SALE-954-2023"/>
    <x v="228"/>
    <s v="CUST-1402"/>
    <s v="BK-427827"/>
    <n v="3"/>
    <s v="David Jackson"/>
    <s v="david.jackson384@hotmail.com"/>
    <x v="5"/>
    <x v="2"/>
    <n v="27.27"/>
    <n v="81.81"/>
    <x v="1"/>
    <x v="2"/>
    <x v="71"/>
  </r>
  <r>
    <s v="SALE-971-2023"/>
    <x v="229"/>
    <s v="CUST-1703"/>
    <s v="BK-974010"/>
    <n v="3"/>
    <s v="Chloe Jackson"/>
    <s v="chloe.jackson685@outlook.com"/>
    <x v="2"/>
    <x v="3"/>
    <n v="16.489999999999998"/>
    <n v="49.47"/>
    <x v="0"/>
    <x v="0"/>
    <x v="76"/>
  </r>
  <r>
    <s v="SALE-003-2023"/>
    <x v="230"/>
    <s v="CUST-1421"/>
    <s v="BK-621031"/>
    <n v="2"/>
    <s v="Ella Garcia"/>
    <s v="ella.garcia403@gmail.com"/>
    <x v="8"/>
    <x v="1"/>
    <n v="17.27"/>
    <n v="34.54"/>
    <x v="1"/>
    <x v="3"/>
    <x v="47"/>
  </r>
  <r>
    <s v="SALE-024-2023"/>
    <x v="231"/>
    <s v="CUST-1227"/>
    <s v="BK-574807"/>
    <n v="2"/>
    <s v="Amelia Thompson"/>
    <s v="amelia.thompson209@hotmail.com"/>
    <x v="3"/>
    <x v="4"/>
    <n v="13.48"/>
    <n v="26.96"/>
    <x v="0"/>
    <x v="2"/>
    <x v="53"/>
  </r>
  <r>
    <s v="SALE-041-2023"/>
    <x v="232"/>
    <s v="CUST-1634"/>
    <s v="BK-684297"/>
    <n v="1"/>
    <s v="Kevin Adams"/>
    <s v="kevin.adams616@gmail.com"/>
    <x v="1"/>
    <x v="2"/>
    <n v="25.95"/>
    <n v="25.95"/>
    <x v="0"/>
    <x v="0"/>
    <x v="32"/>
  </r>
  <r>
    <s v="SALE-058-2023"/>
    <x v="233"/>
    <s v="CUST-1225"/>
    <s v="BK-911408"/>
    <n v="2"/>
    <s v="Ella Walker"/>
    <s v="ella.walker207@hotmail.com"/>
    <x v="4"/>
    <x v="4"/>
    <n v="21.31"/>
    <n v="42.62"/>
    <x v="0"/>
    <x v="0"/>
    <x v="2"/>
  </r>
  <r>
    <s v="SALE-075-2023"/>
    <x v="234"/>
    <s v="CUST-1188"/>
    <s v="BK-824377"/>
    <n v="3"/>
    <s v="Steven Taylor"/>
    <s v="steven.taylor170@yahoo.com"/>
    <x v="5"/>
    <x v="0"/>
    <n v="22.52"/>
    <n v="67.56"/>
    <x v="1"/>
    <x v="0"/>
    <x v="57"/>
  </r>
  <r>
    <s v="SALE-092-2023"/>
    <x v="235"/>
    <s v="CUST-1551"/>
    <s v="BK-817032"/>
    <n v="3"/>
    <s v="Olivia Taylor"/>
    <s v="olivia.taylor533@yahoo.com"/>
    <x v="3"/>
    <x v="2"/>
    <n v="15.72"/>
    <n v="47.160000000000004"/>
    <x v="1"/>
    <x v="0"/>
    <x v="81"/>
  </r>
  <r>
    <s v="SALE-109-2023"/>
    <x v="236"/>
    <s v="CUST-1910"/>
    <s v="BK-222430"/>
    <n v="3"/>
    <s v="Grace Lee"/>
    <s v="grace.lee892@outlook.com"/>
    <x v="8"/>
    <x v="1"/>
    <n v="28.06"/>
    <n v="84.179999999999993"/>
    <x v="1"/>
    <x v="1"/>
    <x v="35"/>
  </r>
  <r>
    <s v="SALE-126-2023"/>
    <x v="237"/>
    <s v="CUST-1285"/>
    <s v="BK-381294"/>
    <n v="3"/>
    <s v="Anna Smith"/>
    <s v="anna.smith267@yahoo.com"/>
    <x v="5"/>
    <x v="2"/>
    <n v="25.2"/>
    <n v="75.599999999999994"/>
    <x v="1"/>
    <x v="2"/>
    <x v="82"/>
  </r>
  <r>
    <s v="SALE-143-2023"/>
    <x v="238"/>
    <s v="CUST-1403"/>
    <s v="BK-853308"/>
    <n v="3"/>
    <s v="Paul Lewis"/>
    <s v="paul.lewis385@outlook.com"/>
    <x v="8"/>
    <x v="2"/>
    <n v="18.13"/>
    <n v="54.39"/>
    <x v="0"/>
    <x v="0"/>
    <x v="62"/>
  </r>
  <r>
    <s v="SALE-160-2023"/>
    <x v="239"/>
    <s v="CUST-1085"/>
    <s v="BK-600959"/>
    <n v="3"/>
    <s v="John Martinez"/>
    <s v="john.martinez67@hotmail.com"/>
    <x v="1"/>
    <x v="3"/>
    <n v="32.03"/>
    <n v="96.09"/>
    <x v="1"/>
    <x v="0"/>
    <x v="18"/>
  </r>
  <r>
    <s v="SALE-177-2023"/>
    <x v="240"/>
    <s v="CUST-1905"/>
    <s v="BK-884964"/>
    <n v="3"/>
    <s v="Ava Rodriguez"/>
    <s v="ava.rodriguez887@yahoo.com"/>
    <x v="24"/>
    <x v="3"/>
    <n v="30.53"/>
    <n v="91.59"/>
    <x v="1"/>
    <x v="0"/>
    <x v="83"/>
  </r>
  <r>
    <s v="SALE-194-2023"/>
    <x v="241"/>
    <s v="CUST-1113"/>
    <s v="BK-756078"/>
    <n v="3"/>
    <s v="Chloe Adams"/>
    <s v="chloe.adams95@gmail.com"/>
    <x v="9"/>
    <x v="4"/>
    <n v="29.89"/>
    <n v="89.67"/>
    <x v="0"/>
    <x v="0"/>
    <x v="55"/>
  </r>
  <r>
    <s v="SALE-211-2023"/>
    <x v="242"/>
    <s v="CUST-1021"/>
    <s v="BK-857056"/>
    <n v="3"/>
    <s v="David Martinez"/>
    <s v="david.martinez3@yahoo.com"/>
    <x v="8"/>
    <x v="2"/>
    <n v="27.58"/>
    <n v="82.74"/>
    <x v="0"/>
    <x v="0"/>
    <x v="84"/>
  </r>
  <r>
    <s v="SALE-228-2023"/>
    <x v="243"/>
    <s v="CUST-1404"/>
    <s v="BK-956501"/>
    <n v="3"/>
    <s v="Ava Wright"/>
    <s v="ava.wright386@hotmail.com"/>
    <x v="5"/>
    <x v="2"/>
    <n v="25.92"/>
    <n v="77.760000000000005"/>
    <x v="1"/>
    <x v="0"/>
    <x v="77"/>
  </r>
  <r>
    <s v="SALE-245-2023"/>
    <x v="244"/>
    <s v="CUST-1479"/>
    <s v="BK-316972"/>
    <n v="3"/>
    <s v="Laura Martinez"/>
    <s v="laura.martinez461@yahoo.com"/>
    <x v="6"/>
    <x v="2"/>
    <n v="27.42"/>
    <n v="82.26"/>
    <x v="1"/>
    <x v="2"/>
    <x v="78"/>
  </r>
  <r>
    <s v="SALE-262-2023"/>
    <x v="245"/>
    <s v="CUST-1142"/>
    <s v="BK-254562"/>
    <n v="3"/>
    <s v="William Garcia"/>
    <s v="william.garcia124@yahoo.com"/>
    <x v="8"/>
    <x v="4"/>
    <n v="36.590000000000003"/>
    <n v="109.77000000000001"/>
    <x v="0"/>
    <x v="0"/>
    <x v="14"/>
  </r>
  <r>
    <s v="SALE-279-2023"/>
    <x v="246"/>
    <s v="CUST-1861"/>
    <s v="BK-360142"/>
    <n v="3"/>
    <s v="Robert Martin"/>
    <s v="robert.martin843@gmail.com"/>
    <x v="15"/>
    <x v="2"/>
    <n v="24.86"/>
    <n v="74.58"/>
    <x v="1"/>
    <x v="0"/>
    <x v="6"/>
  </r>
  <r>
    <s v="SALE-296-2023"/>
    <x v="247"/>
    <s v="CUST-1092"/>
    <s v="BK-289456"/>
    <n v="3"/>
    <s v="Robert Garcia"/>
    <s v="robert.garcia74@hotmail.com"/>
    <x v="3"/>
    <x v="4"/>
    <n v="37.71"/>
    <n v="113.13"/>
    <x v="1"/>
    <x v="1"/>
    <x v="72"/>
  </r>
  <r>
    <s v="SALE-313-2023"/>
    <x v="248"/>
    <s v="CUST-1211"/>
    <s v="BK-986506"/>
    <n v="3"/>
    <s v="Daniel Walker"/>
    <s v="daniel.walker193@gmail.com"/>
    <x v="1"/>
    <x v="3"/>
    <n v="18.59"/>
    <n v="55.769999999999996"/>
    <x v="1"/>
    <x v="1"/>
    <x v="62"/>
  </r>
  <r>
    <s v="SALE-330-2023"/>
    <x v="249"/>
    <s v="CUST-1462"/>
    <s v="BK-743529"/>
    <n v="3"/>
    <s v="Lily Green"/>
    <s v="lily.green444@outlook.com"/>
    <x v="8"/>
    <x v="4"/>
    <n v="21.49"/>
    <n v="64.47"/>
    <x v="1"/>
    <x v="2"/>
    <x v="26"/>
  </r>
  <r>
    <s v="SALE-347-2023"/>
    <x v="250"/>
    <s v="CUST-1585"/>
    <s v="BK-531729"/>
    <n v="3"/>
    <s v="Andrew King"/>
    <s v="andrew.king567@hotmail.com"/>
    <x v="4"/>
    <x v="2"/>
    <n v="15.65"/>
    <n v="46.95"/>
    <x v="1"/>
    <x v="0"/>
    <x v="24"/>
  </r>
  <r>
    <s v="SALE-364-2023"/>
    <x v="251"/>
    <s v="CUST-1318"/>
    <s v="BK-391189"/>
    <n v="3"/>
    <s v="Robert Baker"/>
    <s v="robert.baker300@hotmail.com"/>
    <x v="8"/>
    <x v="2"/>
    <n v="38.880000000000003"/>
    <n v="116.64000000000001"/>
    <x v="1"/>
    <x v="0"/>
    <x v="4"/>
  </r>
  <r>
    <s v="SALE-381-2023"/>
    <x v="252"/>
    <s v="CUST-1498"/>
    <s v="BK-347921"/>
    <n v="3"/>
    <s v="Peter Adams"/>
    <s v="peter.adams480@outlook.com"/>
    <x v="8"/>
    <x v="3"/>
    <n v="32.409999999999997"/>
    <n v="97.22999999999999"/>
    <x v="1"/>
    <x v="0"/>
    <x v="68"/>
  </r>
  <r>
    <s v="SALE-398-2023"/>
    <x v="253"/>
    <s v="CUST-1390"/>
    <s v="BK-840956"/>
    <n v="3"/>
    <s v="Joshua Walker"/>
    <s v="joshua.walker372@hotmail.com"/>
    <x v="8"/>
    <x v="2"/>
    <n v="21.54"/>
    <n v="64.62"/>
    <x v="0"/>
    <x v="0"/>
    <x v="38"/>
  </r>
  <r>
    <s v="SALE-415-2023"/>
    <x v="254"/>
    <s v="CUST-1391"/>
    <s v="BK-827742"/>
    <n v="3"/>
    <s v="Andrew Walker"/>
    <s v="andrew.walker373@outlook.com"/>
    <x v="1"/>
    <x v="0"/>
    <n v="22.64"/>
    <n v="67.92"/>
    <x v="0"/>
    <x v="0"/>
    <x v="54"/>
  </r>
  <r>
    <s v="SALE-432-2023"/>
    <x v="255"/>
    <s v="CUST-1722"/>
    <s v="BK-902267"/>
    <n v="3"/>
    <s v="Joshua Taylor"/>
    <s v="joshua.taylor704@yahoo.com"/>
    <x v="6"/>
    <x v="1"/>
    <n v="23.59"/>
    <n v="70.77"/>
    <x v="1"/>
    <x v="2"/>
    <x v="71"/>
  </r>
  <r>
    <s v="SALE-449-2023"/>
    <x v="256"/>
    <s v="CUST-1315"/>
    <s v="BK-752262"/>
    <n v="3"/>
    <s v="Mark Anderson"/>
    <s v="mark.anderson297@gmail.com"/>
    <x v="4"/>
    <x v="0"/>
    <n v="25.78"/>
    <n v="77.34"/>
    <x v="1"/>
    <x v="0"/>
    <x v="57"/>
  </r>
  <r>
    <s v="SALE-466-2023"/>
    <x v="257"/>
    <s v="CUST-1147"/>
    <s v="BK-110313"/>
    <n v="3"/>
    <s v="Lily Martin"/>
    <s v="lily.martin129@gmail.com"/>
    <x v="8"/>
    <x v="0"/>
    <n v="24.55"/>
    <n v="73.650000000000006"/>
    <x v="1"/>
    <x v="1"/>
    <x v="85"/>
  </r>
  <r>
    <s v="SALE-483-2023"/>
    <x v="258"/>
    <s v="CUST-1592"/>
    <s v="BK-117987"/>
    <n v="3"/>
    <s v="Emma White"/>
    <s v="emma.white574@outlook.com"/>
    <x v="8"/>
    <x v="3"/>
    <n v="38.119999999999997"/>
    <n v="114.35999999999999"/>
    <x v="1"/>
    <x v="2"/>
    <x v="85"/>
  </r>
  <r>
    <s v="SALE-500-2023"/>
    <x v="259"/>
    <s v="CUST-1471"/>
    <s v="BK-246081"/>
    <n v="3"/>
    <s v="Brian Baker"/>
    <s v="brian.baker453@outlook.com"/>
    <x v="8"/>
    <x v="3"/>
    <n v="23.39"/>
    <n v="70.17"/>
    <x v="1"/>
    <x v="1"/>
    <x v="77"/>
  </r>
  <r>
    <s v="SALE-517-2023"/>
    <x v="260"/>
    <s v="CUST-1150"/>
    <s v="BK-694390"/>
    <n v="3"/>
    <s v="Anthony Thomas"/>
    <s v="anthony.thomas132@yahoo.com"/>
    <x v="5"/>
    <x v="2"/>
    <n v="28.66"/>
    <n v="85.98"/>
    <x v="1"/>
    <x v="0"/>
    <x v="58"/>
  </r>
  <r>
    <s v="SALE-534-2023"/>
    <x v="261"/>
    <s v="CUST-1671"/>
    <s v="BK-863569"/>
    <n v="3"/>
    <s v="Charlotte Smith"/>
    <s v="charlotte.smith653@hotmail.com"/>
    <x v="9"/>
    <x v="1"/>
    <n v="27.67"/>
    <n v="83.01"/>
    <x v="1"/>
    <x v="2"/>
    <x v="26"/>
  </r>
  <r>
    <s v="SALE-551-2023"/>
    <x v="262"/>
    <s v="CUST-1553"/>
    <s v="BK-945048"/>
    <n v="3"/>
    <s v="David Walker"/>
    <s v="david.walker535@outlook.com"/>
    <x v="1"/>
    <x v="4"/>
    <n v="19.63"/>
    <n v="58.89"/>
    <x v="0"/>
    <x v="0"/>
    <x v="64"/>
  </r>
  <r>
    <s v="SALE-568-2023"/>
    <x v="263"/>
    <s v="CUST-1128"/>
    <s v="BK-704978"/>
    <n v="3"/>
    <s v="Kevin Lopez"/>
    <s v="kevin.lopez110@outlook.com"/>
    <x v="6"/>
    <x v="3"/>
    <n v="35.94"/>
    <n v="107.82"/>
    <x v="0"/>
    <x v="0"/>
    <x v="54"/>
  </r>
  <r>
    <s v="SALE-585-2023"/>
    <x v="264"/>
    <s v="CUST-1611"/>
    <s v="BK-776463"/>
    <n v="3"/>
    <s v="Steven Allen"/>
    <s v="steven.allen593@yahoo.com"/>
    <x v="5"/>
    <x v="3"/>
    <n v="34.75"/>
    <n v="104.25"/>
    <x v="0"/>
    <x v="0"/>
    <x v="73"/>
  </r>
  <r>
    <s v="SALE-602-2023"/>
    <x v="265"/>
    <s v="CUST-1919"/>
    <s v="BK-461263"/>
    <n v="3"/>
    <s v="Zoe Martinez"/>
    <s v="zoe.martinez901@outlook.com"/>
    <x v="12"/>
    <x v="0"/>
    <n v="33.81"/>
    <n v="101.43"/>
    <x v="0"/>
    <x v="0"/>
    <x v="45"/>
  </r>
  <r>
    <s v="SALE-619-2023"/>
    <x v="266"/>
    <s v="CUST-1879"/>
    <s v="BK-894771"/>
    <n v="3"/>
    <s v="Kevin Wright"/>
    <s v="kevin.wright861@hotmail.com"/>
    <x v="25"/>
    <x v="4"/>
    <n v="23.45"/>
    <n v="70.349999999999994"/>
    <x v="0"/>
    <x v="0"/>
    <x v="42"/>
  </r>
  <r>
    <s v="SALE-636-2023"/>
    <x v="267"/>
    <s v="CUST-1749"/>
    <s v="BK-105859"/>
    <n v="3"/>
    <s v="Daniel Hall"/>
    <s v="daniel.hall731@gmail.com"/>
    <x v="6"/>
    <x v="1"/>
    <n v="35.93"/>
    <n v="107.78999999999999"/>
    <x v="1"/>
    <x v="2"/>
    <x v="48"/>
  </r>
  <r>
    <s v="SALE-653-2023"/>
    <x v="268"/>
    <s v="CUST-1978"/>
    <s v="BK-141039"/>
    <n v="3"/>
    <s v="Paul Clark"/>
    <s v="paul.clark960@yahoo.com"/>
    <x v="17"/>
    <x v="3"/>
    <n v="16.07"/>
    <n v="48.21"/>
    <x v="0"/>
    <x v="0"/>
    <x v="57"/>
  </r>
  <r>
    <s v="SALE-670-2023"/>
    <x v="269"/>
    <s v="CUST-1824"/>
    <s v="BK-986063"/>
    <n v="3"/>
    <s v="Andrew Johnson"/>
    <s v="andrew.johnson806@hotmail.com"/>
    <x v="9"/>
    <x v="0"/>
    <n v="18.43"/>
    <n v="55.29"/>
    <x v="1"/>
    <x v="1"/>
    <x v="21"/>
  </r>
  <r>
    <s v="SALE-687-2023"/>
    <x v="270"/>
    <s v="CUST-1884"/>
    <s v="BK-125754"/>
    <n v="3"/>
    <s v="Laura Brown"/>
    <s v="laura.brown866@outlook.com"/>
    <x v="24"/>
    <x v="2"/>
    <n v="28.03"/>
    <n v="84.09"/>
    <x v="1"/>
    <x v="0"/>
    <x v="49"/>
  </r>
  <r>
    <s v="SALE-704-2023"/>
    <x v="271"/>
    <s v="CUST-1620"/>
    <s v="BK-428660"/>
    <n v="3"/>
    <s v="Peter Robinson"/>
    <s v="peter.robinson602@outlook.com"/>
    <x v="5"/>
    <x v="3"/>
    <n v="14.54"/>
    <n v="43.62"/>
    <x v="1"/>
    <x v="3"/>
    <x v="2"/>
  </r>
  <r>
    <s v="SALE-721-2023"/>
    <x v="272"/>
    <s v="CUST-1873"/>
    <s v="BK-581508"/>
    <n v="3"/>
    <s v="Emma Lopez"/>
    <s v="emma.lopez855@yahoo.com"/>
    <x v="26"/>
    <x v="3"/>
    <n v="30.87"/>
    <n v="92.61"/>
    <x v="0"/>
    <x v="1"/>
    <x v="42"/>
  </r>
  <r>
    <s v="SALE-738-2023"/>
    <x v="273"/>
    <s v="CUST-1697"/>
    <s v="BK-895697"/>
    <n v="3"/>
    <s v="Edward Hill"/>
    <s v="edward.hill679@gmail.com"/>
    <x v="1"/>
    <x v="0"/>
    <n v="11.11"/>
    <n v="33.33"/>
    <x v="1"/>
    <x v="0"/>
    <x v="48"/>
  </r>
  <r>
    <s v="SALE-755-2023"/>
    <x v="274"/>
    <s v="CUST-1246"/>
    <s v="BK-196506"/>
    <n v="3"/>
    <s v="Paul Thompson"/>
    <s v="paul.thompson228@gmail.com"/>
    <x v="8"/>
    <x v="2"/>
    <n v="19.45"/>
    <n v="58.349999999999994"/>
    <x v="0"/>
    <x v="0"/>
    <x v="31"/>
  </r>
  <r>
    <s v="SALE-772-2023"/>
    <x v="275"/>
    <s v="CUST-1678"/>
    <s v="BK-860868"/>
    <n v="3"/>
    <s v="Hannah Brown"/>
    <s v="hannah.brown660@outlook.com"/>
    <x v="8"/>
    <x v="0"/>
    <n v="22.41"/>
    <n v="67.23"/>
    <x v="0"/>
    <x v="0"/>
    <x v="86"/>
  </r>
  <r>
    <s v="SALE-789-2023"/>
    <x v="276"/>
    <s v="CUST-1469"/>
    <s v="BK-673849"/>
    <n v="3"/>
    <s v="Brian Martinez"/>
    <s v="brian.martinez451@gmail.com"/>
    <x v="2"/>
    <x v="3"/>
    <n v="26.71"/>
    <n v="80.13"/>
    <x v="0"/>
    <x v="3"/>
    <x v="4"/>
  </r>
  <r>
    <s v="SALE-806-2023"/>
    <x v="277"/>
    <s v="CUST-1534"/>
    <s v="BK-688550"/>
    <n v="3"/>
    <s v="John Lopez"/>
    <s v="john.lopez516@gmail.com"/>
    <x v="8"/>
    <x v="2"/>
    <n v="14.31"/>
    <n v="42.93"/>
    <x v="0"/>
    <x v="1"/>
    <x v="86"/>
  </r>
  <r>
    <s v="SALE-823-2023"/>
    <x v="278"/>
    <s v="CUST-1572"/>
    <s v="BK-233276"/>
    <n v="3"/>
    <s v="Anthony Thompson"/>
    <s v="anthony.thompson554@outlook.com"/>
    <x v="9"/>
    <x v="4"/>
    <n v="28.23"/>
    <n v="84.69"/>
    <x v="1"/>
    <x v="2"/>
    <x v="84"/>
  </r>
  <r>
    <s v="SALE-840-2023"/>
    <x v="279"/>
    <s v="CUST-1669"/>
    <s v="BK-708634"/>
    <n v="3"/>
    <s v="Emily Green"/>
    <s v="emily.green651@yahoo.com"/>
    <x v="8"/>
    <x v="4"/>
    <n v="30.66"/>
    <n v="91.98"/>
    <x v="1"/>
    <x v="0"/>
    <x v="81"/>
  </r>
  <r>
    <s v="SALE-857-2023"/>
    <x v="280"/>
    <s v="CUST-1870"/>
    <s v="BK-103944"/>
    <n v="3"/>
    <s v="Thomas Anderson"/>
    <s v="thomas.anderson852@hotmail.com"/>
    <x v="3"/>
    <x v="0"/>
    <n v="33.74"/>
    <n v="101.22"/>
    <x v="0"/>
    <x v="2"/>
    <x v="85"/>
  </r>
  <r>
    <s v="SALE-874-2023"/>
    <x v="281"/>
    <s v="CUST-1970"/>
    <s v="BK-204971"/>
    <n v="3"/>
    <s v="Lucy Lee"/>
    <s v="lucy.lee952@hotmail.com"/>
    <x v="9"/>
    <x v="4"/>
    <n v="34.49"/>
    <n v="103.47"/>
    <x v="1"/>
    <x v="0"/>
    <x v="53"/>
  </r>
  <r>
    <s v="SALE-891-2023"/>
    <x v="282"/>
    <s v="CUST-1133"/>
    <s v="BK-690674"/>
    <n v="3"/>
    <s v="Grace Johnson"/>
    <s v="grace.johnson115@hotmail.com"/>
    <x v="8"/>
    <x v="2"/>
    <n v="12.23"/>
    <n v="36.69"/>
    <x v="1"/>
    <x v="1"/>
    <x v="66"/>
  </r>
  <r>
    <s v="SALE-908-2023"/>
    <x v="283"/>
    <s v="CUST-1617"/>
    <s v="BK-312738"/>
    <n v="3"/>
    <s v="Laura Martinez"/>
    <s v="laura.martinez599@yahoo.com"/>
    <x v="9"/>
    <x v="2"/>
    <n v="34.270000000000003"/>
    <n v="102.81"/>
    <x v="1"/>
    <x v="0"/>
    <x v="23"/>
  </r>
  <r>
    <s v="SALE-925-2023"/>
    <x v="284"/>
    <s v="CUST-1987"/>
    <s v="BK-122008"/>
    <n v="3"/>
    <s v="Andrew White"/>
    <s v="andrew.white969@hotmail.com"/>
    <x v="27"/>
    <x v="1"/>
    <n v="27.15"/>
    <n v="81.449999999999989"/>
    <x v="0"/>
    <x v="0"/>
    <x v="22"/>
  </r>
  <r>
    <s v="SALE-942-2023"/>
    <x v="285"/>
    <s v="CUST-1024"/>
    <s v="BK-610424"/>
    <n v="3"/>
    <s v="Thomas Young"/>
    <s v="thomas.young6@hotmail.com"/>
    <x v="5"/>
    <x v="4"/>
    <n v="11.92"/>
    <n v="35.76"/>
    <x v="0"/>
    <x v="1"/>
    <x v="51"/>
  </r>
  <r>
    <s v="SALE-959-2023"/>
    <x v="286"/>
    <s v="CUST-1766"/>
    <s v="BK-780502"/>
    <n v="3"/>
    <s v="John Green"/>
    <s v="john.green748@outlook.com"/>
    <x v="2"/>
    <x v="1"/>
    <n v="15.33"/>
    <n v="45.99"/>
    <x v="1"/>
    <x v="3"/>
    <x v="23"/>
  </r>
  <r>
    <s v="SALE-976-2023"/>
    <x v="287"/>
    <s v="CUST-1441"/>
    <s v="BK-696966"/>
    <n v="3"/>
    <s v="Olivia Green"/>
    <s v="olivia.green423@gmail.com"/>
    <x v="4"/>
    <x v="4"/>
    <n v="32.880000000000003"/>
    <n v="98.640000000000015"/>
    <x v="1"/>
    <x v="0"/>
    <x v="7"/>
  </r>
  <r>
    <s v="SALE-013-2023"/>
    <x v="288"/>
    <s v="CUST-1997"/>
    <s v="BK-155212"/>
    <n v="5"/>
    <s v="Thomas Garcia"/>
    <s v="thomas.garcia979@outlook.com"/>
    <x v="13"/>
    <x v="4"/>
    <n v="21.73"/>
    <n v="108.65"/>
    <x v="0"/>
    <x v="2"/>
    <x v="50"/>
  </r>
  <r>
    <s v="SALE-030-2023"/>
    <x v="289"/>
    <s v="CUST-1780"/>
    <s v="BK-837782"/>
    <n v="2"/>
    <s v="Isabella Green"/>
    <s v="isabella.green762@outlook.com"/>
    <x v="5"/>
    <x v="2"/>
    <n v="12.49"/>
    <n v="24.98"/>
    <x v="1"/>
    <x v="2"/>
    <x v="67"/>
  </r>
  <r>
    <s v="SALE-047-2023"/>
    <x v="290"/>
    <s v="CUST-1091"/>
    <s v="BK-122443"/>
    <n v="2"/>
    <s v="Mia Scott"/>
    <s v="mia.scott73@yahoo.com"/>
    <x v="2"/>
    <x v="1"/>
    <n v="13.16"/>
    <n v="26.32"/>
    <x v="0"/>
    <x v="0"/>
    <x v="29"/>
  </r>
  <r>
    <s v="SALE-064-2023"/>
    <x v="291"/>
    <s v="CUST-1444"/>
    <s v="BK-499304"/>
    <n v="2"/>
    <s v="Paul Thompson"/>
    <s v="paul.thompson426@outlook.com"/>
    <x v="8"/>
    <x v="3"/>
    <n v="28.06"/>
    <n v="56.12"/>
    <x v="0"/>
    <x v="0"/>
    <x v="6"/>
  </r>
  <r>
    <s v="SALE-081-2023"/>
    <x v="292"/>
    <s v="CUST-1212"/>
    <s v="BK-188694"/>
    <n v="1"/>
    <s v="Zoe Lee"/>
    <s v="zoe.lee194@hotmail.com"/>
    <x v="9"/>
    <x v="2"/>
    <n v="27.84"/>
    <n v="27.84"/>
    <x v="1"/>
    <x v="1"/>
    <x v="76"/>
  </r>
  <r>
    <s v="SALE-098-2023"/>
    <x v="293"/>
    <s v="CUST-1872"/>
    <s v="BK-492388"/>
    <n v="1"/>
    <s v="Lily White"/>
    <s v="lily.white854@yahoo.com"/>
    <x v="17"/>
    <x v="1"/>
    <n v="28.2"/>
    <n v="28.2"/>
    <x v="1"/>
    <x v="0"/>
    <x v="70"/>
  </r>
  <r>
    <s v="SALE-115-2023"/>
    <x v="294"/>
    <s v="CUST-1638"/>
    <s v="BK-765430"/>
    <n v="1"/>
    <s v="Steven Lee"/>
    <s v="steven.lee620@gmail.com"/>
    <x v="5"/>
    <x v="3"/>
    <n v="39.74"/>
    <n v="39.74"/>
    <x v="0"/>
    <x v="2"/>
    <x v="73"/>
  </r>
  <r>
    <s v="SALE-132-2023"/>
    <x v="295"/>
    <s v="CUST-1993"/>
    <s v="BK-619299"/>
    <n v="1"/>
    <s v="Andrew Robinson"/>
    <s v="andrew.robinson975@gmail.com"/>
    <x v="28"/>
    <x v="3"/>
    <n v="34.11"/>
    <n v="34.11"/>
    <x v="0"/>
    <x v="2"/>
    <x v="79"/>
  </r>
  <r>
    <s v="SALE-149-2023"/>
    <x v="296"/>
    <s v="CUST-1898"/>
    <s v="BK-952023"/>
    <n v="1"/>
    <s v="Sophia Johnson"/>
    <s v="sophia.johnson880@outlook.com"/>
    <x v="8"/>
    <x v="4"/>
    <n v="26.3"/>
    <n v="26.3"/>
    <x v="1"/>
    <x v="2"/>
    <x v="67"/>
  </r>
  <r>
    <s v="SALE-166-2023"/>
    <x v="297"/>
    <s v="CUST-1555"/>
    <s v="BK-591504"/>
    <n v="1"/>
    <s v="David Jackson"/>
    <s v="david.jackson537@yahoo.com"/>
    <x v="5"/>
    <x v="3"/>
    <n v="19.350000000000001"/>
    <n v="19.350000000000001"/>
    <x v="1"/>
    <x v="2"/>
    <x v="37"/>
  </r>
  <r>
    <s v="SALE-183-2023"/>
    <x v="298"/>
    <s v="CUST-1764"/>
    <s v="BK-526273"/>
    <n v="1"/>
    <s v="Sarah Wright"/>
    <s v="sarah.wright746@hotmail.com"/>
    <x v="5"/>
    <x v="1"/>
    <n v="13.51"/>
    <n v="13.51"/>
    <x v="0"/>
    <x v="1"/>
    <x v="16"/>
  </r>
  <r>
    <s v="SALE-200-2023"/>
    <x v="299"/>
    <s v="CUST-1704"/>
    <s v="BK-804166"/>
    <n v="1"/>
    <s v="Peter Adams"/>
    <s v="peter.adams686@yahoo.com"/>
    <x v="3"/>
    <x v="1"/>
    <n v="20.03"/>
    <n v="20.03"/>
    <x v="0"/>
    <x v="3"/>
    <x v="40"/>
  </r>
  <r>
    <s v="SALE-217-2023"/>
    <x v="300"/>
    <s v="CUST-1263"/>
    <s v="BK-347520"/>
    <n v="1"/>
    <s v="John Green"/>
    <s v="john.green245@hotmail.com"/>
    <x v="6"/>
    <x v="2"/>
    <n v="16.84"/>
    <n v="16.84"/>
    <x v="1"/>
    <x v="0"/>
    <x v="79"/>
  </r>
  <r>
    <s v="SALE-234-2023"/>
    <x v="301"/>
    <s v="CUST-1357"/>
    <s v="BK-207886"/>
    <n v="1"/>
    <s v="Joshua Clark"/>
    <s v="joshua.clark339@yahoo.com"/>
    <x v="5"/>
    <x v="2"/>
    <n v="18.059999999999999"/>
    <n v="18.059999999999999"/>
    <x v="1"/>
    <x v="2"/>
    <x v="76"/>
  </r>
  <r>
    <s v="SALE-251-2023"/>
    <x v="302"/>
    <s v="CUST-1588"/>
    <s v="BK-900914"/>
    <n v="1"/>
    <s v="Hannah Anderson"/>
    <s v="hannah.anderson570@hotmail.com"/>
    <x v="8"/>
    <x v="2"/>
    <n v="31.13"/>
    <n v="31.13"/>
    <x v="1"/>
    <x v="3"/>
    <x v="52"/>
  </r>
  <r>
    <s v="SALE-268-2023"/>
    <x v="303"/>
    <s v="CUST-1601"/>
    <s v="BK-753276"/>
    <n v="1"/>
    <s v="Kevin White"/>
    <s v="kevin.white583@hotmail.com"/>
    <x v="8"/>
    <x v="3"/>
    <n v="31.58"/>
    <n v="31.58"/>
    <x v="0"/>
    <x v="2"/>
    <x v="70"/>
  </r>
  <r>
    <s v="SALE-285-2023"/>
    <x v="304"/>
    <s v="CUST-1659"/>
    <s v="BK-396416"/>
    <n v="1"/>
    <s v="Edward Adams"/>
    <s v="edward.adams641@gmail.com"/>
    <x v="3"/>
    <x v="2"/>
    <n v="13.34"/>
    <n v="13.34"/>
    <x v="0"/>
    <x v="0"/>
    <x v="61"/>
  </r>
  <r>
    <s v="SALE-302-2023"/>
    <x v="305"/>
    <s v="CUST-1939"/>
    <s v="BK-736578"/>
    <n v="1"/>
    <s v="Sarah Garcia"/>
    <s v="sarah.garcia921@hotmail.com"/>
    <x v="29"/>
    <x v="0"/>
    <n v="15.41"/>
    <n v="15.41"/>
    <x v="1"/>
    <x v="2"/>
    <x v="72"/>
  </r>
  <r>
    <s v="SALE-319-2023"/>
    <x v="306"/>
    <s v="CUST-1686"/>
    <s v="BK-431017"/>
    <n v="1"/>
    <s v="George Rodriguez"/>
    <s v="george.rodriguez668@gmail.com"/>
    <x v="3"/>
    <x v="3"/>
    <n v="37.950000000000003"/>
    <n v="37.950000000000003"/>
    <x v="1"/>
    <x v="1"/>
    <x v="27"/>
  </r>
  <r>
    <s v="SALE-336-2023"/>
    <x v="307"/>
    <s v="CUST-1454"/>
    <s v="BK-499178"/>
    <n v="1"/>
    <s v="Anthony Johnson"/>
    <s v="anthony.johnson436@gmail.com"/>
    <x v="1"/>
    <x v="4"/>
    <n v="14.25"/>
    <n v="14.25"/>
    <x v="1"/>
    <x v="0"/>
    <x v="65"/>
  </r>
  <r>
    <s v="SALE-353-2023"/>
    <x v="308"/>
    <s v="CUST-1946"/>
    <s v="BK-410038"/>
    <n v="1"/>
    <s v="John Garcia"/>
    <s v="john.garcia928@hotmail.com"/>
    <x v="11"/>
    <x v="4"/>
    <n v="26.32"/>
    <n v="26.32"/>
    <x v="0"/>
    <x v="3"/>
    <x v="79"/>
  </r>
  <r>
    <s v="SALE-370-2023"/>
    <x v="309"/>
    <s v="CUST-1673"/>
    <s v="BK-735104"/>
    <n v="1"/>
    <s v="George Brown"/>
    <s v="george.brown655@gmail.com"/>
    <x v="8"/>
    <x v="1"/>
    <n v="38.1"/>
    <n v="38.1"/>
    <x v="1"/>
    <x v="0"/>
    <x v="76"/>
  </r>
  <r>
    <s v="SALE-387-2023"/>
    <x v="310"/>
    <s v="CUST-1236"/>
    <s v="BK-279571"/>
    <n v="1"/>
    <s v="Amelia Adams"/>
    <s v="amelia.adams218@outlook.com"/>
    <x v="6"/>
    <x v="1"/>
    <n v="36.979999999999997"/>
    <n v="36.979999999999997"/>
    <x v="0"/>
    <x v="0"/>
    <x v="50"/>
  </r>
  <r>
    <s v="SALE-404-2023"/>
    <x v="311"/>
    <s v="CUST-1943"/>
    <s v="BK-298672"/>
    <n v="1"/>
    <s v="Mark Baker"/>
    <s v="mark.baker925@yahoo.com"/>
    <x v="25"/>
    <x v="2"/>
    <n v="27.05"/>
    <n v="27.05"/>
    <x v="1"/>
    <x v="2"/>
    <x v="73"/>
  </r>
  <r>
    <s v="SALE-421-2023"/>
    <x v="312"/>
    <s v="CUST-1568"/>
    <s v="BK-158176"/>
    <n v="1"/>
    <s v="Charlotte Walker"/>
    <s v="charlotte.walker550@gmail.com"/>
    <x v="2"/>
    <x v="3"/>
    <n v="15.09"/>
    <n v="15.09"/>
    <x v="1"/>
    <x v="0"/>
    <x v="27"/>
  </r>
  <r>
    <s v="SALE-438-2023"/>
    <x v="313"/>
    <s v="CUST-1956"/>
    <s v="BK-101363"/>
    <n v="1"/>
    <s v="Mark Clark"/>
    <s v="mark.clark938@outlook.com"/>
    <x v="17"/>
    <x v="0"/>
    <n v="15.37"/>
    <n v="15.37"/>
    <x v="1"/>
    <x v="0"/>
    <x v="74"/>
  </r>
  <r>
    <s v="SALE-455-2023"/>
    <x v="314"/>
    <s v="CUST-1040"/>
    <s v="BK-813688"/>
    <n v="1"/>
    <s v="Ryan Baker"/>
    <s v="ryan.baker22@yahoo.com"/>
    <x v="1"/>
    <x v="2"/>
    <n v="11.13"/>
    <n v="11.13"/>
    <x v="0"/>
    <x v="0"/>
    <x v="81"/>
  </r>
  <r>
    <s v="SALE-472-2023"/>
    <x v="315"/>
    <s v="CUST-1109"/>
    <s v="BK-893285"/>
    <n v="1"/>
    <s v="Isabella Green"/>
    <s v="isabella.green91@hotmail.com"/>
    <x v="2"/>
    <x v="1"/>
    <n v="31.5"/>
    <n v="31.5"/>
    <x v="1"/>
    <x v="0"/>
    <x v="6"/>
  </r>
  <r>
    <s v="SALE-489-2023"/>
    <x v="316"/>
    <s v="CUST-1576"/>
    <s v="BK-784026"/>
    <n v="1"/>
    <s v="John Robinson"/>
    <s v="john.robinson558@hotmail.com"/>
    <x v="4"/>
    <x v="2"/>
    <n v="17.670000000000002"/>
    <n v="17.670000000000002"/>
    <x v="1"/>
    <x v="2"/>
    <x v="51"/>
  </r>
  <r>
    <s v="SALE-506-2023"/>
    <x v="317"/>
    <s v="CUST-1388"/>
    <s v="BK-890077"/>
    <n v="1"/>
    <s v="Sarah Adams"/>
    <s v="sarah.adams370@yahoo.com"/>
    <x v="2"/>
    <x v="0"/>
    <n v="20.78"/>
    <n v="20.78"/>
    <x v="1"/>
    <x v="1"/>
    <x v="39"/>
  </r>
  <r>
    <s v="SALE-523-2023"/>
    <x v="318"/>
    <s v="CUST-1433"/>
    <s v="BK-979707"/>
    <n v="1"/>
    <s v="Andrew Robinson"/>
    <s v="andrew.robinson415@gmail.com"/>
    <x v="2"/>
    <x v="1"/>
    <n v="23.82"/>
    <n v="23.82"/>
    <x v="0"/>
    <x v="2"/>
    <x v="85"/>
  </r>
  <r>
    <s v="SALE-540-2023"/>
    <x v="319"/>
    <s v="CUST-1217"/>
    <s v="BK-641749"/>
    <n v="1"/>
    <s v="Kevin Walker"/>
    <s v="kevin.walker199@hotmail.com"/>
    <x v="2"/>
    <x v="0"/>
    <n v="16.93"/>
    <n v="16.93"/>
    <x v="0"/>
    <x v="0"/>
    <x v="25"/>
  </r>
  <r>
    <s v="SALE-557-2023"/>
    <x v="320"/>
    <s v="CUST-1376"/>
    <s v="BK-492806"/>
    <n v="1"/>
    <s v="Hannah Walker"/>
    <s v="hannah.walker358@yahoo.com"/>
    <x v="8"/>
    <x v="2"/>
    <n v="21.86"/>
    <n v="21.86"/>
    <x v="1"/>
    <x v="1"/>
    <x v="52"/>
  </r>
  <r>
    <s v="SALE-574-2023"/>
    <x v="321"/>
    <s v="CUST-1396"/>
    <s v="BK-289249"/>
    <n v="1"/>
    <s v="Hannah Allen"/>
    <s v="hannah.allen378@gmail.com"/>
    <x v="4"/>
    <x v="2"/>
    <n v="17.11"/>
    <n v="17.11"/>
    <x v="1"/>
    <x v="3"/>
    <x v="35"/>
  </r>
  <r>
    <s v="SALE-591-2023"/>
    <x v="322"/>
    <s v="CUST-1083"/>
    <s v="BK-324868"/>
    <n v="1"/>
    <s v="Robert Adams"/>
    <s v="robert.adams65@yahoo.com"/>
    <x v="3"/>
    <x v="4"/>
    <n v="16.04"/>
    <n v="16.04"/>
    <x v="1"/>
    <x v="2"/>
    <x v="46"/>
  </r>
  <r>
    <s v="SALE-608-2023"/>
    <x v="323"/>
    <s v="CUST-1411"/>
    <s v="BK-427420"/>
    <n v="1"/>
    <s v="Anna Johnson"/>
    <s v="anna.johnson393@yahoo.com"/>
    <x v="5"/>
    <x v="2"/>
    <n v="14.63"/>
    <n v="14.63"/>
    <x v="0"/>
    <x v="2"/>
    <x v="36"/>
  </r>
  <r>
    <s v="SALE-625-2023"/>
    <x v="324"/>
    <s v="CUST-1682"/>
    <s v="BK-189962"/>
    <n v="1"/>
    <s v="Mia Hall"/>
    <s v="mia.hall664@gmail.com"/>
    <x v="8"/>
    <x v="3"/>
    <n v="16.510000000000002"/>
    <n v="16.510000000000002"/>
    <x v="1"/>
    <x v="0"/>
    <x v="43"/>
  </r>
  <r>
    <s v="SALE-642-2023"/>
    <x v="325"/>
    <s v="CUST-1961"/>
    <s v="BK-284198"/>
    <n v="1"/>
    <s v="Edward Smith"/>
    <s v="edward.smith943@outlook.com"/>
    <x v="8"/>
    <x v="3"/>
    <n v="23.62"/>
    <n v="23.62"/>
    <x v="0"/>
    <x v="2"/>
    <x v="42"/>
  </r>
  <r>
    <s v="SALE-659-2023"/>
    <x v="326"/>
    <s v="CUST-1647"/>
    <s v="BK-245696"/>
    <n v="1"/>
    <s v="George Johnson"/>
    <s v="george.johnson629@yahoo.com"/>
    <x v="5"/>
    <x v="4"/>
    <n v="20.84"/>
    <n v="20.84"/>
    <x v="0"/>
    <x v="0"/>
    <x v="60"/>
  </r>
  <r>
    <s v="SALE-676-2023"/>
    <x v="327"/>
    <s v="CUST-1334"/>
    <s v="BK-458388"/>
    <n v="1"/>
    <s v="Steven Allen"/>
    <s v="steven.allen316@hotmail.com"/>
    <x v="2"/>
    <x v="0"/>
    <n v="25.8"/>
    <n v="25.8"/>
    <x v="0"/>
    <x v="2"/>
    <x v="66"/>
  </r>
  <r>
    <s v="SALE-693-2023"/>
    <x v="328"/>
    <s v="CUST-1947"/>
    <s v="BK-571791"/>
    <n v="1"/>
    <s v="Ella Green"/>
    <s v="ella.green929@hotmail.com"/>
    <x v="4"/>
    <x v="0"/>
    <n v="25.84"/>
    <n v="25.84"/>
    <x v="1"/>
    <x v="2"/>
    <x v="11"/>
  </r>
  <r>
    <s v="SALE-710-2023"/>
    <x v="329"/>
    <s v="CUST-1890"/>
    <s v="BK-292841"/>
    <n v="1"/>
    <s v="Thomas Hill"/>
    <s v="thomas.hill872@gmail.com"/>
    <x v="9"/>
    <x v="1"/>
    <n v="26.72"/>
    <n v="26.72"/>
    <x v="1"/>
    <x v="2"/>
    <x v="28"/>
  </r>
  <r>
    <s v="SALE-727-2023"/>
    <x v="330"/>
    <s v="CUST-1524"/>
    <s v="BK-502538"/>
    <n v="1"/>
    <s v="Laura Clark"/>
    <s v="laura.clark506@gmail.com"/>
    <x v="3"/>
    <x v="4"/>
    <n v="13.15"/>
    <n v="13.15"/>
    <x v="0"/>
    <x v="2"/>
    <x v="35"/>
  </r>
  <r>
    <s v="SALE-744-2023"/>
    <x v="331"/>
    <s v="CUST-1958"/>
    <s v="BK-449001"/>
    <n v="1"/>
    <s v="Ryan Lewis"/>
    <s v="ryan.lewis940@yahoo.com"/>
    <x v="5"/>
    <x v="3"/>
    <n v="10.95"/>
    <n v="10.95"/>
    <x v="0"/>
    <x v="0"/>
    <x v="32"/>
  </r>
  <r>
    <s v="SALE-761-2023"/>
    <x v="332"/>
    <s v="CUST-1743"/>
    <s v="BK-456366"/>
    <n v="1"/>
    <s v="William Baker"/>
    <s v="william.baker725@gmail.com"/>
    <x v="9"/>
    <x v="1"/>
    <n v="21.54"/>
    <n v="21.54"/>
    <x v="0"/>
    <x v="3"/>
    <x v="35"/>
  </r>
  <r>
    <s v="SALE-778-2023"/>
    <x v="333"/>
    <s v="CUST-1737"/>
    <s v="BK-202010"/>
    <n v="1"/>
    <s v="Mark Baker"/>
    <s v="mark.baker719@gmail.com"/>
    <x v="5"/>
    <x v="0"/>
    <n v="23.82"/>
    <n v="23.82"/>
    <x v="1"/>
    <x v="0"/>
    <x v="76"/>
  </r>
  <r>
    <s v="SALE-795-2023"/>
    <x v="334"/>
    <s v="CUST-1375"/>
    <s v="BK-463673"/>
    <n v="1"/>
    <s v="Hannah Martin"/>
    <s v="hannah.martin357@yahoo.com"/>
    <x v="5"/>
    <x v="2"/>
    <n v="35.119999999999997"/>
    <n v="35.119999999999997"/>
    <x v="0"/>
    <x v="0"/>
    <x v="25"/>
  </r>
  <r>
    <s v="SALE-812-2023"/>
    <x v="335"/>
    <s v="CUST-1251"/>
    <s v="BK-197704"/>
    <n v="1"/>
    <s v="Amelia Harris"/>
    <s v="amelia.harris233@outlook.com"/>
    <x v="5"/>
    <x v="4"/>
    <n v="15.7"/>
    <n v="15.7"/>
    <x v="1"/>
    <x v="1"/>
    <x v="51"/>
  </r>
  <r>
    <s v="SALE-829-2023"/>
    <x v="336"/>
    <s v="CUST-1140"/>
    <s v="BK-876279"/>
    <n v="1"/>
    <s v="Anna Anderson"/>
    <s v="anna.anderson122@yahoo.com"/>
    <x v="9"/>
    <x v="3"/>
    <n v="31.39"/>
    <n v="31.39"/>
    <x v="0"/>
    <x v="0"/>
    <x v="32"/>
  </r>
  <r>
    <s v="SALE-846-2023"/>
    <x v="1"/>
    <s v="CUST-1730"/>
    <s v="BK-566598"/>
    <n v="1"/>
    <s v="Steven Hill"/>
    <s v="steven.hill712@outlook.com"/>
    <x v="2"/>
    <x v="4"/>
    <n v="19.399999999999999"/>
    <n v="19.399999999999999"/>
    <x v="0"/>
    <x v="3"/>
    <x v="15"/>
  </r>
  <r>
    <s v="SALE-863-2023"/>
    <x v="337"/>
    <s v="CUST-1439"/>
    <s v="BK-965206"/>
    <n v="1"/>
    <s v="Laura Lewis"/>
    <s v="laura.lewis421@yahoo.com"/>
    <x v="8"/>
    <x v="2"/>
    <n v="28.2"/>
    <n v="28.2"/>
    <x v="0"/>
    <x v="0"/>
    <x v="87"/>
  </r>
  <r>
    <s v="SALE-880-2023"/>
    <x v="338"/>
    <s v="CUST-1842"/>
    <s v="BK-156728"/>
    <n v="1"/>
    <s v="Sophia Harris"/>
    <s v="sophia.harris824@yahoo.com"/>
    <x v="9"/>
    <x v="0"/>
    <n v="21.73"/>
    <n v="21.73"/>
    <x v="1"/>
    <x v="0"/>
    <x v="55"/>
  </r>
  <r>
    <s v="SALE-897-2023"/>
    <x v="339"/>
    <s v="CUST-1171"/>
    <s v="BK-711717"/>
    <n v="1"/>
    <s v="John Lopez"/>
    <s v="john.lopez153@gmail.com"/>
    <x v="4"/>
    <x v="0"/>
    <n v="31.98"/>
    <n v="31.98"/>
    <x v="1"/>
    <x v="3"/>
    <x v="76"/>
  </r>
  <r>
    <s v="SALE-914-2023"/>
    <x v="340"/>
    <s v="CUST-1694"/>
    <s v="BK-592172"/>
    <n v="1"/>
    <s v="Mia Garcia"/>
    <s v="mia.garcia676@outlook.com"/>
    <x v="2"/>
    <x v="2"/>
    <n v="12.18"/>
    <n v="12.18"/>
    <x v="0"/>
    <x v="0"/>
    <x v="88"/>
  </r>
  <r>
    <s v="SALE-931-2023"/>
    <x v="341"/>
    <s v="CUST-1490"/>
    <s v="BK-408291"/>
    <n v="1"/>
    <s v="Joshua Baker"/>
    <s v="joshua.baker472@yahoo.com"/>
    <x v="1"/>
    <x v="1"/>
    <n v="17.66"/>
    <n v="17.66"/>
    <x v="0"/>
    <x v="0"/>
    <x v="39"/>
  </r>
  <r>
    <s v="SALE-948-2023"/>
    <x v="342"/>
    <s v="CUST-1209"/>
    <s v="BK-567063"/>
    <n v="1"/>
    <s v="Sophia Smith"/>
    <s v="sophia.smith191@yahoo.com"/>
    <x v="6"/>
    <x v="4"/>
    <n v="38.200000000000003"/>
    <n v="38.200000000000003"/>
    <x v="0"/>
    <x v="2"/>
    <x v="23"/>
  </r>
  <r>
    <s v="SALE-965-2023"/>
    <x v="343"/>
    <s v="CUST-1206"/>
    <s v="BK-291503"/>
    <n v="1"/>
    <s v="Jessica Clark"/>
    <s v="jessica.clark188@gmail.com"/>
    <x v="5"/>
    <x v="1"/>
    <n v="27.37"/>
    <n v="27.37"/>
    <x v="1"/>
    <x v="0"/>
    <x v="9"/>
  </r>
  <r>
    <s v="SALE-006-2023"/>
    <x v="344"/>
    <s v="CUST-1166"/>
    <s v="BK-388467"/>
    <n v="5"/>
    <s v="Lily Scott"/>
    <s v="lily.scott148@gmail.com"/>
    <x v="1"/>
    <x v="3"/>
    <n v="25.51"/>
    <n v="127.55000000000001"/>
    <x v="0"/>
    <x v="1"/>
    <x v="53"/>
  </r>
  <r>
    <s v="SALE-022-2023"/>
    <x v="345"/>
    <s v="CUST-1606"/>
    <s v="BK-318101"/>
    <n v="4"/>
    <s v="Emma Anderson"/>
    <s v="emma.anderson588@yahoo.com"/>
    <x v="8"/>
    <x v="0"/>
    <n v="20.66"/>
    <n v="82.64"/>
    <x v="0"/>
    <x v="3"/>
    <x v="70"/>
  </r>
  <r>
    <s v="SALE-039-2023"/>
    <x v="346"/>
    <s v="CUST-1996"/>
    <s v="BK-134922"/>
    <n v="1"/>
    <s v="Steven Adams"/>
    <s v="steven.adams978@yahoo.com"/>
    <x v="8"/>
    <x v="3"/>
    <n v="13.19"/>
    <n v="13.19"/>
    <x v="1"/>
    <x v="2"/>
    <x v="43"/>
  </r>
  <r>
    <s v="SALE-056-2023"/>
    <x v="347"/>
    <s v="CUST-1268"/>
    <s v="BK-277693"/>
    <n v="4"/>
    <s v="Anna Jackson"/>
    <s v="anna.jackson250@outlook.com"/>
    <x v="8"/>
    <x v="4"/>
    <n v="18.149999999999999"/>
    <n v="72.599999999999994"/>
    <x v="1"/>
    <x v="3"/>
    <x v="63"/>
  </r>
  <r>
    <s v="SALE-073-2023"/>
    <x v="348"/>
    <s v="CUST-1651"/>
    <s v="BK-409785"/>
    <n v="1"/>
    <s v="Lily Scott"/>
    <s v="lily.scott633@hotmail.com"/>
    <x v="8"/>
    <x v="4"/>
    <n v="33.33"/>
    <n v="33.33"/>
    <x v="0"/>
    <x v="0"/>
    <x v="41"/>
  </r>
  <r>
    <s v="SALE-090-2023"/>
    <x v="349"/>
    <s v="CUST-1582"/>
    <s v="BK-872085"/>
    <n v="4"/>
    <s v="Olivia Baker"/>
    <s v="olivia.baker564@gmail.com"/>
    <x v="5"/>
    <x v="2"/>
    <n v="37.15"/>
    <n v="148.6"/>
    <x v="0"/>
    <x v="2"/>
    <x v="62"/>
  </r>
  <r>
    <s v="SALE-107-2023"/>
    <x v="350"/>
    <s v="CUST-1668"/>
    <s v="BK-533845"/>
    <n v="4"/>
    <s v="Sarah Baker"/>
    <s v="sarah.baker650@yahoo.com"/>
    <x v="6"/>
    <x v="4"/>
    <n v="37.950000000000003"/>
    <n v="151.80000000000001"/>
    <x v="1"/>
    <x v="1"/>
    <x v="48"/>
  </r>
  <r>
    <s v="SALE-124-2023"/>
    <x v="351"/>
    <s v="CUST-1807"/>
    <s v="BK-284040"/>
    <n v="4"/>
    <s v="Daniel Martin"/>
    <s v="daniel.martin789@gmail.com"/>
    <x v="5"/>
    <x v="4"/>
    <n v="19.79"/>
    <n v="79.16"/>
    <x v="1"/>
    <x v="2"/>
    <x v="70"/>
  </r>
  <r>
    <s v="SALE-141-2023"/>
    <x v="352"/>
    <s v="CUST-1414"/>
    <s v="BK-790904"/>
    <n v="4"/>
    <s v="Emma Clark"/>
    <s v="emma.clark396@yahoo.com"/>
    <x v="4"/>
    <x v="0"/>
    <n v="29.58"/>
    <n v="118.32"/>
    <x v="0"/>
    <x v="0"/>
    <x v="24"/>
  </r>
  <r>
    <s v="SALE-158-2023"/>
    <x v="353"/>
    <s v="CUST-1160"/>
    <s v="BK-374220"/>
    <n v="4"/>
    <s v="Edward Baker"/>
    <s v="edward.baker142@gmail.com"/>
    <x v="8"/>
    <x v="3"/>
    <n v="31.06"/>
    <n v="124.24"/>
    <x v="1"/>
    <x v="2"/>
    <x v="20"/>
  </r>
  <r>
    <s v="SALE-175-2023"/>
    <x v="354"/>
    <s v="CUST-1593"/>
    <s v="BK-135632"/>
    <n v="4"/>
    <s v="Jessica White"/>
    <s v="jessica.white575@yahoo.com"/>
    <x v="5"/>
    <x v="4"/>
    <n v="14.98"/>
    <n v="59.92"/>
    <x v="1"/>
    <x v="2"/>
    <x v="38"/>
  </r>
  <r>
    <s v="SALE-192-2023"/>
    <x v="355"/>
    <s v="CUST-1204"/>
    <s v="BK-368099"/>
    <n v="4"/>
    <s v="Brian Thompson"/>
    <s v="brian.thompson186@hotmail.com"/>
    <x v="5"/>
    <x v="4"/>
    <n v="27.12"/>
    <n v="108.48"/>
    <x v="1"/>
    <x v="2"/>
    <x v="82"/>
  </r>
  <r>
    <s v="SALE-209-2023"/>
    <x v="356"/>
    <s v="CUST-1847"/>
    <s v="BK-432046"/>
    <n v="4"/>
    <s v="Sophia Clark"/>
    <s v="sophia.clark829@outlook.com"/>
    <x v="30"/>
    <x v="2"/>
    <n v="34.270000000000003"/>
    <n v="137.08000000000001"/>
    <x v="0"/>
    <x v="0"/>
    <x v="72"/>
  </r>
  <r>
    <s v="SALE-226-2023"/>
    <x v="357"/>
    <s v="CUST-1909"/>
    <s v="BK-253009"/>
    <n v="4"/>
    <s v="Mark Jackson"/>
    <s v="mark.jackson891@hotmail.com"/>
    <x v="13"/>
    <x v="4"/>
    <n v="35.520000000000003"/>
    <n v="142.08000000000001"/>
    <x v="0"/>
    <x v="2"/>
    <x v="75"/>
  </r>
  <r>
    <s v="SALE-243-2023"/>
    <x v="358"/>
    <s v="CUST-1866"/>
    <s v="BK-443936"/>
    <n v="4"/>
    <s v="Robert Lopez"/>
    <s v="robert.lopez848@gmail.com"/>
    <x v="8"/>
    <x v="4"/>
    <n v="23.33"/>
    <n v="93.32"/>
    <x v="0"/>
    <x v="2"/>
    <x v="10"/>
  </r>
  <r>
    <s v="SALE-260-2023"/>
    <x v="359"/>
    <s v="CUST-1241"/>
    <s v="BK-656548"/>
    <n v="4"/>
    <s v="James Brown"/>
    <s v="james.brown223@hotmail.com"/>
    <x v="8"/>
    <x v="4"/>
    <n v="11.94"/>
    <n v="47.76"/>
    <x v="0"/>
    <x v="2"/>
    <x v="80"/>
  </r>
  <r>
    <s v="SALE-277-2023"/>
    <x v="360"/>
    <s v="CUST-1741"/>
    <s v="BK-622552"/>
    <n v="4"/>
    <s v="George Thompson"/>
    <s v="george.thompson723@outlook.com"/>
    <x v="8"/>
    <x v="2"/>
    <n v="16.440000000000001"/>
    <n v="65.760000000000005"/>
    <x v="0"/>
    <x v="0"/>
    <x v="61"/>
  </r>
  <r>
    <s v="SALE-294-2023"/>
    <x v="361"/>
    <s v="CUST-1104"/>
    <s v="BK-200204"/>
    <n v="4"/>
    <s v="Andrew Smith"/>
    <s v="andrew.smith86@hotmail.com"/>
    <x v="9"/>
    <x v="4"/>
    <n v="21.75"/>
    <n v="87"/>
    <x v="1"/>
    <x v="2"/>
    <x v="20"/>
  </r>
  <r>
    <s v="SALE-311-2023"/>
    <x v="362"/>
    <s v="CUST-1930"/>
    <s v="BK-379950"/>
    <n v="4"/>
    <s v="Ella White"/>
    <s v="ella.white912@hotmail.com"/>
    <x v="8"/>
    <x v="3"/>
    <n v="21.97"/>
    <n v="87.88"/>
    <x v="0"/>
    <x v="1"/>
    <x v="18"/>
  </r>
  <r>
    <s v="SALE-328-2023"/>
    <x v="363"/>
    <s v="CUST-1896"/>
    <s v="BK-897231"/>
    <n v="4"/>
    <s v="David Hill"/>
    <s v="david.hill878@yahoo.com"/>
    <x v="9"/>
    <x v="4"/>
    <n v="20.72"/>
    <n v="82.88"/>
    <x v="0"/>
    <x v="1"/>
    <x v="62"/>
  </r>
  <r>
    <s v="SALE-345-2023"/>
    <x v="364"/>
    <s v="CUST-1165"/>
    <s v="BK-599134"/>
    <n v="4"/>
    <s v="Emily Garcia"/>
    <s v="emily.garcia147@yahoo.com"/>
    <x v="8"/>
    <x v="0"/>
    <n v="22.05"/>
    <n v="88.2"/>
    <x v="0"/>
    <x v="0"/>
    <x v="80"/>
  </r>
  <r>
    <s v="SALE-362-2023"/>
    <x v="365"/>
    <s v="CUST-1751"/>
    <s v="BK-275986"/>
    <n v="4"/>
    <s v="James Scott"/>
    <s v="james.scott733@hotmail.com"/>
    <x v="1"/>
    <x v="1"/>
    <n v="28.28"/>
    <n v="113.12"/>
    <x v="1"/>
    <x v="2"/>
    <x v="64"/>
  </r>
  <r>
    <s v="SALE-379-2023"/>
    <x v="366"/>
    <s v="CUST-1931"/>
    <s v="BK-433498"/>
    <n v="4"/>
    <s v="Amelia Wright"/>
    <s v="amelia.wright913@yahoo.com"/>
    <x v="5"/>
    <x v="0"/>
    <n v="20.14"/>
    <n v="80.56"/>
    <x v="0"/>
    <x v="2"/>
    <x v="0"/>
  </r>
  <r>
    <s v="SALE-396-2023"/>
    <x v="367"/>
    <s v="CUST-1486"/>
    <s v="BK-118093"/>
    <n v="4"/>
    <s v="Jessica Hall"/>
    <s v="jessica.hall468@hotmail.com"/>
    <x v="4"/>
    <x v="4"/>
    <n v="20.58"/>
    <n v="82.32"/>
    <x v="0"/>
    <x v="3"/>
    <x v="41"/>
  </r>
  <r>
    <s v="SALE-413-2023"/>
    <x v="368"/>
    <s v="CUST-1367"/>
    <s v="BK-628645"/>
    <n v="4"/>
    <s v="Jessica Robinson"/>
    <s v="jessica.robinson349@hotmail.com"/>
    <x v="8"/>
    <x v="4"/>
    <n v="31.12"/>
    <n v="124.48"/>
    <x v="0"/>
    <x v="0"/>
    <x v="40"/>
  </r>
  <r>
    <s v="SALE-430-2023"/>
    <x v="369"/>
    <s v="CUST-1119"/>
    <s v="BK-833090"/>
    <n v="4"/>
    <s v="Lucy Lopez"/>
    <s v="lucy.lopez101@yahoo.com"/>
    <x v="3"/>
    <x v="4"/>
    <n v="33.85"/>
    <n v="135.4"/>
    <x v="1"/>
    <x v="2"/>
    <x v="2"/>
  </r>
  <r>
    <s v="SALE-447-2023"/>
    <x v="370"/>
    <s v="CUST-1533"/>
    <s v="BK-590651"/>
    <n v="4"/>
    <s v="Emily Jackson"/>
    <s v="emily.jackson515@hotmail.com"/>
    <x v="6"/>
    <x v="2"/>
    <n v="26.48"/>
    <n v="105.92"/>
    <x v="0"/>
    <x v="1"/>
    <x v="26"/>
  </r>
  <r>
    <s v="SALE-464-2023"/>
    <x v="371"/>
    <s v="CUST-1831"/>
    <s v="BK-351312"/>
    <n v="4"/>
    <s v="Ryan Anderson"/>
    <s v="ryan.anderson813@yahoo.com"/>
    <x v="8"/>
    <x v="0"/>
    <n v="12.16"/>
    <n v="48.64"/>
    <x v="1"/>
    <x v="0"/>
    <x v="30"/>
  </r>
  <r>
    <s v="SALE-481-2023"/>
    <x v="372"/>
    <s v="CUST-1965"/>
    <s v="BK-850091"/>
    <n v="4"/>
    <s v="Chloe Lewis"/>
    <s v="chloe.lewis947@hotmail.com"/>
    <x v="4"/>
    <x v="4"/>
    <n v="21.58"/>
    <n v="86.32"/>
    <x v="0"/>
    <x v="1"/>
    <x v="34"/>
  </r>
  <r>
    <s v="SALE-498-2023"/>
    <x v="373"/>
    <s v="CUST-1966"/>
    <s v="BK-182869"/>
    <n v="4"/>
    <s v="Daniel Scott"/>
    <s v="daniel.scott948@gmail.com"/>
    <x v="19"/>
    <x v="4"/>
    <n v="15.08"/>
    <n v="60.32"/>
    <x v="1"/>
    <x v="2"/>
    <x v="60"/>
  </r>
  <r>
    <s v="SALE-515-2023"/>
    <x v="374"/>
    <s v="CUST-1641"/>
    <s v="BK-184726"/>
    <n v="4"/>
    <s v="Daniel Allen"/>
    <s v="daniel.allen623@gmail.com"/>
    <x v="6"/>
    <x v="2"/>
    <n v="16.41"/>
    <n v="65.64"/>
    <x v="1"/>
    <x v="1"/>
    <x v="38"/>
  </r>
  <r>
    <s v="SALE-532-2023"/>
    <x v="375"/>
    <s v="CUST-1510"/>
    <s v="BK-902351"/>
    <n v="4"/>
    <s v="Steven Robinson"/>
    <s v="steven.robinson492@outlook.com"/>
    <x v="5"/>
    <x v="1"/>
    <n v="24.98"/>
    <n v="99.92"/>
    <x v="0"/>
    <x v="0"/>
    <x v="29"/>
  </r>
  <r>
    <s v="SALE-549-2023"/>
    <x v="376"/>
    <s v="CUST-1955"/>
    <s v="BK-659609"/>
    <n v="4"/>
    <s v="James Clark"/>
    <s v="james.clark937@gmail.com"/>
    <x v="31"/>
    <x v="4"/>
    <n v="26.42"/>
    <n v="105.68"/>
    <x v="0"/>
    <x v="2"/>
    <x v="32"/>
  </r>
  <r>
    <s v="SALE-566-2023"/>
    <x v="377"/>
    <s v="CUST-1283"/>
    <s v="BK-230181"/>
    <n v="4"/>
    <s v="Peter Smith"/>
    <s v="peter.smith265@outlook.com"/>
    <x v="1"/>
    <x v="0"/>
    <n v="16.3"/>
    <n v="65.2"/>
    <x v="0"/>
    <x v="1"/>
    <x v="2"/>
  </r>
  <r>
    <s v="SALE-583-2023"/>
    <x v="378"/>
    <s v="CUST-1878"/>
    <s v="BK-325115"/>
    <n v="4"/>
    <s v="Lucy Scott"/>
    <s v="lucy.scott860@outlook.com"/>
    <x v="8"/>
    <x v="1"/>
    <n v="13.41"/>
    <n v="53.64"/>
    <x v="1"/>
    <x v="3"/>
    <x v="61"/>
  </r>
  <r>
    <s v="SALE-600-2023"/>
    <x v="379"/>
    <s v="CUST-1992"/>
    <s v="BK-237792"/>
    <n v="4"/>
    <s v="Amelia King"/>
    <s v="amelia.king974@yahoo.com"/>
    <x v="1"/>
    <x v="4"/>
    <n v="27.78"/>
    <n v="111.12"/>
    <x v="0"/>
    <x v="1"/>
    <x v="18"/>
  </r>
  <r>
    <s v="SALE-617-2023"/>
    <x v="380"/>
    <s v="CUST-1918"/>
    <s v="BK-417538"/>
    <n v="4"/>
    <s v="Peter Allen"/>
    <s v="peter.allen900@gmail.com"/>
    <x v="9"/>
    <x v="0"/>
    <n v="25.55"/>
    <n v="102.2"/>
    <x v="1"/>
    <x v="1"/>
    <x v="37"/>
  </r>
  <r>
    <s v="SALE-634-2023"/>
    <x v="381"/>
    <s v="CUST-1855"/>
    <s v="BK-647605"/>
    <n v="4"/>
    <s v="John White"/>
    <s v="john.white837@yahoo.com"/>
    <x v="17"/>
    <x v="2"/>
    <n v="27.61"/>
    <n v="110.44"/>
    <x v="0"/>
    <x v="0"/>
    <x v="40"/>
  </r>
  <r>
    <s v="SALE-651-2023"/>
    <x v="382"/>
    <s v="CUST-1468"/>
    <s v="BK-877647"/>
    <n v="4"/>
    <s v="Ava Taylor"/>
    <s v="ava.taylor450@yahoo.com"/>
    <x v="4"/>
    <x v="3"/>
    <n v="37.049999999999997"/>
    <n v="148.19999999999999"/>
    <x v="0"/>
    <x v="0"/>
    <x v="15"/>
  </r>
  <r>
    <s v="SALE-668-2023"/>
    <x v="383"/>
    <s v="CUST-1867"/>
    <s v="BK-617382"/>
    <n v="4"/>
    <s v="Hannah Young"/>
    <s v="hannah.young849@yahoo.com"/>
    <x v="5"/>
    <x v="2"/>
    <n v="31.47"/>
    <n v="125.88"/>
    <x v="0"/>
    <x v="1"/>
    <x v="29"/>
  </r>
  <r>
    <s v="SALE-685-2023"/>
    <x v="384"/>
    <s v="CUST-1360"/>
    <s v="BK-371159"/>
    <n v="4"/>
    <s v="Daniel Lopez"/>
    <s v="daniel.lopez342@yahoo.com"/>
    <x v="4"/>
    <x v="1"/>
    <n v="29.14"/>
    <n v="116.56"/>
    <x v="0"/>
    <x v="1"/>
    <x v="11"/>
  </r>
  <r>
    <s v="SALE-702-2023"/>
    <x v="385"/>
    <s v="CUST-1536"/>
    <s v="BK-192545"/>
    <n v="4"/>
    <s v="Joshua Harris"/>
    <s v="joshua.harris518@outlook.com"/>
    <x v="9"/>
    <x v="0"/>
    <n v="37.74"/>
    <n v="150.96"/>
    <x v="0"/>
    <x v="0"/>
    <x v="19"/>
  </r>
  <r>
    <s v="SALE-719-2023"/>
    <x v="386"/>
    <s v="CUST-1450"/>
    <s v="BK-651706"/>
    <n v="4"/>
    <s v="Amelia Harris"/>
    <s v="amelia.harris432@yahoo.com"/>
    <x v="4"/>
    <x v="2"/>
    <n v="31.1"/>
    <n v="124.4"/>
    <x v="0"/>
    <x v="0"/>
    <x v="60"/>
  </r>
  <r>
    <s v="SALE-736-2023"/>
    <x v="387"/>
    <s v="CUST-1782"/>
    <s v="BK-431658"/>
    <n v="4"/>
    <s v="Grace Rodriguez"/>
    <s v="grace.rodriguez764@outlook.com"/>
    <x v="32"/>
    <x v="3"/>
    <n v="33.17"/>
    <n v="132.68"/>
    <x v="0"/>
    <x v="2"/>
    <x v="59"/>
  </r>
  <r>
    <s v="SALE-753-2023"/>
    <x v="388"/>
    <s v="CUST-1337"/>
    <s v="BK-795035"/>
    <n v="4"/>
    <s v="Ryan Johnson"/>
    <s v="ryan.johnson319@yahoo.com"/>
    <x v="1"/>
    <x v="0"/>
    <n v="33.31"/>
    <n v="133.24"/>
    <x v="0"/>
    <x v="0"/>
    <x v="63"/>
  </r>
  <r>
    <s v="SALE-770-2023"/>
    <x v="389"/>
    <s v="CUST-1986"/>
    <s v="BK-802706"/>
    <n v="4"/>
    <s v="Lucy Scott"/>
    <s v="lucy.scott968@hotmail.com"/>
    <x v="33"/>
    <x v="3"/>
    <n v="20.18"/>
    <n v="80.72"/>
    <x v="0"/>
    <x v="2"/>
    <x v="10"/>
  </r>
  <r>
    <s v="SALE-787-2023"/>
    <x v="390"/>
    <s v="CUST-1803"/>
    <s v="BK-302103"/>
    <n v="4"/>
    <s v="Ryan Harris"/>
    <s v="ryan.harris785@yahoo.com"/>
    <x v="3"/>
    <x v="1"/>
    <n v="27.69"/>
    <n v="110.76"/>
    <x v="1"/>
    <x v="0"/>
    <x v="59"/>
  </r>
  <r>
    <s v="SALE-804-2023"/>
    <x v="391"/>
    <s v="CUST-1480"/>
    <s v="BK-647405"/>
    <n v="4"/>
    <s v="Edward Johnson"/>
    <s v="edward.johnson462@yahoo.com"/>
    <x v="8"/>
    <x v="2"/>
    <n v="10.73"/>
    <n v="42.92"/>
    <x v="0"/>
    <x v="1"/>
    <x v="80"/>
  </r>
  <r>
    <s v="SALE-821-2023"/>
    <x v="392"/>
    <s v="CUST-1483"/>
    <s v="BK-925125"/>
    <n v="4"/>
    <s v="Paul Lopez"/>
    <s v="paul.lopez465@hotmail.com"/>
    <x v="5"/>
    <x v="0"/>
    <n v="19.71"/>
    <n v="78.84"/>
    <x v="1"/>
    <x v="0"/>
    <x v="15"/>
  </r>
  <r>
    <s v="SALE-838-2023"/>
    <x v="393"/>
    <s v="CUST-1382"/>
    <s v="BK-819124"/>
    <n v="4"/>
    <s v="Charlotte Harris"/>
    <s v="charlotte.harris364@outlook.com"/>
    <x v="1"/>
    <x v="1"/>
    <n v="36.89"/>
    <n v="147.56"/>
    <x v="0"/>
    <x v="0"/>
    <x v="14"/>
  </r>
  <r>
    <s v="SALE-855-2023"/>
    <x v="394"/>
    <s v="CUST-1387"/>
    <s v="BK-644825"/>
    <n v="4"/>
    <s v="Paul Hill"/>
    <s v="paul.hill369@hotmail.com"/>
    <x v="4"/>
    <x v="3"/>
    <n v="17.18"/>
    <n v="68.72"/>
    <x v="0"/>
    <x v="3"/>
    <x v="47"/>
  </r>
  <r>
    <s v="SALE-872-2023"/>
    <x v="395"/>
    <s v="CUST-1556"/>
    <s v="BK-859151"/>
    <n v="4"/>
    <s v="Edward Lee"/>
    <s v="edward.lee538@yahoo.com"/>
    <x v="8"/>
    <x v="4"/>
    <n v="31.87"/>
    <n v="127.48"/>
    <x v="0"/>
    <x v="0"/>
    <x v="53"/>
  </r>
  <r>
    <s v="SALE-889-2023"/>
    <x v="396"/>
    <s v="CUST-1356"/>
    <s v="BK-691176"/>
    <n v="4"/>
    <s v="Mark Young"/>
    <s v="mark.young338@yahoo.com"/>
    <x v="9"/>
    <x v="1"/>
    <n v="14.81"/>
    <n v="59.24"/>
    <x v="1"/>
    <x v="2"/>
    <x v="45"/>
  </r>
  <r>
    <s v="SALE-906-2023"/>
    <x v="397"/>
    <s v="CUST-1636"/>
    <s v="BK-986428"/>
    <n v="4"/>
    <s v="William Scott"/>
    <s v="william.scott618@hotmail.com"/>
    <x v="5"/>
    <x v="3"/>
    <n v="10.029999999999999"/>
    <n v="40.119999999999997"/>
    <x v="0"/>
    <x v="0"/>
    <x v="34"/>
  </r>
  <r>
    <s v="SALE-923-2023"/>
    <x v="398"/>
    <s v="CUST-1698"/>
    <s v="BK-188566"/>
    <n v="4"/>
    <s v="Charlotte Taylor"/>
    <s v="charlotte.taylor680@hotmail.com"/>
    <x v="9"/>
    <x v="4"/>
    <n v="23.27"/>
    <n v="93.08"/>
    <x v="1"/>
    <x v="1"/>
    <x v="8"/>
  </r>
  <r>
    <s v="SALE-940-2023"/>
    <x v="399"/>
    <s v="CUST-1893"/>
    <s v="BK-245790"/>
    <n v="4"/>
    <s v="Sarah Lopez"/>
    <s v="sarah.lopez875@gmail.com"/>
    <x v="13"/>
    <x v="2"/>
    <n v="39.409999999999997"/>
    <n v="157.63999999999999"/>
    <x v="0"/>
    <x v="0"/>
    <x v="39"/>
  </r>
  <r>
    <s v="SALE-957-2023"/>
    <x v="400"/>
    <s v="CUST-1826"/>
    <s v="BK-179147"/>
    <n v="4"/>
    <s v="Hannah Garcia"/>
    <s v="hannah.garcia808@outlook.com"/>
    <x v="8"/>
    <x v="0"/>
    <n v="20.420000000000002"/>
    <n v="81.680000000000007"/>
    <x v="1"/>
    <x v="1"/>
    <x v="17"/>
  </r>
  <r>
    <s v="SALE-974-2023"/>
    <x v="401"/>
    <s v="CUST-1985"/>
    <s v="BK-841054"/>
    <n v="4"/>
    <s v="Edward Lopez"/>
    <s v="edward.lopez967@hotmail.com"/>
    <x v="31"/>
    <x v="0"/>
    <n v="39.94"/>
    <n v="159.76"/>
    <x v="0"/>
    <x v="0"/>
    <x v="86"/>
  </r>
  <r>
    <s v="SALE-011-2023"/>
    <x v="402"/>
    <s v="CUST-1897"/>
    <s v="BK-346564"/>
    <n v="3"/>
    <s v="John Martinez"/>
    <s v="john.martinez879@gmail.com"/>
    <x v="13"/>
    <x v="4"/>
    <n v="26.88"/>
    <n v="80.64"/>
    <x v="0"/>
    <x v="3"/>
    <x v="31"/>
  </r>
  <r>
    <s v="SALE-028-2023"/>
    <x v="403"/>
    <s v="CUST-1222"/>
    <s v="BK-256033"/>
    <n v="2"/>
    <s v="Paul King"/>
    <s v="paul.king204@gmail.com"/>
    <x v="5"/>
    <x v="3"/>
    <n v="15.4"/>
    <n v="30.8"/>
    <x v="0"/>
    <x v="0"/>
    <x v="26"/>
  </r>
  <r>
    <s v="SALE-045-2023"/>
    <x v="404"/>
    <s v="CUST-1319"/>
    <s v="BK-489778"/>
    <n v="2"/>
    <s v="David Walker"/>
    <s v="david.walker301@hotmail.com"/>
    <x v="1"/>
    <x v="2"/>
    <n v="21.62"/>
    <n v="43.24"/>
    <x v="0"/>
    <x v="2"/>
    <x v="35"/>
  </r>
  <r>
    <s v="SALE-062-2023"/>
    <x v="405"/>
    <s v="CUST-1664"/>
    <s v="BK-611772"/>
    <n v="2"/>
    <s v="Joshua Walker"/>
    <s v="joshua.walker646@yahoo.com"/>
    <x v="8"/>
    <x v="3"/>
    <n v="39.39"/>
    <n v="78.78"/>
    <x v="0"/>
    <x v="2"/>
    <x v="81"/>
  </r>
  <r>
    <s v="SALE-079-2023"/>
    <x v="406"/>
    <s v="CUST-1105"/>
    <s v="BK-808198"/>
    <n v="3"/>
    <s v="Amelia Johnson"/>
    <s v="amelia.johnson87@gmail.com"/>
    <x v="5"/>
    <x v="2"/>
    <n v="14.44"/>
    <n v="43.32"/>
    <x v="0"/>
    <x v="0"/>
    <x v="55"/>
  </r>
  <r>
    <s v="SALE-096-2023"/>
    <x v="407"/>
    <s v="CUST-1843"/>
    <s v="BK-460714"/>
    <n v="3"/>
    <s v="Grace Baker"/>
    <s v="grace.baker825@outlook.com"/>
    <x v="13"/>
    <x v="0"/>
    <n v="32.26"/>
    <n v="96.78"/>
    <x v="0"/>
    <x v="0"/>
    <x v="30"/>
  </r>
  <r>
    <s v="SALE-113-2023"/>
    <x v="408"/>
    <s v="CUST-1400"/>
    <s v="BK-846312"/>
    <n v="3"/>
    <s v="Ryan Rodriguez"/>
    <s v="ryan.rodriguez382@outlook.com"/>
    <x v="1"/>
    <x v="3"/>
    <n v="38"/>
    <n v="114"/>
    <x v="0"/>
    <x v="3"/>
    <x v="24"/>
  </r>
  <r>
    <s v="SALE-130-2023"/>
    <x v="409"/>
    <s v="CUST-1168"/>
    <s v="BK-550078"/>
    <n v="3"/>
    <s v="Olivia Robinson"/>
    <s v="olivia.robinson150@gmail.com"/>
    <x v="5"/>
    <x v="2"/>
    <n v="26.32"/>
    <n v="78.960000000000008"/>
    <x v="1"/>
    <x v="2"/>
    <x v="2"/>
  </r>
  <r>
    <s v="SALE-147-2023"/>
    <x v="410"/>
    <s v="CUST-1771"/>
    <s v="BK-674159"/>
    <n v="3"/>
    <s v="Anna Harris"/>
    <s v="anna.harris753@hotmail.com"/>
    <x v="5"/>
    <x v="0"/>
    <n v="29.15"/>
    <n v="87.449999999999989"/>
    <x v="1"/>
    <x v="2"/>
    <x v="24"/>
  </r>
  <r>
    <s v="SALE-164-2023"/>
    <x v="411"/>
    <s v="CUST-1237"/>
    <s v="BK-911827"/>
    <n v="3"/>
    <s v="Hannah Martin"/>
    <s v="hannah.martin219@gmail.com"/>
    <x v="8"/>
    <x v="2"/>
    <n v="11.96"/>
    <n v="35.880000000000003"/>
    <x v="1"/>
    <x v="0"/>
    <x v="44"/>
  </r>
  <r>
    <s v="SALE-181-2023"/>
    <x v="412"/>
    <s v="CUST-1945"/>
    <s v="BK-621651"/>
    <n v="3"/>
    <s v="Jessica Harris"/>
    <s v="jessica.harris927@outlook.com"/>
    <x v="5"/>
    <x v="0"/>
    <n v="20.62"/>
    <n v="61.86"/>
    <x v="1"/>
    <x v="0"/>
    <x v="38"/>
  </r>
  <r>
    <s v="SALE-198-2023"/>
    <x v="413"/>
    <s v="CUST-1725"/>
    <s v="BK-298011"/>
    <n v="3"/>
    <s v="Grace Clark"/>
    <s v="grace.clark707@outlook.com"/>
    <x v="9"/>
    <x v="4"/>
    <n v="19.48"/>
    <n v="58.44"/>
    <x v="1"/>
    <x v="0"/>
    <x v="40"/>
  </r>
  <r>
    <s v="SALE-215-2023"/>
    <x v="414"/>
    <s v="CUST-1162"/>
    <s v="BK-262187"/>
    <n v="3"/>
    <s v="Sarah Johnson"/>
    <s v="sarah.johnson144@outlook.com"/>
    <x v="4"/>
    <x v="3"/>
    <n v="31.6"/>
    <n v="94.800000000000011"/>
    <x v="0"/>
    <x v="2"/>
    <x v="14"/>
  </r>
  <r>
    <s v="SALE-232-2023"/>
    <x v="415"/>
    <s v="CUST-1096"/>
    <s v="BK-408670"/>
    <n v="3"/>
    <s v="Emma King"/>
    <s v="emma.king78@gmail.com"/>
    <x v="5"/>
    <x v="1"/>
    <n v="26.7"/>
    <n v="80.099999999999994"/>
    <x v="1"/>
    <x v="3"/>
    <x v="67"/>
  </r>
  <r>
    <s v="SALE-249-2023"/>
    <x v="416"/>
    <s v="CUST-1351"/>
    <s v="BK-350219"/>
    <n v="3"/>
    <s v="Emma Walker"/>
    <s v="emma.walker333@outlook.com"/>
    <x v="4"/>
    <x v="0"/>
    <n v="14.05"/>
    <n v="42.150000000000006"/>
    <x v="1"/>
    <x v="0"/>
    <x v="65"/>
  </r>
  <r>
    <s v="SALE-266-2023"/>
    <x v="417"/>
    <s v="CUST-1660"/>
    <s v="BK-129603"/>
    <n v="3"/>
    <s v="Jessica Baker"/>
    <s v="jessica.baker642@yahoo.com"/>
    <x v="8"/>
    <x v="0"/>
    <n v="11.4"/>
    <n v="34.200000000000003"/>
    <x v="0"/>
    <x v="0"/>
    <x v="69"/>
  </r>
  <r>
    <s v="SALE-283-2023"/>
    <x v="418"/>
    <s v="CUST-1304"/>
    <s v="BK-781851"/>
    <n v="3"/>
    <s v="Chloe Smith"/>
    <s v="chloe.smith286@outlook.com"/>
    <x v="8"/>
    <x v="4"/>
    <n v="18.89"/>
    <n v="56.67"/>
    <x v="1"/>
    <x v="0"/>
    <x v="58"/>
  </r>
  <r>
    <s v="SALE-300-2023"/>
    <x v="419"/>
    <s v="CUST-1412"/>
    <s v="BK-219536"/>
    <n v="3"/>
    <s v="Charlotte Thomas"/>
    <s v="charlotte.thomas394@yahoo.com"/>
    <x v="8"/>
    <x v="1"/>
    <n v="19.36"/>
    <n v="58.08"/>
    <x v="1"/>
    <x v="2"/>
    <x v="18"/>
  </r>
  <r>
    <s v="SALE-317-2023"/>
    <x v="420"/>
    <s v="CUST-1734"/>
    <s v="BK-787229"/>
    <n v="3"/>
    <s v="Anna Robinson"/>
    <s v="anna.robinson716@hotmail.com"/>
    <x v="9"/>
    <x v="4"/>
    <n v="39.409999999999997"/>
    <n v="118.22999999999999"/>
    <x v="1"/>
    <x v="2"/>
    <x v="4"/>
  </r>
  <r>
    <s v="SALE-334-2023"/>
    <x v="421"/>
    <s v="CUST-1747"/>
    <s v="BK-462309"/>
    <n v="3"/>
    <s v="James Robinson"/>
    <s v="james.robinson729@yahoo.com"/>
    <x v="4"/>
    <x v="2"/>
    <n v="33.86"/>
    <n v="101.58"/>
    <x v="1"/>
    <x v="0"/>
    <x v="11"/>
  </r>
  <r>
    <s v="SALE-351-2023"/>
    <x v="422"/>
    <s v="CUST-1520"/>
    <s v="BK-124329"/>
    <n v="3"/>
    <s v="George Scott"/>
    <s v="george.scott502@outlook.com"/>
    <x v="8"/>
    <x v="0"/>
    <n v="19"/>
    <n v="57"/>
    <x v="1"/>
    <x v="2"/>
    <x v="37"/>
  </r>
  <r>
    <s v="SALE-368-2023"/>
    <x v="423"/>
    <s v="CUST-1683"/>
    <s v="BK-172352"/>
    <n v="3"/>
    <s v="Edward Garcia"/>
    <s v="edward.garcia665@yahoo.com"/>
    <x v="5"/>
    <x v="4"/>
    <n v="11.62"/>
    <n v="34.86"/>
    <x v="1"/>
    <x v="2"/>
    <x v="8"/>
  </r>
  <r>
    <s v="SALE-385-2023"/>
    <x v="424"/>
    <s v="CUST-1889"/>
    <s v="BK-795031"/>
    <n v="3"/>
    <s v="Zoe Smith"/>
    <s v="zoe.smith871@hotmail.com"/>
    <x v="34"/>
    <x v="2"/>
    <n v="35.32"/>
    <n v="105.96000000000001"/>
    <x v="0"/>
    <x v="3"/>
    <x v="0"/>
  </r>
  <r>
    <s v="SALE-402-2023"/>
    <x v="425"/>
    <s v="CUST-1951"/>
    <s v="BK-608016"/>
    <n v="3"/>
    <s v="Laura Scott"/>
    <s v="laura.scott933@outlook.com"/>
    <x v="35"/>
    <x v="1"/>
    <n v="16.239999999999998"/>
    <n v="48.72"/>
    <x v="0"/>
    <x v="2"/>
    <x v="23"/>
  </r>
  <r>
    <s v="SALE-419-2023"/>
    <x v="426"/>
    <s v="CUST-1419"/>
    <s v="BK-592753"/>
    <n v="3"/>
    <s v="David Garcia"/>
    <s v="david.garcia401@gmail.com"/>
    <x v="9"/>
    <x v="3"/>
    <n v="17.7"/>
    <n v="53.099999999999994"/>
    <x v="0"/>
    <x v="2"/>
    <x v="28"/>
  </r>
  <r>
    <s v="SALE-436-2023"/>
    <x v="427"/>
    <s v="CUST-1186"/>
    <s v="BK-859710"/>
    <n v="3"/>
    <s v="Anthony Hall"/>
    <s v="anthony.hall168@yahoo.com"/>
    <x v="5"/>
    <x v="3"/>
    <n v="34.200000000000003"/>
    <n v="102.60000000000001"/>
    <x v="0"/>
    <x v="0"/>
    <x v="4"/>
  </r>
  <r>
    <s v="SALE-453-2023"/>
    <x v="428"/>
    <s v="CUST-1103"/>
    <s v="BK-742100"/>
    <n v="3"/>
    <s v="William Adams"/>
    <s v="william.adams85@outlook.com"/>
    <x v="1"/>
    <x v="1"/>
    <n v="11.3"/>
    <n v="33.900000000000006"/>
    <x v="1"/>
    <x v="0"/>
    <x v="31"/>
  </r>
  <r>
    <s v="SALE-470-2023"/>
    <x v="429"/>
    <s v="CUST-1742"/>
    <s v="BK-466522"/>
    <n v="3"/>
    <s v="Anna Allen"/>
    <s v="anna.allen724@hotmail.com"/>
    <x v="1"/>
    <x v="3"/>
    <n v="16.489999999999998"/>
    <n v="49.47"/>
    <x v="0"/>
    <x v="0"/>
    <x v="35"/>
  </r>
  <r>
    <s v="SALE-487-2023"/>
    <x v="430"/>
    <s v="CUST-1289"/>
    <s v="BK-216464"/>
    <n v="3"/>
    <s v="James Rodriguez"/>
    <s v="james.rodriguez271@yahoo.com"/>
    <x v="2"/>
    <x v="3"/>
    <n v="13.85"/>
    <n v="41.55"/>
    <x v="1"/>
    <x v="0"/>
    <x v="73"/>
  </r>
  <r>
    <s v="SALE-504-2023"/>
    <x v="431"/>
    <s v="CUST-1416"/>
    <s v="BK-295474"/>
    <n v="3"/>
    <s v="Daniel Hall"/>
    <s v="daniel.hall398@yahoo.com"/>
    <x v="3"/>
    <x v="1"/>
    <n v="29.02"/>
    <n v="87.06"/>
    <x v="1"/>
    <x v="1"/>
    <x v="25"/>
  </r>
  <r>
    <s v="SALE-521-2023"/>
    <x v="432"/>
    <s v="CUST-1154"/>
    <s v="BK-815151"/>
    <n v="3"/>
    <s v="Sophia King"/>
    <s v="sophia.king136@hotmail.com"/>
    <x v="2"/>
    <x v="2"/>
    <n v="21.6"/>
    <n v="64.800000000000011"/>
    <x v="1"/>
    <x v="0"/>
    <x v="20"/>
  </r>
  <r>
    <s v="SALE-538-2023"/>
    <x v="433"/>
    <s v="CUST-1284"/>
    <s v="BK-689534"/>
    <n v="3"/>
    <s v="Andrew Clark"/>
    <s v="andrew.clark266@hotmail.com"/>
    <x v="9"/>
    <x v="3"/>
    <n v="30.41"/>
    <n v="91.23"/>
    <x v="0"/>
    <x v="0"/>
    <x v="16"/>
  </r>
  <r>
    <s v="SALE-555-2023"/>
    <x v="434"/>
    <s v="CUST-1216"/>
    <s v="BK-548535"/>
    <n v="3"/>
    <s v="Emma Johnson"/>
    <s v="emma.johnson198@yahoo.com"/>
    <x v="4"/>
    <x v="3"/>
    <n v="38.9"/>
    <n v="116.69999999999999"/>
    <x v="1"/>
    <x v="2"/>
    <x v="14"/>
  </r>
  <r>
    <s v="SALE-572-2023"/>
    <x v="435"/>
    <s v="CUST-1711"/>
    <s v="BK-207734"/>
    <n v="3"/>
    <s v="Lily Allen"/>
    <s v="lily.allen693@outlook.com"/>
    <x v="4"/>
    <x v="4"/>
    <n v="38.090000000000003"/>
    <n v="114.27000000000001"/>
    <x v="0"/>
    <x v="3"/>
    <x v="46"/>
  </r>
  <r>
    <s v="SALE-589-2023"/>
    <x v="436"/>
    <s v="CUST-1633"/>
    <s v="BK-866333"/>
    <n v="3"/>
    <s v="Sophia Robinson"/>
    <s v="sophia.robinson615@yahoo.com"/>
    <x v="8"/>
    <x v="0"/>
    <n v="16.77"/>
    <n v="50.31"/>
    <x v="1"/>
    <x v="3"/>
    <x v="63"/>
  </r>
  <r>
    <s v="SALE-606-2023"/>
    <x v="437"/>
    <s v="CUST-1440"/>
    <s v="BK-500868"/>
    <n v="3"/>
    <s v="Brian White"/>
    <s v="brian.white422@yahoo.com"/>
    <x v="5"/>
    <x v="2"/>
    <n v="15.75"/>
    <n v="47.25"/>
    <x v="1"/>
    <x v="0"/>
    <x v="79"/>
  </r>
  <r>
    <s v="SALE-623-2023"/>
    <x v="438"/>
    <s v="CUST-1552"/>
    <s v="BK-846156"/>
    <n v="3"/>
    <s v="John Harris"/>
    <s v="john.harris534@hotmail.com"/>
    <x v="8"/>
    <x v="2"/>
    <n v="14.05"/>
    <n v="42.150000000000006"/>
    <x v="0"/>
    <x v="1"/>
    <x v="49"/>
  </r>
  <r>
    <s v="SALE-640-2023"/>
    <x v="439"/>
    <s v="CUST-1371"/>
    <s v="BK-723462"/>
    <n v="3"/>
    <s v="Peter Wright"/>
    <s v="peter.wright353@hotmail.com"/>
    <x v="6"/>
    <x v="3"/>
    <n v="14.69"/>
    <n v="44.07"/>
    <x v="1"/>
    <x v="3"/>
    <x v="12"/>
  </r>
  <r>
    <s v="SALE-657-2023"/>
    <x v="440"/>
    <s v="CUST-1205"/>
    <s v="BK-276941"/>
    <n v="3"/>
    <s v="Daniel Smith"/>
    <s v="daniel.smith187@gmail.com"/>
    <x v="8"/>
    <x v="2"/>
    <n v="14.16"/>
    <n v="42.480000000000004"/>
    <x v="0"/>
    <x v="0"/>
    <x v="81"/>
  </r>
  <r>
    <s v="SALE-674-2023"/>
    <x v="441"/>
    <s v="CUST-1836"/>
    <s v="BK-657234"/>
    <n v="3"/>
    <s v="Robert Smith"/>
    <s v="robert.smith818@gmail.com"/>
    <x v="36"/>
    <x v="3"/>
    <n v="10.44"/>
    <n v="31.32"/>
    <x v="1"/>
    <x v="0"/>
    <x v="62"/>
  </r>
  <r>
    <s v="SALE-691-2023"/>
    <x v="442"/>
    <s v="CUST-1482"/>
    <s v="BK-909333"/>
    <n v="3"/>
    <s v="Andrew Thomas"/>
    <s v="andrew.thomas464@hotmail.com"/>
    <x v="9"/>
    <x v="3"/>
    <n v="13.56"/>
    <n v="40.68"/>
    <x v="1"/>
    <x v="0"/>
    <x v="85"/>
  </r>
  <r>
    <s v="SALE-708-2023"/>
    <x v="443"/>
    <s v="CUST-1727"/>
    <s v="BK-270184"/>
    <n v="3"/>
    <s v="George Anderson"/>
    <s v="george.anderson709@outlook.com"/>
    <x v="8"/>
    <x v="1"/>
    <n v="20.78"/>
    <n v="62.34"/>
    <x v="1"/>
    <x v="0"/>
    <x v="58"/>
  </r>
  <r>
    <s v="SALE-725-2023"/>
    <x v="444"/>
    <s v="CUST-1981"/>
    <s v="BK-540570"/>
    <n v="3"/>
    <s v="Daniel Scott"/>
    <s v="daniel.scott963@yahoo.com"/>
    <x v="17"/>
    <x v="2"/>
    <n v="28.09"/>
    <n v="84.27"/>
    <x v="0"/>
    <x v="0"/>
    <x v="43"/>
  </r>
  <r>
    <s v="SALE-742-2023"/>
    <x v="445"/>
    <s v="CUST-1224"/>
    <s v="BK-303214"/>
    <n v="3"/>
    <s v="Emma Lewis"/>
    <s v="emma.lewis206@yahoo.com"/>
    <x v="5"/>
    <x v="4"/>
    <n v="29.38"/>
    <n v="88.14"/>
    <x v="1"/>
    <x v="0"/>
    <x v="84"/>
  </r>
  <r>
    <s v="SALE-759-2023"/>
    <x v="446"/>
    <s v="CUST-1052"/>
    <s v="BK-860095"/>
    <n v="3"/>
    <s v="Emily Walker"/>
    <s v="emily.walker34@hotmail.com"/>
    <x v="8"/>
    <x v="1"/>
    <n v="20.84"/>
    <n v="62.519999999999996"/>
    <x v="0"/>
    <x v="2"/>
    <x v="34"/>
  </r>
  <r>
    <s v="SALE-776-2023"/>
    <x v="447"/>
    <s v="CUST-1944"/>
    <s v="BK-272710"/>
    <n v="3"/>
    <s v="Anna Hill"/>
    <s v="anna.hill926@yahoo.com"/>
    <x v="9"/>
    <x v="3"/>
    <n v="35.33"/>
    <n v="105.99"/>
    <x v="0"/>
    <x v="0"/>
    <x v="16"/>
  </r>
  <r>
    <s v="SALE-793-2023"/>
    <x v="448"/>
    <s v="CUST-1134"/>
    <s v="BK-340772"/>
    <n v="3"/>
    <s v="Amelia Taylor"/>
    <s v="amelia.taylor116@hotmail.com"/>
    <x v="5"/>
    <x v="4"/>
    <n v="11.96"/>
    <n v="35.880000000000003"/>
    <x v="0"/>
    <x v="2"/>
    <x v="41"/>
  </r>
  <r>
    <s v="SALE-810-2023"/>
    <x v="449"/>
    <s v="CUST-1792"/>
    <s v="BK-172719"/>
    <n v="3"/>
    <s v="John Wright"/>
    <s v="john.wright774@hotmail.com"/>
    <x v="4"/>
    <x v="3"/>
    <n v="20.09"/>
    <n v="60.269999999999996"/>
    <x v="1"/>
    <x v="0"/>
    <x v="61"/>
  </r>
  <r>
    <s v="SALE-827-2023"/>
    <x v="450"/>
    <s v="CUST-1435"/>
    <s v="BK-392500"/>
    <n v="3"/>
    <s v="Peter Allen"/>
    <s v="peter.allen417@outlook.com"/>
    <x v="8"/>
    <x v="0"/>
    <n v="20.88"/>
    <n v="62.64"/>
    <x v="0"/>
    <x v="0"/>
    <x v="12"/>
  </r>
  <r>
    <s v="SALE-844-2023"/>
    <x v="451"/>
    <s v="CUST-1562"/>
    <s v="BK-275966"/>
    <n v="3"/>
    <s v="Michael Baker"/>
    <s v="michael.baker544@gmail.com"/>
    <x v="1"/>
    <x v="4"/>
    <n v="31.78"/>
    <n v="95.34"/>
    <x v="0"/>
    <x v="0"/>
    <x v="15"/>
  </r>
  <r>
    <s v="SALE-861-2023"/>
    <x v="452"/>
    <s v="CUST-1270"/>
    <s v="BK-532123"/>
    <n v="3"/>
    <s v="Sarah Smith"/>
    <s v="sarah.smith252@yahoo.com"/>
    <x v="4"/>
    <x v="4"/>
    <n v="14.91"/>
    <n v="44.730000000000004"/>
    <x v="1"/>
    <x v="0"/>
    <x v="34"/>
  </r>
  <r>
    <s v="SALE-878-2023"/>
    <x v="453"/>
    <s v="CUST-1330"/>
    <s v="BK-702071"/>
    <n v="3"/>
    <s v="Emma Johnson"/>
    <s v="emma.johnson312@hotmail.com"/>
    <x v="5"/>
    <x v="4"/>
    <n v="37.11"/>
    <n v="111.33"/>
    <x v="1"/>
    <x v="3"/>
    <x v="73"/>
  </r>
  <r>
    <s v="SALE-895-2023"/>
    <x v="454"/>
    <s v="CUST-1877"/>
    <s v="BK-818620"/>
    <n v="3"/>
    <s v="John Lee"/>
    <s v="john.lee859@hotmail.com"/>
    <x v="13"/>
    <x v="0"/>
    <n v="12.24"/>
    <n v="36.72"/>
    <x v="1"/>
    <x v="1"/>
    <x v="1"/>
  </r>
  <r>
    <s v="SALE-912-2023"/>
    <x v="455"/>
    <s v="CUST-1773"/>
    <s v="BK-757566"/>
    <n v="3"/>
    <s v="Michael Young"/>
    <s v="michael.young755@hotmail.com"/>
    <x v="5"/>
    <x v="4"/>
    <n v="36.630000000000003"/>
    <n v="109.89000000000001"/>
    <x v="0"/>
    <x v="0"/>
    <x v="7"/>
  </r>
  <r>
    <s v="SALE-929-2023"/>
    <x v="456"/>
    <s v="CUST-1226"/>
    <s v="BK-289432"/>
    <n v="3"/>
    <s v="Ella Adams"/>
    <s v="ella.adams208@outlook.com"/>
    <x v="2"/>
    <x v="0"/>
    <n v="19.14"/>
    <n v="57.42"/>
    <x v="1"/>
    <x v="0"/>
    <x v="40"/>
  </r>
  <r>
    <s v="SALE-946-2023"/>
    <x v="457"/>
    <s v="CUST-1074"/>
    <s v="BK-723621"/>
    <n v="3"/>
    <s v="Steven Harris"/>
    <s v="steven.harris56@yahoo.com"/>
    <x v="6"/>
    <x v="4"/>
    <n v="33.81"/>
    <n v="101.43"/>
    <x v="0"/>
    <x v="2"/>
    <x v="64"/>
  </r>
  <r>
    <s v="SALE-963-2023"/>
    <x v="458"/>
    <s v="CUST-1120"/>
    <s v="BK-979346"/>
    <n v="3"/>
    <s v="George Allen"/>
    <s v="george.allen102@outlook.com"/>
    <x v="8"/>
    <x v="4"/>
    <n v="21.7"/>
    <n v="65.099999999999994"/>
    <x v="1"/>
    <x v="0"/>
    <x v="83"/>
  </r>
  <r>
    <s v="SALE-980-2023"/>
    <x v="459"/>
    <s v="CUST-1437"/>
    <s v="BK-442644"/>
    <n v="3"/>
    <s v="William Rodriguez"/>
    <s v="william.rodriguez419@gmail.com"/>
    <x v="9"/>
    <x v="1"/>
    <n v="38.4"/>
    <n v="115.19999999999999"/>
    <x v="1"/>
    <x v="1"/>
    <x v="47"/>
  </r>
  <r>
    <s v="SALE-001-2023"/>
    <x v="460"/>
    <s v="CUST-1114"/>
    <s v="BK-295615"/>
    <n v="2"/>
    <s v="John Rodriguez"/>
    <s v="john.rodriguez96@yahoo.com"/>
    <x v="5"/>
    <x v="4"/>
    <n v="32.270000000000003"/>
    <n v="64.540000000000006"/>
    <x v="1"/>
    <x v="1"/>
    <x v="64"/>
  </r>
  <r>
    <s v="SALE-017-2023"/>
    <x v="461"/>
    <s v="CUST-1501"/>
    <s v="BK-770376"/>
    <n v="1"/>
    <s v="Sarah Martin"/>
    <s v="sarah.martin483@hotmail.com"/>
    <x v="5"/>
    <x v="1"/>
    <n v="35.049999999999997"/>
    <n v="35.049999999999997"/>
    <x v="0"/>
    <x v="1"/>
    <x v="4"/>
  </r>
  <r>
    <s v="SALE-034-2023"/>
    <x v="462"/>
    <s v="CUST-1099"/>
    <s v="BK-831341"/>
    <n v="2"/>
    <s v="Hannah Anderson"/>
    <s v="hannah.anderson81@gmail.com"/>
    <x v="4"/>
    <x v="1"/>
    <n v="12.87"/>
    <n v="25.74"/>
    <x v="1"/>
    <x v="0"/>
    <x v="50"/>
  </r>
  <r>
    <s v="SALE-051-2023"/>
    <x v="463"/>
    <s v="CUST-1564"/>
    <s v="BK-574451"/>
    <n v="1"/>
    <s v="Chloe Jackson"/>
    <s v="chloe.jackson546@yahoo.com"/>
    <x v="5"/>
    <x v="0"/>
    <n v="26.93"/>
    <n v="26.93"/>
    <x v="0"/>
    <x v="2"/>
    <x v="7"/>
  </r>
  <r>
    <s v="SALE-068-2023"/>
    <x v="464"/>
    <s v="CUST-1775"/>
    <s v="BK-424815"/>
    <n v="3"/>
    <s v="Andrew Walker"/>
    <s v="andrew.walker757@hotmail.com"/>
    <x v="2"/>
    <x v="2"/>
    <n v="25.44"/>
    <n v="76.320000000000007"/>
    <x v="0"/>
    <x v="0"/>
    <x v="10"/>
  </r>
  <r>
    <s v="SALE-085-2023"/>
    <x v="465"/>
    <s v="CUST-1457"/>
    <s v="BK-458597"/>
    <n v="1"/>
    <s v="Peter Thomas"/>
    <s v="peter.thomas439@outlook.com"/>
    <x v="8"/>
    <x v="0"/>
    <n v="35.979999999999997"/>
    <n v="35.979999999999997"/>
    <x v="1"/>
    <x v="2"/>
    <x v="52"/>
  </r>
  <r>
    <s v="SALE-102-2023"/>
    <x v="466"/>
    <s v="CUST-1913"/>
    <s v="BK-477684"/>
    <n v="1"/>
    <s v="Grace Robinson"/>
    <s v="grace.robinson895@outlook.com"/>
    <x v="13"/>
    <x v="2"/>
    <n v="11.06"/>
    <n v="11.06"/>
    <x v="0"/>
    <x v="2"/>
    <x v="84"/>
  </r>
  <r>
    <s v="SALE-119-2023"/>
    <x v="467"/>
    <s v="CUST-1626"/>
    <s v="BK-948683"/>
    <n v="1"/>
    <s v="Olivia Baker"/>
    <s v="olivia.baker608@hotmail.com"/>
    <x v="9"/>
    <x v="3"/>
    <n v="39.22"/>
    <n v="39.22"/>
    <x v="0"/>
    <x v="0"/>
    <x v="5"/>
  </r>
  <r>
    <s v="SALE-136-2023"/>
    <x v="468"/>
    <s v="CUST-1491"/>
    <s v="BK-319440"/>
    <n v="1"/>
    <s v="John Young"/>
    <s v="john.young473@gmail.com"/>
    <x v="9"/>
    <x v="2"/>
    <n v="36.04"/>
    <n v="36.04"/>
    <x v="0"/>
    <x v="0"/>
    <x v="44"/>
  </r>
  <r>
    <s v="SALE-153-2023"/>
    <x v="469"/>
    <s v="CUST-1324"/>
    <s v="BK-349378"/>
    <n v="1"/>
    <s v="Michael Brown"/>
    <s v="michael.brown306@hotmail.com"/>
    <x v="4"/>
    <x v="0"/>
    <n v="36.69"/>
    <n v="36.69"/>
    <x v="1"/>
    <x v="0"/>
    <x v="7"/>
  </r>
  <r>
    <s v="SALE-170-2023"/>
    <x v="470"/>
    <s v="CUST-1310"/>
    <s v="BK-111891"/>
    <n v="1"/>
    <s v="Laura Robinson"/>
    <s v="laura.robinson292@yahoo.com"/>
    <x v="1"/>
    <x v="2"/>
    <n v="38.99"/>
    <n v="38.99"/>
    <x v="1"/>
    <x v="1"/>
    <x v="74"/>
  </r>
  <r>
    <s v="SALE-187-2023"/>
    <x v="471"/>
    <s v="CUST-1732"/>
    <s v="BK-552466"/>
    <n v="1"/>
    <s v="Kevin Thomas"/>
    <s v="kevin.thomas714@outlook.com"/>
    <x v="8"/>
    <x v="0"/>
    <n v="25.73"/>
    <n v="25.73"/>
    <x v="0"/>
    <x v="1"/>
    <x v="11"/>
  </r>
  <r>
    <s v="SALE-204-2023"/>
    <x v="472"/>
    <s v="CUST-1706"/>
    <s v="BK-725843"/>
    <n v="1"/>
    <s v="Jessica Scott"/>
    <s v="jessica.scott688@yahoo.com"/>
    <x v="1"/>
    <x v="1"/>
    <n v="16.54"/>
    <n v="16.54"/>
    <x v="1"/>
    <x v="0"/>
    <x v="17"/>
  </r>
  <r>
    <s v="SALE-221-2023"/>
    <x v="473"/>
    <s v="CUST-1073"/>
    <s v="BK-209348"/>
    <n v="1"/>
    <s v="Andrew Brown"/>
    <s v="andrew.brown55@yahoo.com"/>
    <x v="2"/>
    <x v="4"/>
    <n v="33.39"/>
    <n v="33.39"/>
    <x v="1"/>
    <x v="0"/>
    <x v="71"/>
  </r>
  <r>
    <s v="SALE-238-2023"/>
    <x v="474"/>
    <s v="CUST-1772"/>
    <s v="BK-671723"/>
    <n v="1"/>
    <s v="Ryan Thompson"/>
    <s v="ryan.thompson754@gmail.com"/>
    <x v="8"/>
    <x v="3"/>
    <n v="20.07"/>
    <n v="20.07"/>
    <x v="0"/>
    <x v="0"/>
    <x v="27"/>
  </r>
  <r>
    <s v="SALE-255-2023"/>
    <x v="475"/>
    <s v="CUST-1777"/>
    <s v="BK-614582"/>
    <n v="1"/>
    <s v="Jessica Wright"/>
    <s v="jessica.wright759@hotmail.com"/>
    <x v="8"/>
    <x v="0"/>
    <n v="15.58"/>
    <n v="15.58"/>
    <x v="0"/>
    <x v="2"/>
    <x v="31"/>
  </r>
  <r>
    <s v="SALE-272-2023"/>
    <x v="476"/>
    <s v="CUST-1968"/>
    <s v="BK-481739"/>
    <n v="1"/>
    <s v="Mia White"/>
    <s v="mia.white950@gmail.com"/>
    <x v="37"/>
    <x v="2"/>
    <n v="35.049999999999997"/>
    <n v="35.049999999999997"/>
    <x v="1"/>
    <x v="0"/>
    <x v="84"/>
  </r>
  <r>
    <s v="SALE-289-2023"/>
    <x v="477"/>
    <s v="CUST-1353"/>
    <s v="BK-333229"/>
    <n v="1"/>
    <s v="Anthony Robinson"/>
    <s v="anthony.robinson335@hotmail.com"/>
    <x v="3"/>
    <x v="0"/>
    <n v="15.02"/>
    <n v="15.02"/>
    <x v="0"/>
    <x v="2"/>
    <x v="75"/>
  </r>
  <r>
    <s v="SALE-306-2023"/>
    <x v="478"/>
    <s v="CUST-1055"/>
    <s v="BK-433350"/>
    <n v="1"/>
    <s v="Sarah Hill"/>
    <s v="sarah.hill37@outlook.com"/>
    <x v="2"/>
    <x v="0"/>
    <n v="35.18"/>
    <n v="35.18"/>
    <x v="1"/>
    <x v="2"/>
    <x v="41"/>
  </r>
  <r>
    <s v="SALE-323-2023"/>
    <x v="479"/>
    <s v="CUST-1635"/>
    <s v="BK-641627"/>
    <n v="1"/>
    <s v="Mia Walker"/>
    <s v="mia.walker617@gmail.com"/>
    <x v="9"/>
    <x v="0"/>
    <n v="24.3"/>
    <n v="24.3"/>
    <x v="1"/>
    <x v="0"/>
    <x v="15"/>
  </r>
  <r>
    <s v="SALE-340-2023"/>
    <x v="480"/>
    <s v="CUST-1443"/>
    <s v="BK-320274"/>
    <n v="1"/>
    <s v="Brian Adams"/>
    <s v="brian.adams425@yahoo.com"/>
    <x v="3"/>
    <x v="1"/>
    <n v="31.46"/>
    <n v="31.46"/>
    <x v="0"/>
    <x v="0"/>
    <x v="16"/>
  </r>
  <r>
    <s v="SALE-357-2023"/>
    <x v="481"/>
    <s v="CUST-1857"/>
    <s v="BK-629093"/>
    <n v="1"/>
    <s v="Jessica Hall"/>
    <s v="jessica.hall839@gmail.com"/>
    <x v="38"/>
    <x v="3"/>
    <n v="21.97"/>
    <n v="21.97"/>
    <x v="1"/>
    <x v="2"/>
    <x v="42"/>
  </r>
  <r>
    <s v="SALE-374-2023"/>
    <x v="482"/>
    <s v="CUST-1530"/>
    <s v="BK-626435"/>
    <n v="1"/>
    <s v="James Green"/>
    <s v="james.green512@yahoo.com"/>
    <x v="5"/>
    <x v="1"/>
    <n v="33.5"/>
    <n v="33.5"/>
    <x v="0"/>
    <x v="0"/>
    <x v="80"/>
  </r>
  <r>
    <s v="SALE-391-2023"/>
    <x v="483"/>
    <s v="CUST-1886"/>
    <s v="BK-184514"/>
    <n v="1"/>
    <s v="Peter Johnson"/>
    <s v="peter.johnson868@hotmail.com"/>
    <x v="3"/>
    <x v="1"/>
    <n v="38.75"/>
    <n v="38.75"/>
    <x v="0"/>
    <x v="0"/>
    <x v="25"/>
  </r>
  <r>
    <s v="SALE-408-2023"/>
    <x v="484"/>
    <s v="CUST-1707"/>
    <s v="BK-346765"/>
    <n v="1"/>
    <s v="Lily Young"/>
    <s v="lily.young689@yahoo.com"/>
    <x v="9"/>
    <x v="0"/>
    <n v="10.02"/>
    <n v="10.02"/>
    <x v="1"/>
    <x v="0"/>
    <x v="32"/>
  </r>
  <r>
    <s v="SALE-425-2023"/>
    <x v="485"/>
    <s v="CUST-1569"/>
    <s v="BK-282055"/>
    <n v="1"/>
    <s v="Sophia Green"/>
    <s v="sophia.green551@outlook.com"/>
    <x v="3"/>
    <x v="4"/>
    <n v="17.03"/>
    <n v="17.03"/>
    <x v="0"/>
    <x v="0"/>
    <x v="53"/>
  </r>
  <r>
    <s v="SALE-442-2023"/>
    <x v="486"/>
    <s v="CUST-1208"/>
    <s v="BK-677483"/>
    <n v="1"/>
    <s v="David Anderson"/>
    <s v="david.anderson190@yahoo.com"/>
    <x v="2"/>
    <x v="0"/>
    <n v="28.46"/>
    <n v="28.46"/>
    <x v="1"/>
    <x v="2"/>
    <x v="13"/>
  </r>
  <r>
    <s v="SALE-459-2023"/>
    <x v="487"/>
    <s v="CUST-1266"/>
    <s v="BK-616625"/>
    <n v="1"/>
    <s v="Hannah King"/>
    <s v="hannah.king248@outlook.com"/>
    <x v="9"/>
    <x v="1"/>
    <n v="18.850000000000001"/>
    <n v="18.850000000000001"/>
    <x v="1"/>
    <x v="2"/>
    <x v="84"/>
  </r>
  <r>
    <s v="SALE-476-2023"/>
    <x v="488"/>
    <s v="CUST-1923"/>
    <s v="BK-756175"/>
    <n v="1"/>
    <s v="Brian Robinson"/>
    <s v="brian.robinson905@outlook.com"/>
    <x v="8"/>
    <x v="1"/>
    <n v="18.829999999999998"/>
    <n v="18.829999999999998"/>
    <x v="0"/>
    <x v="2"/>
    <x v="70"/>
  </r>
  <r>
    <s v="SALE-493-2023"/>
    <x v="489"/>
    <s v="CUST-1087"/>
    <s v="BK-355815"/>
    <n v="1"/>
    <s v="Emily Smith"/>
    <s v="emily.smith69@yahoo.com"/>
    <x v="5"/>
    <x v="3"/>
    <n v="27.21"/>
    <n v="27.21"/>
    <x v="1"/>
    <x v="1"/>
    <x v="12"/>
  </r>
  <r>
    <s v="SALE-510-2023"/>
    <x v="490"/>
    <s v="CUST-1409"/>
    <s v="BK-502877"/>
    <n v="1"/>
    <s v="Brian King"/>
    <s v="brian.king391@gmail.com"/>
    <x v="1"/>
    <x v="2"/>
    <n v="37.49"/>
    <n v="37.49"/>
    <x v="1"/>
    <x v="3"/>
    <x v="3"/>
  </r>
  <r>
    <s v="SALE-527-2023"/>
    <x v="491"/>
    <s v="CUST-1830"/>
    <s v="BK-133042"/>
    <n v="1"/>
    <s v="Hannah Wright"/>
    <s v="hannah.wright812@outlook.com"/>
    <x v="39"/>
    <x v="1"/>
    <n v="21.1"/>
    <n v="21.1"/>
    <x v="0"/>
    <x v="0"/>
    <x v="8"/>
  </r>
  <r>
    <s v="SALE-544-2023"/>
    <x v="492"/>
    <s v="CUST-1255"/>
    <s v="BK-414893"/>
    <n v="1"/>
    <s v="Robert King"/>
    <s v="robert.king237@outlook.com"/>
    <x v="8"/>
    <x v="1"/>
    <n v="30.65"/>
    <n v="30.65"/>
    <x v="0"/>
    <x v="0"/>
    <x v="63"/>
  </r>
  <r>
    <s v="SALE-561-2023"/>
    <x v="493"/>
    <s v="CUST-1349"/>
    <s v="BK-504589"/>
    <n v="1"/>
    <s v="William Adams"/>
    <s v="william.adams331@outlook.com"/>
    <x v="8"/>
    <x v="4"/>
    <n v="22.89"/>
    <n v="22.89"/>
    <x v="0"/>
    <x v="2"/>
    <x v="79"/>
  </r>
  <r>
    <s v="SALE-578-2023"/>
    <x v="494"/>
    <s v="CUST-1920"/>
    <s v="BK-931194"/>
    <n v="1"/>
    <s v="Thomas Thomas"/>
    <s v="thomas.thomas902@outlook.com"/>
    <x v="17"/>
    <x v="1"/>
    <n v="32.770000000000003"/>
    <n v="32.770000000000003"/>
    <x v="1"/>
    <x v="1"/>
    <x v="83"/>
  </r>
  <r>
    <s v="SALE-595-2023"/>
    <x v="495"/>
    <s v="CUST-1451"/>
    <s v="BK-340339"/>
    <n v="1"/>
    <s v="Emma King"/>
    <s v="emma.king433@yahoo.com"/>
    <x v="2"/>
    <x v="2"/>
    <n v="14.16"/>
    <n v="14.16"/>
    <x v="0"/>
    <x v="2"/>
    <x v="40"/>
  </r>
  <r>
    <s v="SALE-612-2023"/>
    <x v="496"/>
    <s v="CUST-1363"/>
    <s v="BK-271535"/>
    <n v="1"/>
    <s v="Emily Adams"/>
    <s v="emily.adams345@gmail.com"/>
    <x v="8"/>
    <x v="4"/>
    <n v="20.21"/>
    <n v="20.21"/>
    <x v="0"/>
    <x v="1"/>
    <x v="17"/>
  </r>
  <r>
    <s v="SALE-629-2023"/>
    <x v="43"/>
    <s v="CUST-1238"/>
    <s v="BK-938045"/>
    <n v="1"/>
    <s v="Steven Clark"/>
    <s v="steven.clark220@outlook.com"/>
    <x v="1"/>
    <x v="0"/>
    <n v="27.19"/>
    <n v="27.19"/>
    <x v="1"/>
    <x v="1"/>
    <x v="64"/>
  </r>
  <r>
    <s v="SALE-646-2023"/>
    <x v="497"/>
    <s v="CUST-1053"/>
    <s v="BK-853944"/>
    <n v="1"/>
    <s v="Zoe Smith"/>
    <s v="zoe.smith35@gmail.com"/>
    <x v="5"/>
    <x v="2"/>
    <n v="28.24"/>
    <n v="28.24"/>
    <x v="0"/>
    <x v="1"/>
    <x v="41"/>
  </r>
  <r>
    <s v="SALE-663-2023"/>
    <x v="498"/>
    <s v="CUST-1957"/>
    <s v="BK-156625"/>
    <n v="1"/>
    <s v="Laura White"/>
    <s v="laura.white939@outlook.com"/>
    <x v="4"/>
    <x v="0"/>
    <n v="37.29"/>
    <n v="37.29"/>
    <x v="1"/>
    <x v="3"/>
    <x v="82"/>
  </r>
  <r>
    <s v="SALE-680-2023"/>
    <x v="499"/>
    <s v="CUST-1368"/>
    <s v="BK-219795"/>
    <n v="1"/>
    <s v="Emily Baker"/>
    <s v="emily.baker350@hotmail.com"/>
    <x v="5"/>
    <x v="1"/>
    <n v="23.87"/>
    <n v="23.87"/>
    <x v="1"/>
    <x v="2"/>
    <x v="46"/>
  </r>
  <r>
    <s v="SALE-697-2023"/>
    <x v="500"/>
    <s v="CUST-1554"/>
    <s v="BK-503207"/>
    <n v="1"/>
    <s v="Edward Rodriguez"/>
    <s v="edward.rodriguez536@gmail.com"/>
    <x v="9"/>
    <x v="4"/>
    <n v="21.74"/>
    <n v="21.74"/>
    <x v="0"/>
    <x v="1"/>
    <x v="85"/>
  </r>
  <r>
    <s v="SALE-714-2023"/>
    <x v="501"/>
    <s v="CUST-1425"/>
    <s v="BK-578261"/>
    <n v="1"/>
    <s v="Michael Baker"/>
    <s v="michael.baker407@yahoo.com"/>
    <x v="6"/>
    <x v="3"/>
    <n v="23.01"/>
    <n v="23.01"/>
    <x v="1"/>
    <x v="0"/>
    <x v="46"/>
  </r>
  <r>
    <s v="SALE-731-2023"/>
    <x v="502"/>
    <s v="CUST-1364"/>
    <s v="BK-756938"/>
    <n v="1"/>
    <s v="Michael Johnson"/>
    <s v="michael.johnson346@outlook.com"/>
    <x v="1"/>
    <x v="3"/>
    <n v="21.02"/>
    <n v="21.02"/>
    <x v="0"/>
    <x v="0"/>
    <x v="52"/>
  </r>
  <r>
    <s v="SALE-748-2023"/>
    <x v="503"/>
    <s v="CUST-1314"/>
    <s v="BK-319176"/>
    <n v="1"/>
    <s v="Grace Young"/>
    <s v="grace.young296@outlook.com"/>
    <x v="5"/>
    <x v="4"/>
    <n v="10.96"/>
    <n v="10.96"/>
    <x v="1"/>
    <x v="0"/>
    <x v="47"/>
  </r>
  <r>
    <s v="SALE-765-2023"/>
    <x v="504"/>
    <s v="CUST-1389"/>
    <s v="BK-146535"/>
    <n v="1"/>
    <s v="James Anderson"/>
    <s v="james.anderson371@yahoo.com"/>
    <x v="3"/>
    <x v="2"/>
    <n v="22.84"/>
    <n v="22.84"/>
    <x v="0"/>
    <x v="0"/>
    <x v="30"/>
  </r>
  <r>
    <s v="SALE-782-2023"/>
    <x v="505"/>
    <s v="CUST-1658"/>
    <s v="BK-241838"/>
    <n v="1"/>
    <s v="Amelia Thomas"/>
    <s v="amelia.thomas640@yahoo.com"/>
    <x v="2"/>
    <x v="4"/>
    <n v="30.31"/>
    <n v="30.31"/>
    <x v="1"/>
    <x v="0"/>
    <x v="85"/>
  </r>
  <r>
    <s v="SALE-799-2023"/>
    <x v="506"/>
    <s v="CUST-1511"/>
    <s v="BK-283279"/>
    <n v="1"/>
    <s v="Charlotte Brown"/>
    <s v="charlotte.brown493@outlook.com"/>
    <x v="8"/>
    <x v="0"/>
    <n v="34.700000000000003"/>
    <n v="34.700000000000003"/>
    <x v="1"/>
    <x v="2"/>
    <x v="60"/>
  </r>
  <r>
    <s v="SALE-816-2023"/>
    <x v="507"/>
    <s v="CUST-1816"/>
    <s v="BK-654034"/>
    <n v="1"/>
    <s v="Ryan Green"/>
    <s v="ryan.green798@yahoo.com"/>
    <x v="5"/>
    <x v="1"/>
    <n v="28.41"/>
    <n v="28.41"/>
    <x v="0"/>
    <x v="2"/>
    <x v="23"/>
  </r>
  <r>
    <s v="SALE-833-2023"/>
    <x v="508"/>
    <s v="CUST-1158"/>
    <s v="BK-691553"/>
    <n v="1"/>
    <s v="Anna King"/>
    <s v="anna.king140@outlook.com"/>
    <x v="9"/>
    <x v="3"/>
    <n v="11.76"/>
    <n v="11.76"/>
    <x v="1"/>
    <x v="0"/>
    <x v="31"/>
  </r>
  <r>
    <s v="SALE-850-2023"/>
    <x v="509"/>
    <s v="CUST-1915"/>
    <s v="BK-705065"/>
    <n v="1"/>
    <s v="Emma Allen"/>
    <s v="emma.allen897@outlook.com"/>
    <x v="5"/>
    <x v="1"/>
    <n v="12.3"/>
    <n v="12.3"/>
    <x v="1"/>
    <x v="0"/>
    <x v="11"/>
  </r>
  <r>
    <s v="SALE-867-2023"/>
    <x v="510"/>
    <s v="CUST-1903"/>
    <s v="BK-153476"/>
    <n v="1"/>
    <s v="Ava Lewis"/>
    <s v="ava.lewis885@outlook.com"/>
    <x v="12"/>
    <x v="3"/>
    <n v="32.35"/>
    <n v="32.35"/>
    <x v="0"/>
    <x v="0"/>
    <x v="47"/>
  </r>
  <r>
    <s v="SALE-884-2023"/>
    <x v="511"/>
    <s v="CUST-1247"/>
    <s v="BK-801501"/>
    <n v="1"/>
    <s v="Olivia Clark"/>
    <s v="olivia.clark229@yahoo.com"/>
    <x v="1"/>
    <x v="1"/>
    <n v="12.03"/>
    <n v="12.03"/>
    <x v="1"/>
    <x v="0"/>
    <x v="2"/>
  </r>
  <r>
    <s v="SALE-901-2023"/>
    <x v="512"/>
    <s v="CUST-1738"/>
    <s v="BK-154016"/>
    <n v="1"/>
    <s v="John Scott"/>
    <s v="john.scott720@hotmail.com"/>
    <x v="4"/>
    <x v="2"/>
    <n v="24.25"/>
    <n v="24.25"/>
    <x v="1"/>
    <x v="2"/>
    <x v="57"/>
  </r>
  <r>
    <s v="SALE-918-2023"/>
    <x v="513"/>
    <s v="CUST-1972"/>
    <s v="BK-751106"/>
    <n v="1"/>
    <s v="Ryan Brown"/>
    <s v="ryan.brown954@gmail.com"/>
    <x v="5"/>
    <x v="1"/>
    <n v="31.38"/>
    <n v="31.38"/>
    <x v="1"/>
    <x v="0"/>
    <x v="1"/>
  </r>
  <r>
    <s v="SALE-935-2023"/>
    <x v="514"/>
    <s v="CUST-1739"/>
    <s v="BK-761038"/>
    <n v="1"/>
    <s v="Michael Taylor"/>
    <s v="michael.taylor721@hotmail.com"/>
    <x v="2"/>
    <x v="2"/>
    <n v="13.37"/>
    <n v="13.37"/>
    <x v="0"/>
    <x v="2"/>
    <x v="40"/>
  </r>
  <r>
    <s v="SALE-952-2023"/>
    <x v="515"/>
    <s v="CUST-1066"/>
    <s v="BK-519566"/>
    <n v="1"/>
    <s v="Amelia Green"/>
    <s v="amelia.green48@gmail.com"/>
    <x v="8"/>
    <x v="0"/>
    <n v="31.5"/>
    <n v="31.5"/>
    <x v="0"/>
    <x v="1"/>
    <x v="6"/>
  </r>
  <r>
    <s v="SALE-969-2023"/>
    <x v="516"/>
    <s v="CUST-1372"/>
    <s v="BK-229244"/>
    <n v="1"/>
    <s v="Michael Martin"/>
    <s v="michael.martin354@hotmail.com"/>
    <x v="8"/>
    <x v="2"/>
    <n v="30.64"/>
    <n v="30.64"/>
    <x v="0"/>
    <x v="0"/>
    <x v="30"/>
  </r>
  <r>
    <s v="SALE-003-2023"/>
    <x v="517"/>
    <s v="CUST-1964"/>
    <s v="BK-795811"/>
    <n v="2"/>
    <s v="Ava Harris"/>
    <s v="ava.harris946@outlook.com"/>
    <x v="17"/>
    <x v="3"/>
    <n v="25.12"/>
    <n v="50.24"/>
    <x v="1"/>
    <x v="2"/>
    <x v="84"/>
  </r>
  <r>
    <s v="SALE-025-2023"/>
    <x v="518"/>
    <s v="CUST-1296"/>
    <s v="BK-676948"/>
    <n v="3"/>
    <s v="Ryan Rodriguez"/>
    <s v="ryan.rodriguez278@hotmail.com"/>
    <x v="5"/>
    <x v="3"/>
    <n v="20.43"/>
    <n v="61.29"/>
    <x v="0"/>
    <x v="0"/>
    <x v="8"/>
  </r>
  <r>
    <s v="SALE-042-2023"/>
    <x v="519"/>
    <s v="CUST-1370"/>
    <s v="BK-234408"/>
    <n v="3"/>
    <s v="Kevin Jackson"/>
    <s v="kevin.jackson352@yahoo.com"/>
    <x v="2"/>
    <x v="3"/>
    <n v="34.43"/>
    <n v="103.28999999999999"/>
    <x v="1"/>
    <x v="0"/>
    <x v="80"/>
  </r>
  <r>
    <s v="SALE-059-2023"/>
    <x v="520"/>
    <s v="CUST-1953"/>
    <s v="BK-589643"/>
    <n v="3"/>
    <s v="James Young"/>
    <s v="james.young935@yahoo.com"/>
    <x v="17"/>
    <x v="4"/>
    <n v="30.08"/>
    <n v="90.24"/>
    <x v="0"/>
    <x v="1"/>
    <x v="66"/>
  </r>
  <r>
    <s v="SALE-076-2023"/>
    <x v="521"/>
    <s v="CUST-1848"/>
    <s v="BK-261723"/>
    <n v="2"/>
    <s v="Michael Walker"/>
    <s v="michael.walker830@gmail.com"/>
    <x v="40"/>
    <x v="0"/>
    <n v="21"/>
    <n v="42"/>
    <x v="0"/>
    <x v="2"/>
    <x v="85"/>
  </r>
  <r>
    <s v="SALE-093-2023"/>
    <x v="522"/>
    <s v="CUST-1111"/>
    <s v="BK-209513"/>
    <n v="2"/>
    <s v="Isabella Clark"/>
    <s v="isabella.clark93@outlook.com"/>
    <x v="8"/>
    <x v="3"/>
    <n v="25.06"/>
    <n v="50.12"/>
    <x v="0"/>
    <x v="0"/>
    <x v="66"/>
  </r>
  <r>
    <s v="SALE-110-2023"/>
    <x v="523"/>
    <s v="CUST-1560"/>
    <s v="BK-538134"/>
    <n v="2"/>
    <s v="Paul Robinson"/>
    <s v="paul.robinson542@gmail.com"/>
    <x v="6"/>
    <x v="0"/>
    <n v="24.3"/>
    <n v="48.6"/>
    <x v="0"/>
    <x v="0"/>
    <x v="74"/>
  </r>
  <r>
    <s v="SALE-127-2023"/>
    <x v="524"/>
    <s v="CUST-1453"/>
    <s v="BK-367096"/>
    <n v="2"/>
    <s v="David Young"/>
    <s v="david.young435@gmail.com"/>
    <x v="8"/>
    <x v="0"/>
    <n v="20.63"/>
    <n v="41.26"/>
    <x v="0"/>
    <x v="0"/>
    <x v="62"/>
  </r>
  <r>
    <s v="SALE-144-2023"/>
    <x v="525"/>
    <s v="CUST-1380"/>
    <s v="BK-407095"/>
    <n v="2"/>
    <s v="Olivia Allen"/>
    <s v="olivia.allen362@hotmail.com"/>
    <x v="3"/>
    <x v="0"/>
    <n v="30.26"/>
    <n v="60.52"/>
    <x v="1"/>
    <x v="0"/>
    <x v="86"/>
  </r>
  <r>
    <s v="SALE-161-2023"/>
    <x v="526"/>
    <s v="CUST-1513"/>
    <s v="BK-195052"/>
    <n v="2"/>
    <s v="Amelia Hill"/>
    <s v="amelia.hill495@outlook.com"/>
    <x v="4"/>
    <x v="3"/>
    <n v="12.37"/>
    <n v="24.74"/>
    <x v="1"/>
    <x v="2"/>
    <x v="8"/>
  </r>
  <r>
    <s v="SALE-178-2023"/>
    <x v="527"/>
    <s v="CUST-1254"/>
    <s v="BK-139225"/>
    <n v="2"/>
    <s v="Steven Martin"/>
    <s v="steven.martin236@yahoo.com"/>
    <x v="3"/>
    <x v="1"/>
    <n v="26.79"/>
    <n v="53.58"/>
    <x v="0"/>
    <x v="2"/>
    <x v="30"/>
  </r>
  <r>
    <s v="SALE-195-2023"/>
    <x v="528"/>
    <s v="CUST-1335"/>
    <s v="BK-645331"/>
    <n v="2"/>
    <s v="Kevin Hall"/>
    <s v="kevin.hall317@gmail.com"/>
    <x v="3"/>
    <x v="2"/>
    <n v="15.54"/>
    <n v="31.08"/>
    <x v="0"/>
    <x v="1"/>
    <x v="4"/>
  </r>
  <r>
    <s v="SALE-212-2023"/>
    <x v="529"/>
    <s v="CUST-1239"/>
    <s v="BK-448879"/>
    <n v="2"/>
    <s v="Anthony Thomas"/>
    <s v="anthony.thomas221@gmail.com"/>
    <x v="9"/>
    <x v="0"/>
    <n v="27.07"/>
    <n v="54.14"/>
    <x v="1"/>
    <x v="0"/>
    <x v="25"/>
  </r>
  <r>
    <s v="SALE-229-2023"/>
    <x v="530"/>
    <s v="CUST-1234"/>
    <s v="BK-409825"/>
    <n v="2"/>
    <s v="Grace Harris"/>
    <s v="grace.harris216@outlook.com"/>
    <x v="4"/>
    <x v="1"/>
    <n v="34.94"/>
    <n v="69.88"/>
    <x v="0"/>
    <x v="1"/>
    <x v="84"/>
  </r>
  <r>
    <s v="SALE-246-2023"/>
    <x v="531"/>
    <s v="CUST-1340"/>
    <s v="BK-323186"/>
    <n v="2"/>
    <s v="Laura Garcia"/>
    <s v="laura.garcia322@hotmail.com"/>
    <x v="8"/>
    <x v="0"/>
    <n v="10.26"/>
    <n v="20.52"/>
    <x v="1"/>
    <x v="1"/>
    <x v="77"/>
  </r>
  <r>
    <s v="SALE-263-2023"/>
    <x v="532"/>
    <s v="CUST-1850"/>
    <s v="BK-557258"/>
    <n v="2"/>
    <s v="Brian Hall"/>
    <s v="brian.hall832@hotmail.com"/>
    <x v="41"/>
    <x v="2"/>
    <n v="35.409999999999997"/>
    <n v="70.819999999999993"/>
    <x v="0"/>
    <x v="0"/>
    <x v="73"/>
  </r>
  <r>
    <s v="SALE-280-2023"/>
    <x v="533"/>
    <s v="CUST-1863"/>
    <s v="BK-880470"/>
    <n v="2"/>
    <s v="James Wright"/>
    <s v="james.wright845@gmail.com"/>
    <x v="3"/>
    <x v="0"/>
    <n v="34.64"/>
    <n v="69.28"/>
    <x v="1"/>
    <x v="0"/>
    <x v="42"/>
  </r>
  <r>
    <s v="SALE-297-2023"/>
    <x v="534"/>
    <s v="CUST-1316"/>
    <s v="BK-146456"/>
    <n v="2"/>
    <s v="David Anderson"/>
    <s v="david.anderson298@outlook.com"/>
    <x v="2"/>
    <x v="2"/>
    <n v="39.33"/>
    <n v="78.66"/>
    <x v="0"/>
    <x v="2"/>
    <x v="69"/>
  </r>
  <r>
    <s v="SALE-314-2023"/>
    <x v="535"/>
    <s v="CUST-1789"/>
    <s v="BK-142184"/>
    <n v="2"/>
    <s v="Olivia King"/>
    <s v="olivia.king771@gmail.com"/>
    <x v="5"/>
    <x v="1"/>
    <n v="33.93"/>
    <n v="67.86"/>
    <x v="0"/>
    <x v="1"/>
    <x v="12"/>
  </r>
  <r>
    <s v="SALE-331-2023"/>
    <x v="536"/>
    <s v="CUST-1306"/>
    <s v="BK-552091"/>
    <n v="2"/>
    <s v="Ava Hill"/>
    <s v="ava.hill288@gmail.com"/>
    <x v="4"/>
    <x v="2"/>
    <n v="38.29"/>
    <n v="76.58"/>
    <x v="0"/>
    <x v="2"/>
    <x v="74"/>
  </r>
  <r>
    <s v="SALE-348-2023"/>
    <x v="537"/>
    <s v="CUST-1731"/>
    <s v="BK-840121"/>
    <n v="2"/>
    <s v="Ryan Martinez"/>
    <s v="ryan.martinez713@gmail.com"/>
    <x v="3"/>
    <x v="2"/>
    <n v="35.020000000000003"/>
    <n v="70.040000000000006"/>
    <x v="0"/>
    <x v="2"/>
    <x v="79"/>
  </r>
  <r>
    <s v="SALE-365-2023"/>
    <x v="538"/>
    <s v="CUST-1655"/>
    <s v="BK-885718"/>
    <n v="2"/>
    <s v="Joshua Green"/>
    <s v="joshua.green637@yahoo.com"/>
    <x v="8"/>
    <x v="4"/>
    <n v="22.07"/>
    <n v="44.14"/>
    <x v="0"/>
    <x v="0"/>
    <x v="36"/>
  </r>
  <r>
    <s v="SALE-382-2023"/>
    <x v="539"/>
    <s v="CUST-1557"/>
    <s v="BK-637505"/>
    <n v="2"/>
    <s v="Amelia Lopez"/>
    <s v="amelia.lopez539@outlook.com"/>
    <x v="5"/>
    <x v="3"/>
    <n v="38.6"/>
    <n v="77.2"/>
    <x v="1"/>
    <x v="0"/>
    <x v="13"/>
  </r>
  <r>
    <s v="SALE-399-2023"/>
    <x v="540"/>
    <s v="CUST-1231"/>
    <s v="BK-120232"/>
    <n v="2"/>
    <s v="William Anderson"/>
    <s v="william.anderson213@hotmail.com"/>
    <x v="5"/>
    <x v="2"/>
    <n v="39.64"/>
    <n v="79.28"/>
    <x v="0"/>
    <x v="0"/>
    <x v="40"/>
  </r>
  <r>
    <s v="SALE-416-2023"/>
    <x v="541"/>
    <s v="CUST-1329"/>
    <s v="BK-719923"/>
    <n v="2"/>
    <s v="Emily Harris"/>
    <s v="emily.harris311@hotmail.com"/>
    <x v="9"/>
    <x v="2"/>
    <n v="18.760000000000002"/>
    <n v="37.520000000000003"/>
    <x v="1"/>
    <x v="3"/>
    <x v="54"/>
  </r>
  <r>
    <s v="SALE-433-2023"/>
    <x v="542"/>
    <s v="CUST-1179"/>
    <s v="BK-266165"/>
    <n v="2"/>
    <s v="Emily Lee"/>
    <s v="emily.lee161@gmail.com"/>
    <x v="5"/>
    <x v="3"/>
    <n v="15.77"/>
    <n v="31.54"/>
    <x v="0"/>
    <x v="0"/>
    <x v="62"/>
  </r>
  <r>
    <s v="SALE-450-2023"/>
    <x v="543"/>
    <s v="CUST-1242"/>
    <s v="BK-573140"/>
    <n v="2"/>
    <s v="Thomas Martin"/>
    <s v="thomas.martin224@yahoo.com"/>
    <x v="5"/>
    <x v="2"/>
    <n v="13.99"/>
    <n v="27.98"/>
    <x v="0"/>
    <x v="2"/>
    <x v="76"/>
  </r>
  <r>
    <s v="SALE-467-2023"/>
    <x v="544"/>
    <s v="CUST-1778"/>
    <s v="BK-220935"/>
    <n v="2"/>
    <s v="Charlotte Adams"/>
    <s v="charlotte.adams760@outlook.com"/>
    <x v="1"/>
    <x v="0"/>
    <n v="15.83"/>
    <n v="31.66"/>
    <x v="1"/>
    <x v="2"/>
    <x v="33"/>
  </r>
  <r>
    <s v="SALE-484-2023"/>
    <x v="545"/>
    <s v="CUST-1229"/>
    <s v="BK-178869"/>
    <n v="2"/>
    <s v="Joshua White"/>
    <s v="joshua.white211@gmail.com"/>
    <x v="1"/>
    <x v="1"/>
    <n v="39.76"/>
    <n v="79.52"/>
    <x v="0"/>
    <x v="2"/>
    <x v="75"/>
  </r>
  <r>
    <s v="SALE-501-2023"/>
    <x v="546"/>
    <s v="CUST-1143"/>
    <s v="BK-241403"/>
    <n v="2"/>
    <s v="Peter Rodriguez"/>
    <s v="peter.rodriguez125@yahoo.com"/>
    <x v="5"/>
    <x v="4"/>
    <n v="23.75"/>
    <n v="47.5"/>
    <x v="1"/>
    <x v="2"/>
    <x v="24"/>
  </r>
  <r>
    <s v="SALE-518-2023"/>
    <x v="547"/>
    <s v="CUST-1279"/>
    <s v="BK-611082"/>
    <n v="2"/>
    <s v="James Green"/>
    <s v="james.green261@gmail.com"/>
    <x v="4"/>
    <x v="0"/>
    <n v="14.7"/>
    <n v="29.4"/>
    <x v="0"/>
    <x v="1"/>
    <x v="76"/>
  </r>
  <r>
    <s v="SALE-535-2023"/>
    <x v="548"/>
    <s v="CUST-1470"/>
    <s v="BK-854250"/>
    <n v="2"/>
    <s v="Emily King"/>
    <s v="emily.king452@gmail.com"/>
    <x v="3"/>
    <x v="2"/>
    <n v="24.74"/>
    <n v="49.48"/>
    <x v="1"/>
    <x v="0"/>
    <x v="54"/>
  </r>
  <r>
    <s v="SALE-552-2023"/>
    <x v="549"/>
    <s v="CUST-1788"/>
    <s v="BK-319565"/>
    <n v="2"/>
    <s v="Robert Lopez"/>
    <s v="robert.lopez770@yahoo.com"/>
    <x v="9"/>
    <x v="3"/>
    <n v="28.75"/>
    <n v="57.5"/>
    <x v="0"/>
    <x v="0"/>
    <x v="53"/>
  </r>
  <r>
    <s v="SALE-569-2023"/>
    <x v="550"/>
    <s v="CUST-1726"/>
    <s v="BK-584471"/>
    <n v="2"/>
    <s v="Joshua Robinson"/>
    <s v="joshua.robinson708@gmail.com"/>
    <x v="5"/>
    <x v="2"/>
    <n v="27.66"/>
    <n v="55.32"/>
    <x v="0"/>
    <x v="2"/>
    <x v="85"/>
  </r>
  <r>
    <s v="SALE-586-2023"/>
    <x v="551"/>
    <s v="CUST-1736"/>
    <s v="BK-716416"/>
    <n v="2"/>
    <s v="Anthony Scott"/>
    <s v="anthony.scott718@hotmail.com"/>
    <x v="8"/>
    <x v="4"/>
    <n v="30.74"/>
    <n v="61.48"/>
    <x v="1"/>
    <x v="0"/>
    <x v="21"/>
  </r>
  <r>
    <s v="SALE-603-2023"/>
    <x v="552"/>
    <s v="CUST-1693"/>
    <s v="BK-601705"/>
    <n v="2"/>
    <s v="Michael Martin"/>
    <s v="michael.martin675@yahoo.com"/>
    <x v="4"/>
    <x v="1"/>
    <n v="10.62"/>
    <n v="21.24"/>
    <x v="1"/>
    <x v="0"/>
    <x v="74"/>
  </r>
  <r>
    <s v="SALE-620-2023"/>
    <x v="553"/>
    <s v="CUST-1027"/>
    <s v="BK-344905"/>
    <n v="2"/>
    <s v="Daniel Lewis"/>
    <s v="daniel.lewis9@hotmail.com"/>
    <x v="4"/>
    <x v="1"/>
    <n v="29.84"/>
    <n v="59.68"/>
    <x v="1"/>
    <x v="0"/>
    <x v="59"/>
  </r>
  <r>
    <s v="SALE-637-2023"/>
    <x v="554"/>
    <s v="CUST-1410"/>
    <s v="BK-247462"/>
    <n v="2"/>
    <s v="Mia Wright"/>
    <s v="mia.wright392@outlook.com"/>
    <x v="9"/>
    <x v="4"/>
    <n v="13.51"/>
    <n v="27.02"/>
    <x v="0"/>
    <x v="0"/>
    <x v="82"/>
  </r>
  <r>
    <s v="SALE-654-2023"/>
    <x v="555"/>
    <s v="CUST-1757"/>
    <s v="BK-551594"/>
    <n v="2"/>
    <s v="Zoe Johnson"/>
    <s v="zoe.johnson739@gmail.com"/>
    <x v="2"/>
    <x v="3"/>
    <n v="25.66"/>
    <n v="51.32"/>
    <x v="0"/>
    <x v="2"/>
    <x v="30"/>
  </r>
  <r>
    <s v="SALE-671-2023"/>
    <x v="556"/>
    <s v="CUST-1460"/>
    <s v="BK-221888"/>
    <n v="2"/>
    <s v="Zoe King"/>
    <s v="zoe.king442@gmail.com"/>
    <x v="2"/>
    <x v="4"/>
    <n v="10.62"/>
    <n v="21.24"/>
    <x v="0"/>
    <x v="2"/>
    <x v="86"/>
  </r>
  <r>
    <s v="SALE-688-2023"/>
    <x v="557"/>
    <s v="CUST-1291"/>
    <s v="BK-830387"/>
    <n v="2"/>
    <s v="Grace Garcia"/>
    <s v="grace.garcia273@hotmail.com"/>
    <x v="8"/>
    <x v="0"/>
    <n v="27.35"/>
    <n v="54.7"/>
    <x v="0"/>
    <x v="1"/>
    <x v="65"/>
  </r>
  <r>
    <s v="SALE-705-2023"/>
    <x v="558"/>
    <s v="CUST-1107"/>
    <s v="BK-238557"/>
    <n v="2"/>
    <s v="Mark Green"/>
    <s v="mark.green89@hotmail.com"/>
    <x v="5"/>
    <x v="2"/>
    <n v="13.17"/>
    <n v="26.34"/>
    <x v="1"/>
    <x v="0"/>
    <x v="45"/>
  </r>
  <r>
    <s v="SALE-722-2023"/>
    <x v="559"/>
    <s v="CUST-1381"/>
    <s v="BK-230085"/>
    <n v="2"/>
    <s v="Steven Johnson"/>
    <s v="steven.johnson363@hotmail.com"/>
    <x v="8"/>
    <x v="2"/>
    <n v="35.14"/>
    <n v="70.28"/>
    <x v="0"/>
    <x v="0"/>
    <x v="35"/>
  </r>
  <r>
    <s v="SALE-739-2023"/>
    <x v="560"/>
    <s v="CUST-1272"/>
    <s v="BK-887043"/>
    <n v="2"/>
    <s v="John Baker"/>
    <s v="john.baker254@hotmail.com"/>
    <x v="3"/>
    <x v="4"/>
    <n v="36.08"/>
    <n v="72.16"/>
    <x v="1"/>
    <x v="2"/>
    <x v="42"/>
  </r>
  <r>
    <s v="SALE-756-2023"/>
    <x v="561"/>
    <s v="CUST-1753"/>
    <s v="BK-300592"/>
    <n v="2"/>
    <s v="Emma Wright"/>
    <s v="emma.wright735@outlook.com"/>
    <x v="5"/>
    <x v="4"/>
    <n v="37.79"/>
    <n v="75.58"/>
    <x v="1"/>
    <x v="3"/>
    <x v="67"/>
  </r>
  <r>
    <s v="SALE-773-2023"/>
    <x v="562"/>
    <s v="CUST-1609"/>
    <s v="BK-193959"/>
    <n v="2"/>
    <s v="Jessica Young"/>
    <s v="jessica.young591@hotmail.com"/>
    <x v="5"/>
    <x v="4"/>
    <n v="38.67"/>
    <n v="77.34"/>
    <x v="0"/>
    <x v="0"/>
    <x v="83"/>
  </r>
  <r>
    <s v="SALE-790-2023"/>
    <x v="563"/>
    <s v="CUST-1599"/>
    <s v="BK-113062"/>
    <n v="2"/>
    <s v="Ella Rodriguez"/>
    <s v="ella.rodriguez581@yahoo.com"/>
    <x v="9"/>
    <x v="2"/>
    <n v="31.9"/>
    <n v="63.8"/>
    <x v="0"/>
    <x v="0"/>
    <x v="88"/>
  </r>
  <r>
    <s v="SALE-807-2023"/>
    <x v="564"/>
    <s v="CUST-1123"/>
    <s v="BK-613741"/>
    <n v="2"/>
    <s v="Emily Lee"/>
    <s v="emily.lee105@outlook.com"/>
    <x v="5"/>
    <x v="1"/>
    <n v="26.02"/>
    <n v="52.04"/>
    <x v="0"/>
    <x v="3"/>
    <x v="18"/>
  </r>
  <r>
    <s v="SALE-824-2023"/>
    <x v="565"/>
    <s v="CUST-1473"/>
    <s v="BK-388039"/>
    <n v="2"/>
    <s v="Emma Smith"/>
    <s v="emma.smith455@yahoo.com"/>
    <x v="9"/>
    <x v="1"/>
    <n v="23.16"/>
    <n v="46.32"/>
    <x v="1"/>
    <x v="2"/>
    <x v="58"/>
  </r>
  <r>
    <s v="SALE-841-2023"/>
    <x v="566"/>
    <s v="CUST-1383"/>
    <s v="BK-145563"/>
    <n v="2"/>
    <s v="George Johnson"/>
    <s v="george.johnson365@hotmail.com"/>
    <x v="9"/>
    <x v="1"/>
    <n v="20.18"/>
    <n v="40.36"/>
    <x v="1"/>
    <x v="0"/>
    <x v="36"/>
  </r>
  <r>
    <s v="SALE-858-2023"/>
    <x v="567"/>
    <s v="CUST-1663"/>
    <s v="BK-176148"/>
    <n v="2"/>
    <s v="Kevin Rodriguez"/>
    <s v="kevin.rodriguez645@outlook.com"/>
    <x v="5"/>
    <x v="2"/>
    <n v="26.27"/>
    <n v="52.54"/>
    <x v="0"/>
    <x v="2"/>
    <x v="56"/>
  </r>
  <r>
    <s v="SALE-875-2023"/>
    <x v="568"/>
    <s v="CUST-1535"/>
    <s v="BK-822540"/>
    <n v="2"/>
    <s v="Anthony Rodriguez"/>
    <s v="anthony.rodriguez517@gmail.com"/>
    <x v="1"/>
    <x v="3"/>
    <n v="32.799999999999997"/>
    <n v="65.599999999999994"/>
    <x v="0"/>
    <x v="0"/>
    <x v="44"/>
  </r>
  <r>
    <s v="SALE-892-2023"/>
    <x v="569"/>
    <s v="CUST-1095"/>
    <s v="BK-215553"/>
    <n v="2"/>
    <s v="Mia Lewis"/>
    <s v="mia.lewis77@yahoo.com"/>
    <x v="9"/>
    <x v="4"/>
    <n v="14.16"/>
    <n v="28.32"/>
    <x v="0"/>
    <x v="0"/>
    <x v="72"/>
  </r>
  <r>
    <s v="SALE-909-2023"/>
    <x v="570"/>
    <s v="CUST-1714"/>
    <s v="BK-826865"/>
    <n v="2"/>
    <s v="Brian White"/>
    <s v="brian.white696@yahoo.com"/>
    <x v="8"/>
    <x v="0"/>
    <n v="13.94"/>
    <n v="27.88"/>
    <x v="1"/>
    <x v="0"/>
    <x v="23"/>
  </r>
  <r>
    <s v="SALE-926-2023"/>
    <x v="571"/>
    <s v="CUST-1531"/>
    <s v="BK-344810"/>
    <n v="2"/>
    <s v="Kevin White"/>
    <s v="kevin.white513@gmail.com"/>
    <x v="4"/>
    <x v="4"/>
    <n v="14.33"/>
    <n v="28.66"/>
    <x v="0"/>
    <x v="0"/>
    <x v="62"/>
  </r>
  <r>
    <s v="SALE-943-2023"/>
    <x v="572"/>
    <s v="CUST-1940"/>
    <s v="BK-699222"/>
    <n v="2"/>
    <s v="Mia Smith"/>
    <s v="mia.smith922@yahoo.com"/>
    <x v="2"/>
    <x v="4"/>
    <n v="38.19"/>
    <n v="76.38"/>
    <x v="0"/>
    <x v="0"/>
    <x v="9"/>
  </r>
  <r>
    <s v="SALE-960-2023"/>
    <x v="573"/>
    <s v="CUST-1394"/>
    <s v="BK-900159"/>
    <n v="2"/>
    <s v="Chloe Young"/>
    <s v="chloe.young376@hotmail.com"/>
    <x v="8"/>
    <x v="4"/>
    <n v="25.72"/>
    <n v="51.44"/>
    <x v="1"/>
    <x v="2"/>
    <x v="29"/>
  </r>
  <r>
    <s v="SALE-977-2023"/>
    <x v="574"/>
    <s v="CUST-1144"/>
    <s v="BK-463755"/>
    <n v="2"/>
    <s v="Anthony Hill"/>
    <s v="anthony.hill126@gmail.com"/>
    <x v="4"/>
    <x v="0"/>
    <n v="27.13"/>
    <n v="54.26"/>
    <x v="0"/>
    <x v="0"/>
    <x v="9"/>
  </r>
  <r>
    <s v="SALE-015-2023"/>
    <x v="575"/>
    <s v="CUST-1666"/>
    <s v="BK-297611"/>
    <n v="3"/>
    <s v="Emma Walker"/>
    <s v="emma.walker648@outlook.com"/>
    <x v="4"/>
    <x v="3"/>
    <n v="39.19"/>
    <n v="117.57"/>
    <x v="1"/>
    <x v="0"/>
    <x v="22"/>
  </r>
  <r>
    <s v="SALE-032-2023"/>
    <x v="576"/>
    <s v="CUST-1644"/>
    <s v="BK-590218"/>
    <n v="1"/>
    <s v="Amelia Adams"/>
    <s v="amelia.adams626@outlook.com"/>
    <x v="9"/>
    <x v="4"/>
    <n v="21.09"/>
    <n v="21.09"/>
    <x v="0"/>
    <x v="1"/>
    <x v="19"/>
  </r>
  <r>
    <s v="SALE-049-2023"/>
    <x v="577"/>
    <s v="CUST-1596"/>
    <s v="BK-485908"/>
    <n v="4"/>
    <s v="Laura Taylor"/>
    <s v="laura.taylor578@hotmail.com"/>
    <x v="3"/>
    <x v="0"/>
    <n v="22.83"/>
    <n v="91.32"/>
    <x v="0"/>
    <x v="2"/>
    <x v="11"/>
  </r>
  <r>
    <s v="SALE-066-2023"/>
    <x v="578"/>
    <s v="CUST-1809"/>
    <s v="BK-749060"/>
    <n v="4"/>
    <s v="Peter Lee"/>
    <s v="peter.lee791@yahoo.com"/>
    <x v="42"/>
    <x v="2"/>
    <n v="14.06"/>
    <n v="56.24"/>
    <x v="0"/>
    <x v="0"/>
    <x v="13"/>
  </r>
  <r>
    <s v="SALE-083-2023"/>
    <x v="579"/>
    <s v="CUST-1713"/>
    <s v="BK-824217"/>
    <n v="2"/>
    <s v="Anna Martin"/>
    <s v="anna.martin695@gmail.com"/>
    <x v="3"/>
    <x v="1"/>
    <n v="21.4"/>
    <n v="42.8"/>
    <x v="0"/>
    <x v="2"/>
    <x v="23"/>
  </r>
  <r>
    <s v="SALE-100-2023"/>
    <x v="580"/>
    <s v="CUST-1187"/>
    <s v="BK-831630"/>
    <n v="2"/>
    <s v="Mia Lewis"/>
    <s v="mia.lewis169@outlook.com"/>
    <x v="8"/>
    <x v="0"/>
    <n v="11.47"/>
    <n v="22.94"/>
    <x v="1"/>
    <x v="0"/>
    <x v="9"/>
  </r>
  <r>
    <s v="SALE-117-2023"/>
    <x v="581"/>
    <s v="CUST-1756"/>
    <s v="BK-143353"/>
    <n v="2"/>
    <s v="Grace Lewis"/>
    <s v="grace.lewis738@hotmail.com"/>
    <x v="4"/>
    <x v="4"/>
    <n v="17.89"/>
    <n v="35.78"/>
    <x v="0"/>
    <x v="0"/>
    <x v="55"/>
  </r>
  <r>
    <s v="SALE-134-2023"/>
    <x v="582"/>
    <s v="CUST-1290"/>
    <s v="BK-835155"/>
    <n v="2"/>
    <s v="William Allen"/>
    <s v="william.allen272@hotmail.com"/>
    <x v="6"/>
    <x v="4"/>
    <n v="28.61"/>
    <n v="57.22"/>
    <x v="0"/>
    <x v="0"/>
    <x v="66"/>
  </r>
  <r>
    <s v="SALE-151-2023"/>
    <x v="583"/>
    <s v="CUST-1995"/>
    <s v="BK-886276"/>
    <n v="2"/>
    <s v="Ella Thompson"/>
    <s v="ella.thompson977@hotmail.com"/>
    <x v="33"/>
    <x v="0"/>
    <n v="23.17"/>
    <n v="46.34"/>
    <x v="0"/>
    <x v="2"/>
    <x v="7"/>
  </r>
  <r>
    <s v="SALE-168-2023"/>
    <x v="584"/>
    <s v="CUST-1665"/>
    <s v="BK-410485"/>
    <n v="2"/>
    <s v="Mia Lee"/>
    <s v="mia.lee647@yahoo.com"/>
    <x v="5"/>
    <x v="4"/>
    <n v="17.46"/>
    <n v="34.92"/>
    <x v="0"/>
    <x v="0"/>
    <x v="55"/>
  </r>
  <r>
    <s v="SALE-185-2023"/>
    <x v="585"/>
    <s v="CUST-1059"/>
    <s v="BK-211492"/>
    <n v="2"/>
    <s v="Mia White"/>
    <s v="mia.white41@yahoo.com"/>
    <x v="9"/>
    <x v="2"/>
    <n v="28.7"/>
    <n v="57.4"/>
    <x v="1"/>
    <x v="0"/>
    <x v="14"/>
  </r>
  <r>
    <s v="SALE-202-2023"/>
    <x v="586"/>
    <s v="CUST-1924"/>
    <s v="BK-433476"/>
    <n v="2"/>
    <s v="Ava Robinson"/>
    <s v="ava.robinson906@yahoo.com"/>
    <x v="2"/>
    <x v="2"/>
    <n v="12.96"/>
    <n v="25.92"/>
    <x v="1"/>
    <x v="0"/>
    <x v="40"/>
  </r>
  <r>
    <s v="SALE-219-2023"/>
    <x v="587"/>
    <s v="CUST-1811"/>
    <s v="BK-705462"/>
    <n v="2"/>
    <s v="George Brown"/>
    <s v="george.brown793@yahoo.com"/>
    <x v="2"/>
    <x v="1"/>
    <n v="16.010000000000002"/>
    <n v="32.020000000000003"/>
    <x v="0"/>
    <x v="2"/>
    <x v="50"/>
  </r>
  <r>
    <s v="SALE-236-2023"/>
    <x v="588"/>
    <s v="CUST-1720"/>
    <s v="BK-914423"/>
    <n v="2"/>
    <s v="Brian Hill"/>
    <s v="brian.hill702@hotmail.com"/>
    <x v="4"/>
    <x v="3"/>
    <n v="14.25"/>
    <n v="28.5"/>
    <x v="1"/>
    <x v="0"/>
    <x v="82"/>
  </r>
  <r>
    <s v="SALE-253-2023"/>
    <x v="589"/>
    <s v="CUST-1616"/>
    <s v="BK-879519"/>
    <n v="2"/>
    <s v="Ryan Baker"/>
    <s v="ryan.baker598@outlook.com"/>
    <x v="1"/>
    <x v="1"/>
    <n v="22.97"/>
    <n v="45.94"/>
    <x v="0"/>
    <x v="0"/>
    <x v="9"/>
  </r>
  <r>
    <s v="SALE-270-2023"/>
    <x v="590"/>
    <s v="CUST-1827"/>
    <s v="BK-419202"/>
    <n v="2"/>
    <s v="Thomas Taylor"/>
    <s v="thomas.taylor809@hotmail.com"/>
    <x v="43"/>
    <x v="3"/>
    <n v="37.07"/>
    <n v="74.14"/>
    <x v="1"/>
    <x v="3"/>
    <x v="24"/>
  </r>
  <r>
    <s v="SALE-287-2023"/>
    <x v="591"/>
    <s v="CUST-1623"/>
    <s v="BK-777292"/>
    <n v="2"/>
    <s v="Grace Thompson"/>
    <s v="grace.thompson605@outlook.com"/>
    <x v="3"/>
    <x v="0"/>
    <n v="39.92"/>
    <n v="79.84"/>
    <x v="1"/>
    <x v="1"/>
    <x v="48"/>
  </r>
  <r>
    <s v="SALE-304-2023"/>
    <x v="592"/>
    <s v="CUST-1746"/>
    <s v="BK-297790"/>
    <n v="2"/>
    <s v="Andrew Garcia"/>
    <s v="andrew.garcia728@outlook.com"/>
    <x v="5"/>
    <x v="1"/>
    <n v="33.619999999999997"/>
    <n v="67.239999999999995"/>
    <x v="1"/>
    <x v="3"/>
    <x v="70"/>
  </r>
  <r>
    <s v="SALE-321-2023"/>
    <x v="593"/>
    <s v="CUST-1152"/>
    <s v="BK-973341"/>
    <n v="2"/>
    <s v="Sophia Martinez"/>
    <s v="sophia.martinez134@yahoo.com"/>
    <x v="5"/>
    <x v="2"/>
    <n v="21.49"/>
    <n v="42.98"/>
    <x v="0"/>
    <x v="0"/>
    <x v="16"/>
  </r>
  <r>
    <s v="SALE-338-2023"/>
    <x v="594"/>
    <s v="CUST-1774"/>
    <s v="BK-178309"/>
    <n v="2"/>
    <s v="Chloe Johnson"/>
    <s v="chloe.johnson756@outlook.com"/>
    <x v="4"/>
    <x v="3"/>
    <n v="37.36"/>
    <n v="74.72"/>
    <x v="1"/>
    <x v="1"/>
    <x v="21"/>
  </r>
  <r>
    <s v="SALE-355-2023"/>
    <x v="595"/>
    <s v="CUST-1990"/>
    <s v="BK-468222"/>
    <n v="2"/>
    <s v="Mark Jackson"/>
    <s v="mark.jackson972@outlook.com"/>
    <x v="4"/>
    <x v="1"/>
    <n v="10.9"/>
    <n v="21.8"/>
    <x v="1"/>
    <x v="1"/>
    <x v="17"/>
  </r>
  <r>
    <s v="SALE-372-2023"/>
    <x v="596"/>
    <s v="CUST-1967"/>
    <s v="BK-138990"/>
    <n v="2"/>
    <s v="Brian Anderson"/>
    <s v="brian.anderson949@hotmail.com"/>
    <x v="22"/>
    <x v="3"/>
    <n v="19.36"/>
    <n v="38.72"/>
    <x v="1"/>
    <x v="1"/>
    <x v="50"/>
  </r>
  <r>
    <s v="SALE-389-2023"/>
    <x v="597"/>
    <s v="CUST-1631"/>
    <s v="BK-785124"/>
    <n v="2"/>
    <s v="Ava Lopez"/>
    <s v="ava.lopez613@yahoo.com"/>
    <x v="2"/>
    <x v="0"/>
    <n v="17.649999999999999"/>
    <n v="35.299999999999997"/>
    <x v="1"/>
    <x v="0"/>
    <x v="8"/>
  </r>
  <r>
    <s v="SALE-406-2023"/>
    <x v="598"/>
    <s v="CUST-1865"/>
    <s v="BK-698766"/>
    <n v="2"/>
    <s v="Mark Allen"/>
    <s v="mark.allen847@gmail.com"/>
    <x v="4"/>
    <x v="1"/>
    <n v="32.799999999999997"/>
    <n v="65.599999999999994"/>
    <x v="1"/>
    <x v="1"/>
    <x v="9"/>
  </r>
  <r>
    <s v="SALE-423-2023"/>
    <x v="599"/>
    <s v="CUST-1928"/>
    <s v="BK-263391"/>
    <n v="2"/>
    <s v="Joshua Martin"/>
    <s v="joshua.martin910@yahoo.com"/>
    <x v="9"/>
    <x v="4"/>
    <n v="18.78"/>
    <n v="37.56"/>
    <x v="1"/>
    <x v="2"/>
    <x v="5"/>
  </r>
  <r>
    <s v="SALE-440-2023"/>
    <x v="600"/>
    <s v="CUST-1374"/>
    <s v="BK-688442"/>
    <n v="2"/>
    <s v="Michael Baker"/>
    <s v="michael.baker356@outlook.com"/>
    <x v="9"/>
    <x v="4"/>
    <n v="37.590000000000003"/>
    <n v="75.180000000000007"/>
    <x v="0"/>
    <x v="0"/>
    <x v="74"/>
  </r>
  <r>
    <s v="SALE-457-2023"/>
    <x v="601"/>
    <s v="CUST-1512"/>
    <s v="BK-233883"/>
    <n v="2"/>
    <s v="Lucy Baker"/>
    <s v="lucy.baker494@hotmail.com"/>
    <x v="5"/>
    <x v="1"/>
    <n v="20.84"/>
    <n v="41.68"/>
    <x v="1"/>
    <x v="2"/>
    <x v="57"/>
  </r>
  <r>
    <s v="SALE-474-2023"/>
    <x v="602"/>
    <s v="CUST-1392"/>
    <s v="BK-292895"/>
    <n v="2"/>
    <s v="Sarah Anderson"/>
    <s v="sarah.anderson374@outlook.com"/>
    <x v="9"/>
    <x v="3"/>
    <n v="22.43"/>
    <n v="44.86"/>
    <x v="0"/>
    <x v="1"/>
    <x v="28"/>
  </r>
  <r>
    <s v="SALE-491-2023"/>
    <x v="603"/>
    <s v="CUST-1342"/>
    <s v="BK-885131"/>
    <n v="2"/>
    <s v="Ella Lewis"/>
    <s v="ella.lewis324@yahoo.com"/>
    <x v="4"/>
    <x v="1"/>
    <n v="10.11"/>
    <n v="20.22"/>
    <x v="1"/>
    <x v="0"/>
    <x v="44"/>
  </r>
  <r>
    <s v="SALE-508-2023"/>
    <x v="604"/>
    <s v="CUST-1914"/>
    <s v="BK-763605"/>
    <n v="2"/>
    <s v="David Anderson"/>
    <s v="david.anderson896@gmail.com"/>
    <x v="8"/>
    <x v="4"/>
    <n v="25.29"/>
    <n v="50.58"/>
    <x v="1"/>
    <x v="3"/>
    <x v="75"/>
  </r>
  <r>
    <s v="SALE-525-2023"/>
    <x v="605"/>
    <s v="CUST-1465"/>
    <s v="BK-442847"/>
    <n v="2"/>
    <s v="Anthony Martinez"/>
    <s v="anthony.martinez447@yahoo.com"/>
    <x v="5"/>
    <x v="4"/>
    <n v="30.31"/>
    <n v="60.62"/>
    <x v="1"/>
    <x v="2"/>
    <x v="13"/>
  </r>
  <r>
    <s v="SALE-542-2023"/>
    <x v="606"/>
    <s v="CUST-1854"/>
    <s v="BK-276768"/>
    <n v="2"/>
    <s v="Joshua King"/>
    <s v="joshua.king836@hotmail.com"/>
    <x v="44"/>
    <x v="2"/>
    <n v="14.53"/>
    <n v="29.06"/>
    <x v="0"/>
    <x v="3"/>
    <x v="49"/>
  </r>
  <r>
    <s v="SALE-559-2023"/>
    <x v="607"/>
    <s v="CUST-1688"/>
    <s v="BK-901682"/>
    <n v="2"/>
    <s v="Ava Scott"/>
    <s v="ava.scott670@yahoo.com"/>
    <x v="1"/>
    <x v="0"/>
    <n v="32.25"/>
    <n v="64.5"/>
    <x v="1"/>
    <x v="0"/>
    <x v="4"/>
  </r>
  <r>
    <s v="SALE-576-2023"/>
    <x v="608"/>
    <s v="CUST-1045"/>
    <s v="BK-482138"/>
    <n v="2"/>
    <s v="Peter Allen"/>
    <s v="peter.allen27@gmail.com"/>
    <x v="4"/>
    <x v="1"/>
    <n v="16.489999999999998"/>
    <n v="32.979999999999997"/>
    <x v="0"/>
    <x v="0"/>
    <x v="1"/>
  </r>
  <r>
    <s v="SALE-593-2023"/>
    <x v="609"/>
    <s v="CUST-1485"/>
    <s v="BK-829390"/>
    <n v="2"/>
    <s v="Sophia Lee"/>
    <s v="sophia.lee467@yahoo.com"/>
    <x v="5"/>
    <x v="4"/>
    <n v="22.3"/>
    <n v="44.6"/>
    <x v="0"/>
    <x v="1"/>
    <x v="57"/>
  </r>
  <r>
    <s v="SALE-610-2023"/>
    <x v="610"/>
    <s v="CUST-1912"/>
    <s v="BK-287717"/>
    <n v="2"/>
    <s v="Isabella White"/>
    <s v="isabella.white894@hotmail.com"/>
    <x v="9"/>
    <x v="1"/>
    <n v="34.369999999999997"/>
    <n v="68.739999999999995"/>
    <x v="1"/>
    <x v="1"/>
    <x v="76"/>
  </r>
  <r>
    <s v="SALE-627-2023"/>
    <x v="611"/>
    <s v="CUST-1984"/>
    <s v="BK-548157"/>
    <n v="2"/>
    <s v="Emma Martin"/>
    <s v="emma.martin966@yahoo.com"/>
    <x v="11"/>
    <x v="2"/>
    <n v="15.71"/>
    <n v="31.42"/>
    <x v="1"/>
    <x v="2"/>
    <x v="12"/>
  </r>
  <r>
    <s v="SALE-644-2023"/>
    <x v="612"/>
    <s v="CUST-1911"/>
    <s v="BK-575693"/>
    <n v="2"/>
    <s v="Andrew Taylor"/>
    <s v="andrew.taylor893@outlook.com"/>
    <x v="25"/>
    <x v="1"/>
    <n v="19.809999999999999"/>
    <n v="39.619999999999997"/>
    <x v="0"/>
    <x v="0"/>
    <x v="48"/>
  </r>
  <r>
    <s v="SALE-661-2023"/>
    <x v="613"/>
    <s v="CUST-1795"/>
    <s v="BK-281227"/>
    <n v="2"/>
    <s v="Charlotte Clark"/>
    <s v="charlotte.clark777@gmail.com"/>
    <x v="8"/>
    <x v="1"/>
    <n v="22.69"/>
    <n v="45.38"/>
    <x v="1"/>
    <x v="0"/>
    <x v="21"/>
  </r>
  <r>
    <s v="SALE-678-2023"/>
    <x v="614"/>
    <s v="CUST-1355"/>
    <s v="BK-843764"/>
    <n v="2"/>
    <s v="Laura Johnson"/>
    <s v="laura.johnson337@outlook.com"/>
    <x v="1"/>
    <x v="0"/>
    <n v="30.17"/>
    <n v="60.34"/>
    <x v="0"/>
    <x v="2"/>
    <x v="87"/>
  </r>
  <r>
    <s v="SALE-695-2023"/>
    <x v="615"/>
    <s v="CUST-1115"/>
    <s v="BK-303759"/>
    <n v="2"/>
    <s v="Sarah King"/>
    <s v="sarah.king97@outlook.com"/>
    <x v="8"/>
    <x v="1"/>
    <n v="31.01"/>
    <n v="62.02"/>
    <x v="1"/>
    <x v="2"/>
    <x v="47"/>
  </r>
  <r>
    <s v="SALE-712-2023"/>
    <x v="616"/>
    <s v="CUST-1975"/>
    <s v="BK-641408"/>
    <n v="2"/>
    <s v="Grace Baker"/>
    <s v="grace.baker957@gmail.com"/>
    <x v="18"/>
    <x v="0"/>
    <n v="21.71"/>
    <n v="43.42"/>
    <x v="1"/>
    <x v="0"/>
    <x v="74"/>
  </r>
  <r>
    <s v="SALE-729-2023"/>
    <x v="617"/>
    <s v="CUST-1829"/>
    <s v="BK-953850"/>
    <n v="2"/>
    <s v="Sophia Clark"/>
    <s v="sophia.clark811@yahoo.com"/>
    <x v="2"/>
    <x v="2"/>
    <n v="27.45"/>
    <n v="54.9"/>
    <x v="0"/>
    <x v="1"/>
    <x v="5"/>
  </r>
  <r>
    <s v="SALE-746-2023"/>
    <x v="618"/>
    <s v="CUST-1942"/>
    <s v="BK-559887"/>
    <n v="2"/>
    <s v="Sophia Martin"/>
    <s v="sophia.martin924@yahoo.com"/>
    <x v="8"/>
    <x v="2"/>
    <n v="30.04"/>
    <n v="60.08"/>
    <x v="1"/>
    <x v="0"/>
    <x v="39"/>
  </r>
  <r>
    <s v="SALE-763-2023"/>
    <x v="619"/>
    <s v="CUST-1563"/>
    <s v="BK-890888"/>
    <n v="2"/>
    <s v="Edward Garcia"/>
    <s v="edward.garcia545@yahoo.com"/>
    <x v="9"/>
    <x v="3"/>
    <n v="29.66"/>
    <n v="59.32"/>
    <x v="1"/>
    <x v="2"/>
    <x v="67"/>
  </r>
  <r>
    <s v="SALE-780-2023"/>
    <x v="620"/>
    <s v="CUST-1452"/>
    <s v="BK-561555"/>
    <n v="2"/>
    <s v="Ella Anderson"/>
    <s v="ella.anderson434@outlook.com"/>
    <x v="6"/>
    <x v="3"/>
    <n v="17"/>
    <n v="34"/>
    <x v="1"/>
    <x v="1"/>
    <x v="85"/>
  </r>
  <r>
    <s v="SALE-797-2023"/>
    <x v="621"/>
    <s v="CUST-1075"/>
    <s v="BK-399091"/>
    <n v="2"/>
    <s v="Anthony Hall"/>
    <s v="anthony.hall57@gmail.com"/>
    <x v="8"/>
    <x v="0"/>
    <n v="26.05"/>
    <n v="52.1"/>
    <x v="0"/>
    <x v="2"/>
    <x v="66"/>
  </r>
  <r>
    <s v="SALE-814-2023"/>
    <x v="622"/>
    <s v="CUST-1044"/>
    <s v="BK-530997"/>
    <n v="2"/>
    <s v="Ella Taylor"/>
    <s v="ella.taylor26@yahoo.com"/>
    <x v="5"/>
    <x v="0"/>
    <n v="22.51"/>
    <n v="45.02"/>
    <x v="1"/>
    <x v="0"/>
    <x v="18"/>
  </r>
  <r>
    <s v="SALE-831-2023"/>
    <x v="623"/>
    <s v="CUST-1724"/>
    <s v="BK-904203"/>
    <n v="2"/>
    <s v="Hannah Robinson"/>
    <s v="hannah.robinson706@hotmail.com"/>
    <x v="1"/>
    <x v="0"/>
    <n v="11.19"/>
    <n v="22.38"/>
    <x v="1"/>
    <x v="0"/>
    <x v="7"/>
  </r>
  <r>
    <s v="SALE-848-2023"/>
    <x v="624"/>
    <s v="CUST-1056"/>
    <s v="BK-296949"/>
    <n v="2"/>
    <s v="John Wright"/>
    <s v="john.wright38@yahoo.com"/>
    <x v="3"/>
    <x v="1"/>
    <n v="37.71"/>
    <n v="75.42"/>
    <x v="1"/>
    <x v="1"/>
    <x v="10"/>
  </r>
  <r>
    <s v="SALE-865-2023"/>
    <x v="625"/>
    <s v="CUST-1517"/>
    <s v="BK-117033"/>
    <n v="2"/>
    <s v="Emma Wright"/>
    <s v="emma.wright499@hotmail.com"/>
    <x v="1"/>
    <x v="0"/>
    <n v="30.98"/>
    <n v="61.96"/>
    <x v="1"/>
    <x v="2"/>
    <x v="66"/>
  </r>
  <r>
    <s v="SALE-882-2023"/>
    <x v="626"/>
    <s v="CUST-1223"/>
    <s v="BK-211035"/>
    <n v="2"/>
    <s v="John Martin"/>
    <s v="john.martin205@yahoo.com"/>
    <x v="8"/>
    <x v="4"/>
    <n v="19.149999999999999"/>
    <n v="38.299999999999997"/>
    <x v="0"/>
    <x v="2"/>
    <x v="49"/>
  </r>
  <r>
    <s v="SALE-899-2023"/>
    <x v="627"/>
    <s v="CUST-1207"/>
    <s v="BK-580068"/>
    <n v="2"/>
    <s v="James Green"/>
    <s v="james.green189@gmail.com"/>
    <x v="4"/>
    <x v="2"/>
    <n v="11.66"/>
    <n v="23.32"/>
    <x v="1"/>
    <x v="2"/>
    <x v="89"/>
  </r>
  <r>
    <s v="SALE-916-2023"/>
    <x v="628"/>
    <s v="CUST-1243"/>
    <s v="BK-633098"/>
    <n v="2"/>
    <s v="Olivia Taylor"/>
    <s v="olivia.taylor225@yahoo.com"/>
    <x v="4"/>
    <x v="0"/>
    <n v="10.77"/>
    <n v="21.54"/>
    <x v="1"/>
    <x v="2"/>
    <x v="35"/>
  </r>
  <r>
    <s v="SALE-933-2023"/>
    <x v="629"/>
    <s v="CUST-1779"/>
    <s v="BK-385396"/>
    <n v="2"/>
    <s v="Ella Harris"/>
    <s v="ella.harris761@outlook.com"/>
    <x v="9"/>
    <x v="2"/>
    <n v="15.42"/>
    <n v="30.84"/>
    <x v="1"/>
    <x v="1"/>
    <x v="58"/>
  </r>
  <r>
    <s v="SALE-950-2023"/>
    <x v="630"/>
    <s v="CUST-1343"/>
    <s v="BK-556949"/>
    <n v="2"/>
    <s v="David King"/>
    <s v="david.king325@outlook.com"/>
    <x v="2"/>
    <x v="1"/>
    <n v="29.34"/>
    <n v="58.68"/>
    <x v="0"/>
    <x v="0"/>
    <x v="40"/>
  </r>
  <r>
    <s v="SALE-967-2023"/>
    <x v="631"/>
    <s v="CUST-1760"/>
    <s v="BK-391848"/>
    <n v="2"/>
    <s v="Emma Lewis"/>
    <s v="emma.lewis742@outlook.com"/>
    <x v="1"/>
    <x v="2"/>
    <n v="23.12"/>
    <n v="46.24"/>
    <x v="1"/>
    <x v="0"/>
    <x v="4"/>
  </r>
  <r>
    <s v="SALE-016-2023"/>
    <x v="632"/>
    <s v="CUST-1670"/>
    <s v="BK-411269"/>
    <n v="4"/>
    <s v="Lucy Martinez"/>
    <s v="lucy.martinez652@yahoo.com"/>
    <x v="1"/>
    <x v="0"/>
    <n v="13.89"/>
    <n v="55.56"/>
    <x v="1"/>
    <x v="0"/>
    <x v="3"/>
  </r>
  <r>
    <s v="SALE-033-2023"/>
    <x v="633"/>
    <s v="CUST-1761"/>
    <s v="BK-650270"/>
    <n v="3"/>
    <s v="Paul Robinson"/>
    <s v="paul.robinson743@hotmail.com"/>
    <x v="9"/>
    <x v="3"/>
    <n v="26.73"/>
    <n v="80.19"/>
    <x v="1"/>
    <x v="0"/>
    <x v="73"/>
  </r>
  <r>
    <s v="SALE-050-2023"/>
    <x v="634"/>
    <s v="CUST-1327"/>
    <s v="BK-728446"/>
    <n v="2"/>
    <s v="James Johnson"/>
    <s v="james.johnson309@outlook.com"/>
    <x v="8"/>
    <x v="3"/>
    <n v="28.07"/>
    <n v="56.14"/>
    <x v="0"/>
    <x v="2"/>
    <x v="57"/>
  </r>
  <r>
    <s v="SALE-067-2023"/>
    <x v="635"/>
    <s v="CUST-1541"/>
    <s v="BK-613760"/>
    <n v="2"/>
    <s v="Lucy Harris"/>
    <s v="lucy.harris523@hotmail.com"/>
    <x v="2"/>
    <x v="0"/>
    <n v="14.94"/>
    <n v="29.88"/>
    <x v="1"/>
    <x v="2"/>
    <x v="76"/>
  </r>
  <r>
    <s v="SALE-084-2023"/>
    <x v="636"/>
    <s v="CUST-1492"/>
    <s v="BK-726628"/>
    <n v="3"/>
    <s v="Sarah Allen"/>
    <s v="sarah.allen474@hotmail.com"/>
    <x v="5"/>
    <x v="1"/>
    <n v="12.42"/>
    <n v="37.26"/>
    <x v="0"/>
    <x v="0"/>
    <x v="59"/>
  </r>
  <r>
    <s v="SALE-101-2023"/>
    <x v="637"/>
    <s v="CUST-1979"/>
    <s v="BK-469842"/>
    <n v="3"/>
    <s v="Jessica Adams"/>
    <s v="jessica.adams961@gmail.com"/>
    <x v="1"/>
    <x v="4"/>
    <n v="16.239999999999998"/>
    <n v="48.72"/>
    <x v="0"/>
    <x v="1"/>
    <x v="27"/>
  </r>
  <r>
    <s v="SALE-118-2023"/>
    <x v="638"/>
    <s v="CUST-1464"/>
    <s v="BK-190370"/>
    <n v="3"/>
    <s v="Ava Thompson"/>
    <s v="ava.thompson446@outlook.com"/>
    <x v="9"/>
    <x v="2"/>
    <n v="27.14"/>
    <n v="81.42"/>
    <x v="0"/>
    <x v="2"/>
    <x v="32"/>
  </r>
  <r>
    <s v="SALE-135-2023"/>
    <x v="639"/>
    <s v="CUST-1519"/>
    <s v="BK-312651"/>
    <n v="3"/>
    <s v="Mark Anderson"/>
    <s v="mark.anderson501@hotmail.com"/>
    <x v="5"/>
    <x v="0"/>
    <n v="30.34"/>
    <n v="91.02"/>
    <x v="1"/>
    <x v="0"/>
    <x v="82"/>
  </r>
  <r>
    <s v="SALE-152-2023"/>
    <x v="640"/>
    <s v="CUST-1744"/>
    <s v="BK-184559"/>
    <n v="3"/>
    <s v="Robert Allen"/>
    <s v="robert.allen726@outlook.com"/>
    <x v="5"/>
    <x v="2"/>
    <n v="24.54"/>
    <n v="73.62"/>
    <x v="1"/>
    <x v="1"/>
    <x v="59"/>
  </r>
  <r>
    <s v="SALE-169-2023"/>
    <x v="641"/>
    <s v="CUST-1791"/>
    <s v="BK-583698"/>
    <n v="3"/>
    <s v="Charlotte Young"/>
    <s v="charlotte.young773@hotmail.com"/>
    <x v="37"/>
    <x v="2"/>
    <n v="20.95"/>
    <n v="62.849999999999994"/>
    <x v="0"/>
    <x v="0"/>
    <x v="50"/>
  </r>
  <r>
    <s v="SALE-186-2023"/>
    <x v="642"/>
    <s v="CUST-1155"/>
    <s v="BK-828016"/>
    <n v="3"/>
    <s v="Lily Lewis"/>
    <s v="lily.lewis137@yahoo.com"/>
    <x v="6"/>
    <x v="0"/>
    <n v="16.2"/>
    <n v="48.599999999999994"/>
    <x v="0"/>
    <x v="3"/>
    <x v="12"/>
  </r>
  <r>
    <s v="SALE-203-2023"/>
    <x v="643"/>
    <s v="CUST-1046"/>
    <s v="BK-209006"/>
    <n v="3"/>
    <s v="Daniel Hall"/>
    <s v="daniel.hall28@gmail.com"/>
    <x v="2"/>
    <x v="3"/>
    <n v="32.25"/>
    <n v="96.75"/>
    <x v="1"/>
    <x v="2"/>
    <x v="64"/>
  </r>
  <r>
    <s v="SALE-220-2023"/>
    <x v="644"/>
    <s v="CUST-1504"/>
    <s v="BK-294912"/>
    <n v="3"/>
    <s v="Andrew Thomas"/>
    <s v="andrew.thomas486@gmail.com"/>
    <x v="4"/>
    <x v="3"/>
    <n v="29.21"/>
    <n v="87.63"/>
    <x v="0"/>
    <x v="0"/>
    <x v="36"/>
  </r>
  <r>
    <s v="SALE-237-2023"/>
    <x v="645"/>
    <s v="CUST-1832"/>
    <s v="BK-138301"/>
    <n v="3"/>
    <s v="John Green"/>
    <s v="john.green814@outlook.com"/>
    <x v="1"/>
    <x v="4"/>
    <n v="26.27"/>
    <n v="78.81"/>
    <x v="1"/>
    <x v="2"/>
    <x v="88"/>
  </r>
  <r>
    <s v="SALE-254-2023"/>
    <x v="646"/>
    <s v="CUST-1685"/>
    <s v="BK-587377"/>
    <n v="3"/>
    <s v="Jessica Martin"/>
    <s v="jessica.martin667@hotmail.com"/>
    <x v="2"/>
    <x v="4"/>
    <n v="33.840000000000003"/>
    <n v="101.52000000000001"/>
    <x v="0"/>
    <x v="0"/>
    <x v="84"/>
  </r>
  <r>
    <s v="SALE-271-2023"/>
    <x v="647"/>
    <s v="CUST-1594"/>
    <s v="BK-100912"/>
    <n v="3"/>
    <s v="Michael Jackson"/>
    <s v="michael.jackson576@hotmail.com"/>
    <x v="4"/>
    <x v="1"/>
    <n v="20.58"/>
    <n v="61.739999999999995"/>
    <x v="0"/>
    <x v="0"/>
    <x v="32"/>
  </r>
  <r>
    <s v="SALE-288-2023"/>
    <x v="648"/>
    <s v="CUST-1558"/>
    <s v="BK-592164"/>
    <n v="3"/>
    <s v="Ella Wright"/>
    <s v="ella.wright540@outlook.com"/>
    <x v="4"/>
    <x v="0"/>
    <n v="29.64"/>
    <n v="88.92"/>
    <x v="1"/>
    <x v="2"/>
    <x v="6"/>
  </r>
  <r>
    <s v="SALE-305-2023"/>
    <x v="649"/>
    <s v="CUST-1449"/>
    <s v="BK-160802"/>
    <n v="3"/>
    <s v="Thomas Rodriguez"/>
    <s v="thomas.rodriguez431@gmail.com"/>
    <x v="5"/>
    <x v="3"/>
    <n v="31.7"/>
    <n v="95.1"/>
    <x v="1"/>
    <x v="0"/>
    <x v="8"/>
  </r>
  <r>
    <s v="SALE-322-2023"/>
    <x v="650"/>
    <s v="CUST-1210"/>
    <s v="BK-758779"/>
    <n v="3"/>
    <s v="William Adams"/>
    <s v="william.adams192@hotmail.com"/>
    <x v="8"/>
    <x v="4"/>
    <n v="22.61"/>
    <n v="67.83"/>
    <x v="1"/>
    <x v="1"/>
    <x v="5"/>
  </r>
  <r>
    <s v="SALE-339-2023"/>
    <x v="651"/>
    <s v="CUST-1949"/>
    <s v="BK-831926"/>
    <n v="3"/>
    <s v="Chloe Garcia"/>
    <s v="chloe.garcia931@gmail.com"/>
    <x v="1"/>
    <x v="3"/>
    <n v="32.97"/>
    <n v="98.91"/>
    <x v="1"/>
    <x v="0"/>
    <x v="12"/>
  </r>
  <r>
    <s v="SALE-356-2023"/>
    <x v="652"/>
    <s v="CUST-1645"/>
    <s v="BK-140951"/>
    <n v="3"/>
    <s v="George Garcia"/>
    <s v="george.garcia627@gmail.com"/>
    <x v="5"/>
    <x v="2"/>
    <n v="29.09"/>
    <n v="87.27"/>
    <x v="0"/>
    <x v="0"/>
    <x v="8"/>
  </r>
  <r>
    <s v="SALE-373-2023"/>
    <x v="653"/>
    <s v="CUST-1646"/>
    <s v="BK-215136"/>
    <n v="3"/>
    <s v="John Thomas"/>
    <s v="john.thomas628@outlook.com"/>
    <x v="8"/>
    <x v="3"/>
    <n v="33.4"/>
    <n v="100.19999999999999"/>
    <x v="1"/>
    <x v="1"/>
    <x v="34"/>
  </r>
  <r>
    <s v="SALE-390-2023"/>
    <x v="654"/>
    <s v="CUST-1745"/>
    <s v="BK-322045"/>
    <n v="3"/>
    <s v="Grace Green"/>
    <s v="grace.green727@yahoo.com"/>
    <x v="8"/>
    <x v="1"/>
    <n v="36.71"/>
    <n v="110.13"/>
    <x v="1"/>
    <x v="0"/>
    <x v="32"/>
  </r>
  <r>
    <s v="SALE-407-2023"/>
    <x v="655"/>
    <s v="CUST-1317"/>
    <s v="BK-824870"/>
    <n v="3"/>
    <s v="Isabella Brown"/>
    <s v="isabella.brown299@outlook.com"/>
    <x v="6"/>
    <x v="0"/>
    <n v="14.01"/>
    <n v="42.03"/>
    <x v="0"/>
    <x v="0"/>
    <x v="65"/>
  </r>
  <r>
    <s v="SALE-424-2023"/>
    <x v="656"/>
    <s v="CUST-1395"/>
    <s v="BK-863775"/>
    <n v="3"/>
    <s v="Steven Thomas"/>
    <s v="steven.thomas377@hotmail.com"/>
    <x v="5"/>
    <x v="1"/>
    <n v="23.75"/>
    <n v="71.25"/>
    <x v="1"/>
    <x v="0"/>
    <x v="48"/>
  </r>
  <r>
    <s v="SALE-441-2023"/>
    <x v="657"/>
    <s v="CUST-1132"/>
    <s v="BK-175073"/>
    <n v="3"/>
    <s v="James Harris"/>
    <s v="james.harris114@outlook.com"/>
    <x v="5"/>
    <x v="4"/>
    <n v="23.44"/>
    <n v="70.320000000000007"/>
    <x v="1"/>
    <x v="0"/>
    <x v="47"/>
  </r>
  <r>
    <s v="SALE,458-2023"/>
    <x v="658"/>
    <s v="CUST-1064"/>
    <s v="BK-260056"/>
    <n v="3"/>
    <s v="Mia Lewis"/>
    <s v="mia.lewis46@hotmail.com"/>
    <x v="2"/>
    <x v="2"/>
    <n v="22.86"/>
    <n v="68.58"/>
    <x v="0"/>
    <x v="3"/>
    <x v="59"/>
  </r>
  <r>
    <s v="SALE-475-2023"/>
    <x v="659"/>
    <s v="CUST-1228"/>
    <s v="BK-765359"/>
    <n v="3"/>
    <s v="Michael Rodriguez"/>
    <s v="michael.rodriguez210@gmail.com"/>
    <x v="8"/>
    <x v="4"/>
    <n v="24.51"/>
    <n v="73.53"/>
    <x v="1"/>
    <x v="2"/>
    <x v="34"/>
  </r>
  <r>
    <s v="SALE-492-2023"/>
    <x v="660"/>
    <s v="CUST-1098"/>
    <s v="BK-530486"/>
    <n v="3"/>
    <s v="Joshua Hill"/>
    <s v="joshua.hill80@hotmail.com"/>
    <x v="5"/>
    <x v="1"/>
    <n v="35.33"/>
    <n v="105.99"/>
    <x v="1"/>
    <x v="1"/>
    <x v="13"/>
  </r>
  <r>
    <s v="SALE-509-2023"/>
    <x v="661"/>
    <s v="CUST-1043"/>
    <s v="BK-496948"/>
    <n v="3"/>
    <s v="Edward Scott"/>
    <s v="edward.scott25@gmail.com"/>
    <x v="8"/>
    <x v="3"/>
    <n v="35.46"/>
    <n v="106.38"/>
    <x v="0"/>
    <x v="2"/>
    <x v="32"/>
  </r>
  <r>
    <s v="SALE-526-2023"/>
    <x v="662"/>
    <s v="CUST-1309"/>
    <s v="BK-283930"/>
    <n v="3"/>
    <s v="Sophia Taylor"/>
    <s v="sophia.taylor291@gmail.com"/>
    <x v="8"/>
    <x v="3"/>
    <n v="11.05"/>
    <n v="33.150000000000006"/>
    <x v="1"/>
    <x v="1"/>
    <x v="37"/>
  </r>
  <r>
    <s v="SALE-543-2023"/>
    <x v="663"/>
    <s v="CUST-1302"/>
    <s v="BK-811579"/>
    <n v="3"/>
    <s v="James Scott"/>
    <s v="james.scott284@gmail.com"/>
    <x v="9"/>
    <x v="0"/>
    <n v="28.4"/>
    <n v="85.199999999999989"/>
    <x v="1"/>
    <x v="0"/>
    <x v="58"/>
  </r>
  <r>
    <s v="SALE-560-2023"/>
    <x v="664"/>
    <s v="CUST-1845"/>
    <s v="BK-175613"/>
    <n v="3"/>
    <s v="Zoe Lewis"/>
    <s v="zoe.lewis827@yahoo.com"/>
    <x v="32"/>
    <x v="3"/>
    <n v="27.32"/>
    <n v="81.960000000000008"/>
    <x v="0"/>
    <x v="2"/>
    <x v="15"/>
  </r>
  <r>
    <s v="SALE-577-2023"/>
    <x v="665"/>
    <s v="CUST-1528"/>
    <s v="BK-419245"/>
    <n v="3"/>
    <s v="Mia King"/>
    <s v="mia.king510@gmail.com"/>
    <x v="5"/>
    <x v="3"/>
    <n v="38.729999999999997"/>
    <n v="116.19"/>
    <x v="1"/>
    <x v="1"/>
    <x v="10"/>
  </r>
  <r>
    <s v="SALE-594-2023"/>
    <x v="666"/>
    <s v="CUST-1784"/>
    <s v="BK-932908"/>
    <n v="3"/>
    <s v="Ella King"/>
    <s v="ella.king766@hotmail.com"/>
    <x v="2"/>
    <x v="4"/>
    <n v="31.56"/>
    <n v="94.679999999999993"/>
    <x v="1"/>
    <x v="1"/>
    <x v="9"/>
  </r>
  <r>
    <s v="SALE-611-2023"/>
    <x v="667"/>
    <s v="CUST-1570"/>
    <s v="BK-233131"/>
    <n v="3"/>
    <s v="Hannah King"/>
    <s v="hannah.king552@gmail.com"/>
    <x v="8"/>
    <x v="4"/>
    <n v="36.08"/>
    <n v="108.24"/>
    <x v="0"/>
    <x v="0"/>
    <x v="85"/>
  </r>
  <r>
    <s v="SALE-628-2023"/>
    <x v="668"/>
    <s v="CUST-1136"/>
    <s v="BK-839611"/>
    <n v="3"/>
    <s v="Chloe Robinson"/>
    <s v="chloe.robinson118@outlook.com"/>
    <x v="2"/>
    <x v="2"/>
    <n v="19.45"/>
    <n v="58.349999999999994"/>
    <x v="1"/>
    <x v="0"/>
    <x v="34"/>
  </r>
  <r>
    <s v="SALE-645-2023"/>
    <x v="669"/>
    <s v="CUST-1196"/>
    <s v="BK-754828"/>
    <n v="3"/>
    <s v="Sarah Smith"/>
    <s v="sarah.smith178@gmail.com"/>
    <x v="8"/>
    <x v="1"/>
    <n v="24.78"/>
    <n v="74.34"/>
    <x v="1"/>
    <x v="0"/>
    <x v="82"/>
  </r>
  <r>
    <s v="SALE-662-2023"/>
    <x v="670"/>
    <s v="CUST-1041"/>
    <s v="BK-417215"/>
    <n v="3"/>
    <s v="Michael Young"/>
    <s v="michael.young23@yahoo.com"/>
    <x v="9"/>
    <x v="4"/>
    <n v="11.31"/>
    <n v="33.93"/>
    <x v="1"/>
    <x v="1"/>
    <x v="89"/>
  </r>
  <r>
    <s v="SALE-679-2023"/>
    <x v="671"/>
    <s v="CUST-1710"/>
    <s v="BK-778320"/>
    <n v="3"/>
    <s v="Ryan Lewis"/>
    <s v="ryan.lewis692@gmail.com"/>
    <x v="5"/>
    <x v="2"/>
    <n v="18.91"/>
    <n v="56.730000000000004"/>
    <x v="0"/>
    <x v="1"/>
    <x v="41"/>
  </r>
  <r>
    <s v="SALE-696-2023"/>
    <x v="672"/>
    <s v="CUST-1679"/>
    <s v="BK-101095"/>
    <n v="3"/>
    <s v="Paul Johnson"/>
    <s v="paul.johnson661@hotmail.com"/>
    <x v="1"/>
    <x v="4"/>
    <n v="13.97"/>
    <n v="41.910000000000004"/>
    <x v="0"/>
    <x v="2"/>
    <x v="64"/>
  </r>
  <r>
    <s v="SALE-713-2023"/>
    <x v="673"/>
    <s v="CUST-1139"/>
    <s v="BK-217683"/>
    <n v="3"/>
    <s v="Grace Hill"/>
    <s v="grace.hill121@outlook.com"/>
    <x v="1"/>
    <x v="0"/>
    <n v="32.01"/>
    <n v="96.03"/>
    <x v="1"/>
    <x v="0"/>
    <x v="67"/>
  </r>
  <r>
    <s v="SALE-730-2023"/>
    <x v="674"/>
    <s v="CUST-1941"/>
    <s v="BK-628349"/>
    <n v="3"/>
    <s v="Andrew Johnson"/>
    <s v="andrew.johnson923@yahoo.com"/>
    <x v="13"/>
    <x v="3"/>
    <n v="16.670000000000002"/>
    <n v="50.010000000000005"/>
    <x v="0"/>
    <x v="1"/>
    <x v="78"/>
  </r>
  <r>
    <s v="SALE-747-2023"/>
    <x v="675"/>
    <s v="CUST-1758"/>
    <s v="BK-972818"/>
    <n v="3"/>
    <s v="Zoe Green"/>
    <s v="zoe.green740@hotmail.com"/>
    <x v="3"/>
    <x v="0"/>
    <n v="27.44"/>
    <n v="82.320000000000007"/>
    <x v="1"/>
    <x v="0"/>
    <x v="6"/>
  </r>
  <r>
    <s v="SALE-764-2023"/>
    <x v="676"/>
    <s v="CUST-1891"/>
    <s v="BK-357942"/>
    <n v="3"/>
    <s v="Hannah Anderson"/>
    <s v="hannah.anderson873@yahoo.com"/>
    <x v="8"/>
    <x v="4"/>
    <n v="37.619999999999997"/>
    <n v="112.85999999999999"/>
    <x v="1"/>
    <x v="1"/>
    <x v="86"/>
  </r>
  <r>
    <s v="SALE-781-2023"/>
    <x v="677"/>
    <s v="CUST-1022"/>
    <s v="BK-252277"/>
    <n v="3"/>
    <s v="Ella Taylor"/>
    <s v="ella.taylor4@gmail.com"/>
    <x v="1"/>
    <x v="0"/>
    <n v="14.73"/>
    <n v="44.19"/>
    <x v="1"/>
    <x v="0"/>
    <x v="83"/>
  </r>
  <r>
    <s v="SALE-798-2023"/>
    <x v="678"/>
    <s v="CUST-1932"/>
    <s v="BK-164440"/>
    <n v="3"/>
    <s v="Thomas White"/>
    <s v="thomas.white914@hotmail.com"/>
    <x v="16"/>
    <x v="4"/>
    <n v="23.37"/>
    <n v="70.11"/>
    <x v="1"/>
    <x v="0"/>
    <x v="47"/>
  </r>
  <r>
    <s v="SALE-815-2023"/>
    <x v="679"/>
    <s v="CUST-1837"/>
    <s v="BK-842422"/>
    <n v="3"/>
    <s v="Robert Taylor"/>
    <s v="robert.taylor819@yahoo.com"/>
    <x v="45"/>
    <x v="0"/>
    <n v="26.28"/>
    <n v="78.84"/>
    <x v="0"/>
    <x v="0"/>
    <x v="51"/>
  </r>
  <r>
    <s v="SALE-832-2023"/>
    <x v="680"/>
    <s v="CUST-1467"/>
    <s v="BK-568369"/>
    <n v="3"/>
    <s v="Brian Smith"/>
    <s v="brian.smith449@outlook.com"/>
    <x v="5"/>
    <x v="4"/>
    <n v="10.210000000000001"/>
    <n v="30.630000000000003"/>
    <x v="0"/>
    <x v="0"/>
    <x v="78"/>
  </r>
  <r>
    <s v="SALE-849-2023"/>
    <x v="681"/>
    <s v="CUST-1835"/>
    <s v="BK-992862"/>
    <n v="3"/>
    <s v="Emily Taylor"/>
    <s v="emily.taylor817@outlook.com"/>
    <x v="8"/>
    <x v="1"/>
    <n v="24.08"/>
    <n v="72.239999999999995"/>
    <x v="1"/>
    <x v="0"/>
    <x v="3"/>
  </r>
  <r>
    <s v="SALE-866-2023"/>
    <x v="682"/>
    <s v="CUST-1677"/>
    <s v="BK-197214"/>
    <n v="3"/>
    <s v="John White"/>
    <s v="john.white659@outlook.com"/>
    <x v="3"/>
    <x v="2"/>
    <n v="32.56"/>
    <n v="97.68"/>
    <x v="0"/>
    <x v="2"/>
    <x v="19"/>
  </r>
  <r>
    <s v="SALE-883-2023"/>
    <x v="683"/>
    <s v="CUST-1215"/>
    <s v="BK-576821"/>
    <n v="3"/>
    <s v="James Lee"/>
    <s v="james.lee197@hotmail.com"/>
    <x v="5"/>
    <x v="3"/>
    <n v="22.4"/>
    <n v="67.199999999999989"/>
    <x v="0"/>
    <x v="1"/>
    <x v="78"/>
  </r>
  <r>
    <s v="SALE-900-2023"/>
    <x v="684"/>
    <s v="CUST-1819"/>
    <s v="BK-682596"/>
    <n v="3"/>
    <s v="Andrew Wright"/>
    <s v="andrew.wright801@gmail.com"/>
    <x v="4"/>
    <x v="3"/>
    <n v="31.85"/>
    <n v="95.550000000000011"/>
    <x v="0"/>
    <x v="0"/>
    <x v="4"/>
  </r>
  <r>
    <s v="SALE-917-2023"/>
    <x v="241"/>
    <s v="CUST-1954"/>
    <s v="BK-293204"/>
    <n v="3"/>
    <s v="Laura Martin"/>
    <s v="laura.martin936@outlook.com"/>
    <x v="23"/>
    <x v="0"/>
    <n v="28.62"/>
    <n v="85.86"/>
    <x v="1"/>
    <x v="1"/>
    <x v="60"/>
  </r>
  <r>
    <s v="SALE-934-2023"/>
    <x v="685"/>
    <s v="CUST-1076"/>
    <s v="BK-885856"/>
    <n v="3"/>
    <s v="Amelia Lewis"/>
    <s v="amelia.lewis58@yahoo.com"/>
    <x v="1"/>
    <x v="4"/>
    <n v="12.59"/>
    <n v="37.769999999999996"/>
    <x v="1"/>
    <x v="0"/>
    <x v="17"/>
  </r>
  <r>
    <s v="SALE-951-2023"/>
    <x v="686"/>
    <s v="CUST-1627"/>
    <s v="BK-702661"/>
    <n v="3"/>
    <s v="David Lewis"/>
    <s v="david.lewis609@hotmail.com"/>
    <x v="5"/>
    <x v="1"/>
    <n v="29.97"/>
    <n v="89.91"/>
    <x v="1"/>
    <x v="0"/>
    <x v="46"/>
  </r>
  <r>
    <s v="SALE-968-2023"/>
    <x v="687"/>
    <s v="CUST-1595"/>
    <s v="BK-655355"/>
    <n v="3"/>
    <s v="Daniel Lopez"/>
    <s v="daniel.lopez577@hotmail.com"/>
    <x v="2"/>
    <x v="2"/>
    <n v="10.78"/>
    <n v="32.339999999999996"/>
    <x v="1"/>
    <x v="0"/>
    <x v="57"/>
  </r>
  <r>
    <s v="SALE-005-2023"/>
    <x v="688"/>
    <s v="CUST-1681"/>
    <s v="BK-121971"/>
    <n v="1"/>
    <s v="Sarah Lewis"/>
    <s v="sarah.lewis663@gmail.com"/>
    <x v="5"/>
    <x v="3"/>
    <n v="26.88"/>
    <n v="26.88"/>
    <x v="0"/>
    <x v="0"/>
    <x v="62"/>
  </r>
  <r>
    <s v="SALE-027-2023"/>
    <x v="689"/>
    <s v="CUST-1629"/>
    <s v="BK-729002"/>
    <n v="1"/>
    <s v="Ella Garcia"/>
    <s v="ella.garcia611@gmail.com"/>
    <x v="5"/>
    <x v="1"/>
    <n v="22.24"/>
    <n v="22.24"/>
    <x v="1"/>
    <x v="1"/>
    <x v="11"/>
  </r>
  <r>
    <s v="SALE-044-2023"/>
    <x v="690"/>
    <s v="CUST-1029"/>
    <s v="BK-218807"/>
    <n v="1"/>
    <s v="Joshua Hall"/>
    <s v="joshua.hall11@outlook.com"/>
    <x v="3"/>
    <x v="0"/>
    <n v="20.75"/>
    <n v="20.75"/>
    <x v="0"/>
    <x v="1"/>
    <x v="43"/>
  </r>
  <r>
    <s v="SALE-061-2023"/>
    <x v="691"/>
    <s v="CUST-1172"/>
    <s v="BK-163785"/>
    <n v="1"/>
    <s v="Chloe Robinson"/>
    <s v="chloe.robinson154@outlook.com"/>
    <x v="2"/>
    <x v="2"/>
    <n v="25.77"/>
    <n v="25.77"/>
    <x v="1"/>
    <x v="1"/>
    <x v="61"/>
  </r>
  <r>
    <s v="SALE-078-2023"/>
    <x v="692"/>
    <s v="CUST-1348"/>
    <s v="BK-340332"/>
    <n v="2"/>
    <s v="Emily Wright"/>
    <s v="emily.wright330@gmail.com"/>
    <x v="5"/>
    <x v="2"/>
    <n v="36.630000000000003"/>
    <n v="73.260000000000005"/>
    <x v="1"/>
    <x v="0"/>
    <x v="41"/>
  </r>
  <r>
    <s v="SALE-095-2023"/>
    <x v="693"/>
    <s v="CUST-1579"/>
    <s v="BK-993148"/>
    <n v="2"/>
    <s v="Emily Walker"/>
    <s v="emily.walker561@yahoo.com"/>
    <x v="8"/>
    <x v="3"/>
    <n v="23.59"/>
    <n v="47.18"/>
    <x v="0"/>
    <x v="1"/>
    <x v="17"/>
  </r>
  <r>
    <s v="SALE-112-2023"/>
    <x v="694"/>
    <s v="CUST-1063"/>
    <s v="BK-978306"/>
    <n v="2"/>
    <s v="Sophia Thomas"/>
    <s v="sophia.thomas45@outlook.com"/>
    <x v="4"/>
    <x v="4"/>
    <n v="36.93"/>
    <n v="73.86"/>
    <x v="1"/>
    <x v="0"/>
    <x v="82"/>
  </r>
  <r>
    <s v="SALE-129-2023"/>
    <x v="7"/>
    <s v="CUST-1288"/>
    <s v="BK-636531"/>
    <n v="2"/>
    <s v="Steven Hill"/>
    <s v="steven.hill270@hotmail.com"/>
    <x v="4"/>
    <x v="3"/>
    <n v="26.73"/>
    <n v="53.46"/>
    <x v="1"/>
    <x v="2"/>
    <x v="9"/>
  </r>
  <r>
    <s v="SALE-146-2023"/>
    <x v="695"/>
    <s v="CUST-1366"/>
    <s v="BK-611641"/>
    <n v="2"/>
    <s v="George Robinson"/>
    <s v="george.robinson348@outlook.com"/>
    <x v="5"/>
    <x v="0"/>
    <n v="27.95"/>
    <n v="55.9"/>
    <x v="0"/>
    <x v="0"/>
    <x v="17"/>
  </r>
  <r>
    <s v="SALE-163-2023"/>
    <x v="696"/>
    <s v="CUST-1354"/>
    <s v="BK-664953"/>
    <n v="2"/>
    <s v="Ryan Martinez"/>
    <s v="ryan.martinez336@hotmail.com"/>
    <x v="8"/>
    <x v="0"/>
    <n v="29.72"/>
    <n v="59.44"/>
    <x v="0"/>
    <x v="0"/>
    <x v="20"/>
  </r>
  <r>
    <s v="SALE-180-2023"/>
    <x v="697"/>
    <s v="CUST-1823"/>
    <s v="BK-347567"/>
    <n v="2"/>
    <s v="Steven Lopez"/>
    <s v="steven.lopez805@hotmail.com"/>
    <x v="1"/>
    <x v="1"/>
    <n v="32.07"/>
    <n v="64.14"/>
    <x v="0"/>
    <x v="0"/>
    <x v="18"/>
  </r>
  <r>
    <s v="SALE-197-2023"/>
    <x v="698"/>
    <s v="CUST-1240"/>
    <s v="BK-711477"/>
    <n v="2"/>
    <s v="Lucy King"/>
    <s v="lucy.king222@outlook.com"/>
    <x v="5"/>
    <x v="4"/>
    <n v="30.59"/>
    <n v="61.18"/>
    <x v="0"/>
    <x v="1"/>
    <x v="37"/>
  </r>
  <r>
    <s v="SALE-214-2023"/>
    <x v="699"/>
    <s v="CUST-1715"/>
    <s v="BK-716440"/>
    <n v="2"/>
    <s v="Joshua Lopez"/>
    <s v="joshua.lopez697@gmail.com"/>
    <x v="1"/>
    <x v="3"/>
    <n v="36.04"/>
    <n v="72.08"/>
    <x v="0"/>
    <x v="0"/>
    <x v="32"/>
  </r>
  <r>
    <s v="SALE-231-2023"/>
    <x v="700"/>
    <s v="CUST-1869"/>
    <s v="BK-505231"/>
    <n v="2"/>
    <s v="Charlotte King"/>
    <s v="charlotte.king851@yahoo.com"/>
    <x v="18"/>
    <x v="1"/>
    <n v="19.309999999999999"/>
    <n v="38.619999999999997"/>
    <x v="1"/>
    <x v="2"/>
    <x v="6"/>
  </r>
  <r>
    <s v="SALE-248-2023"/>
    <x v="701"/>
    <s v="CUST-1313"/>
    <s v="BK-549873"/>
    <n v="2"/>
    <s v="Mia Lee"/>
    <s v="mia.lee295@outlook.com"/>
    <x v="8"/>
    <x v="0"/>
    <n v="19.989999999999998"/>
    <n v="39.979999999999997"/>
    <x v="0"/>
    <x v="2"/>
    <x v="63"/>
  </r>
  <r>
    <s v="SALE-265-2023"/>
    <x v="702"/>
    <s v="CUST-1998"/>
    <s v="BK-110115"/>
    <n v="2"/>
    <s v="Isabella Lewis"/>
    <s v="isabella.lewis980@outlook.com"/>
    <x v="30"/>
    <x v="1"/>
    <n v="25.89"/>
    <n v="51.78"/>
    <x v="1"/>
    <x v="2"/>
    <x v="66"/>
  </r>
  <r>
    <s v="SALE-282-2023"/>
    <x v="703"/>
    <s v="CUST-1649"/>
    <s v="BK-578518"/>
    <n v="2"/>
    <s v="Robert Rodriguez"/>
    <s v="robert.rodriguez631@gmail.com"/>
    <x v="2"/>
    <x v="2"/>
    <n v="20.29"/>
    <n v="40.58"/>
    <x v="1"/>
    <x v="1"/>
    <x v="47"/>
  </r>
  <r>
    <s v="SALE-299-2023"/>
    <x v="704"/>
    <s v="CUST-1860"/>
    <s v="BK-441654"/>
    <n v="2"/>
    <s v="Thomas Jackson"/>
    <s v="thomas.jackson842@outlook.com"/>
    <x v="46"/>
    <x v="1"/>
    <n v="31.96"/>
    <n v="63.92"/>
    <x v="0"/>
    <x v="2"/>
    <x v="67"/>
  </r>
  <r>
    <s v="SALE-316-2023"/>
    <x v="705"/>
    <s v="CUST-1684"/>
    <s v="BK-878115"/>
    <n v="2"/>
    <s v="Edward Jackson"/>
    <s v="edward.jackson666@outlook.com"/>
    <x v="4"/>
    <x v="4"/>
    <n v="14.79"/>
    <n v="29.58"/>
    <x v="1"/>
    <x v="2"/>
    <x v="25"/>
  </r>
  <r>
    <s v="SALE-333-2023"/>
    <x v="706"/>
    <s v="CUST-1424"/>
    <s v="BK-126909"/>
    <n v="2"/>
    <s v="Zoe Johnson"/>
    <s v="zoe.johnson406@hotmail.com"/>
    <x v="2"/>
    <x v="2"/>
    <n v="27.73"/>
    <n v="55.46"/>
    <x v="1"/>
    <x v="2"/>
    <x v="34"/>
  </r>
  <r>
    <s v="SALE-350-2023"/>
    <x v="2"/>
    <s v="CUST-1980"/>
    <s v="BK-669969"/>
    <n v="2"/>
    <s v="Robert Baker"/>
    <s v="robert.baker962@yahoo.com"/>
    <x v="7"/>
    <x v="0"/>
    <n v="21.34"/>
    <n v="42.68"/>
    <x v="0"/>
    <x v="0"/>
    <x v="74"/>
  </r>
  <r>
    <s v="SALE-367-2023"/>
    <x v="707"/>
    <s v="CUST-1709"/>
    <s v="BK-375792"/>
    <n v="2"/>
    <s v="James Robinson"/>
    <s v="james.robinson691@yahoo.com"/>
    <x v="8"/>
    <x v="3"/>
    <n v="29.76"/>
    <n v="59.52"/>
    <x v="1"/>
    <x v="2"/>
    <x v="27"/>
  </r>
  <r>
    <s v="SALE-384-2023"/>
    <x v="708"/>
    <s v="CUST-1840"/>
    <s v="BK-813355"/>
    <n v="2"/>
    <s v="Anthony Smith"/>
    <s v="anthony.smith822@hotmail.com"/>
    <x v="8"/>
    <x v="3"/>
    <n v="29.15"/>
    <n v="58.3"/>
    <x v="1"/>
    <x v="0"/>
    <x v="3"/>
  </r>
  <r>
    <s v="SALE-401-2023"/>
    <x v="51"/>
    <s v="CUST-1672"/>
    <s v="BK-235260"/>
    <n v="2"/>
    <s v="John Lee"/>
    <s v="john.lee654@yahoo.com"/>
    <x v="5"/>
    <x v="1"/>
    <n v="35.93"/>
    <n v="71.86"/>
    <x v="0"/>
    <x v="0"/>
    <x v="48"/>
  </r>
  <r>
    <s v="SALE-418-2023"/>
    <x v="315"/>
    <s v="CUST-1653"/>
    <s v="BK-993974"/>
    <n v="2"/>
    <s v="Zoe Smith"/>
    <s v="zoe.smith635@gmail.com"/>
    <x v="9"/>
    <x v="3"/>
    <n v="26.22"/>
    <n v="52.44"/>
    <x v="0"/>
    <x v="0"/>
    <x v="36"/>
  </r>
  <r>
    <s v="SALE-435-2023"/>
    <x v="459"/>
    <s v="CUST-1077"/>
    <s v="BK-756115"/>
    <n v="2"/>
    <s v="Sarah Green"/>
    <s v="sarah.green59@outlook.com"/>
    <x v="9"/>
    <x v="0"/>
    <n v="23.23"/>
    <n v="46.46"/>
    <x v="0"/>
    <x v="0"/>
    <x v="16"/>
  </r>
  <r>
    <s v="SALE-452-2023"/>
    <x v="221"/>
    <s v="CUST-1320"/>
    <s v="BK-654487"/>
    <n v="2"/>
    <s v="Olivia Martin"/>
    <s v="olivia.martin302@hotmail.com"/>
    <x v="9"/>
    <x v="0"/>
    <n v="29.64"/>
    <n v="59.28"/>
    <x v="1"/>
    <x v="2"/>
    <x v="14"/>
  </r>
  <r>
    <s v="SALE-469-2023"/>
    <x v="437"/>
    <s v="CUST-1652"/>
    <s v="BK-126870"/>
    <n v="2"/>
    <s v="Emily Anderson"/>
    <s v="emily.anderson634@outlook.com"/>
    <x v="1"/>
    <x v="2"/>
    <n v="18.96"/>
    <n v="37.92"/>
    <x v="1"/>
    <x v="2"/>
    <x v="8"/>
  </r>
  <r>
    <s v="SALE-486-2023"/>
    <x v="462"/>
    <s v="CUST-1574"/>
    <s v="BK-511753"/>
    <n v="2"/>
    <s v="Hannah Rodriguez"/>
    <s v="hannah.rodriguez556@gmail.com"/>
    <x v="8"/>
    <x v="4"/>
    <n v="10.01"/>
    <n v="20.02"/>
    <x v="1"/>
    <x v="1"/>
    <x v="10"/>
  </r>
  <r>
    <s v="SALE-503-2023"/>
    <x v="272"/>
    <s v="CUST-1887"/>
    <s v="BK-249581"/>
    <n v="2"/>
    <s v="Charlotte Harris"/>
    <s v="charlotte.harris869@outlook.com"/>
    <x v="12"/>
    <x v="4"/>
    <n v="11.88"/>
    <n v="23.76"/>
    <x v="1"/>
    <x v="0"/>
    <x v="5"/>
  </r>
  <r>
    <s v="SALE-520-2023"/>
    <x v="82"/>
    <s v="CUST-1539"/>
    <s v="BK-193113"/>
    <n v="2"/>
    <s v="Robert Scott"/>
    <s v="robert.scott521@hotmail.com"/>
    <x v="5"/>
    <x v="4"/>
    <n v="33.33"/>
    <n v="66.66"/>
    <x v="0"/>
    <x v="1"/>
    <x v="86"/>
  </r>
  <r>
    <s v="SALE-537-2023"/>
    <x v="709"/>
    <s v="CUST-1233"/>
    <s v="BK-236038"/>
    <n v="2"/>
    <s v="John Walker"/>
    <s v="john.walker215@outlook.com"/>
    <x v="5"/>
    <x v="0"/>
    <n v="20.22"/>
    <n v="40.44"/>
    <x v="1"/>
    <x v="2"/>
    <x v="88"/>
  </r>
  <r>
    <s v="SALE-554-2023"/>
    <x v="370"/>
    <s v="CUST-1882"/>
    <s v="BK-696160"/>
    <n v="2"/>
    <s v="Amelia Martinez"/>
    <s v="amelia.martinez864@yahoo.com"/>
    <x v="8"/>
    <x v="0"/>
    <n v="36.25"/>
    <n v="72.5"/>
    <x v="1"/>
    <x v="3"/>
    <x v="27"/>
  </r>
  <r>
    <s v="SALE-571-2023"/>
    <x v="419"/>
    <s v="CUST-1447"/>
    <s v="BK-586036"/>
    <n v="2"/>
    <s v="Ava Thompson"/>
    <s v="ava.thompson429@outlook.com"/>
    <x v="5"/>
    <x v="2"/>
    <n v="13.61"/>
    <n v="27.22"/>
    <x v="1"/>
    <x v="0"/>
    <x v="55"/>
  </r>
  <r>
    <s v="SALE-588-2023"/>
    <x v="492"/>
    <s v="CUST-1193"/>
    <s v="BK-498305"/>
    <n v="2"/>
    <s v="Edward Walker"/>
    <s v="edward.walker175@outlook.com"/>
    <x v="1"/>
    <x v="3"/>
    <n v="24.69"/>
    <n v="49.38"/>
    <x v="0"/>
    <x v="0"/>
    <x v="6"/>
  </r>
  <r>
    <s v="SALE-605-2023"/>
    <x v="373"/>
    <s v="CUST-1173"/>
    <s v="BK-381728"/>
    <n v="2"/>
    <s v="Peter Hall"/>
    <s v="peter.hall155@hotmail.com"/>
    <x v="3"/>
    <x v="3"/>
    <n v="20.45"/>
    <n v="40.9"/>
    <x v="0"/>
    <x v="0"/>
    <x v="69"/>
  </r>
  <r>
    <s v="SALE-622-2023"/>
    <x v="159"/>
    <s v="CUST-1529"/>
    <s v="BK-286698"/>
    <n v="2"/>
    <s v="George Green"/>
    <s v="george.green511@outlook.com"/>
    <x v="8"/>
    <x v="3"/>
    <n v="27.01"/>
    <n v="54.02"/>
    <x v="0"/>
    <x v="0"/>
    <x v="78"/>
  </r>
  <r>
    <s v="SALE-639-2023"/>
    <x v="423"/>
    <s v="CUST-1322"/>
    <s v="BK-415703"/>
    <n v="2"/>
    <s v="Chloe Wright"/>
    <s v="chloe.wright304@gmail.com"/>
    <x v="8"/>
    <x v="2"/>
    <n v="36.93"/>
    <n v="73.86"/>
    <x v="0"/>
    <x v="0"/>
    <x v="56"/>
  </r>
  <r>
    <s v="SALE-656-2023"/>
    <x v="209"/>
    <s v="CUST-1058"/>
    <s v="BK-626701"/>
    <n v="2"/>
    <s v="William Adams"/>
    <s v="william.adams40@hotmail.com"/>
    <x v="1"/>
    <x v="4"/>
    <n v="14.74"/>
    <n v="29.48"/>
    <x v="0"/>
    <x v="2"/>
    <x v="69"/>
  </r>
  <r>
    <s v="SALE-673-2023"/>
    <x v="710"/>
    <s v="CUST-1159"/>
    <s v="BK-148510"/>
    <n v="2"/>
    <s v="Charlotte Thomas"/>
    <s v="charlotte.thomas141@gmail.com"/>
    <x v="5"/>
    <x v="3"/>
    <n v="33.56"/>
    <n v="67.12"/>
    <x v="1"/>
    <x v="2"/>
    <x v="19"/>
  </r>
  <r>
    <s v="SALE-690-2023"/>
    <x v="617"/>
    <s v="CUST-1548"/>
    <s v="BK-298405"/>
    <n v="2"/>
    <s v="Isabella Lewis"/>
    <s v="isabella.lewis530@hotmail.com"/>
    <x v="5"/>
    <x v="2"/>
    <n v="25.84"/>
    <n v="51.68"/>
    <x v="0"/>
    <x v="2"/>
    <x v="55"/>
  </r>
  <r>
    <s v="SALE-707-2023"/>
    <x v="260"/>
    <s v="CUST-1902"/>
    <s v="BK-725558"/>
    <n v="2"/>
    <s v="William White"/>
    <s v="william.white884@yahoo.com"/>
    <x v="3"/>
    <x v="2"/>
    <n v="35.799999999999997"/>
    <n v="71.599999999999994"/>
    <x v="1"/>
    <x v="0"/>
    <x v="32"/>
  </r>
  <r>
    <s v="SALE-724-2023"/>
    <x v="476"/>
    <s v="CUST-1273"/>
    <s v="BK-399316"/>
    <n v="2"/>
    <s v="Edward Clark"/>
    <s v="edward.clark255@yahoo.com"/>
    <x v="8"/>
    <x v="0"/>
    <n v="37.979999999999997"/>
    <n v="75.959999999999994"/>
    <x v="1"/>
    <x v="2"/>
    <x v="67"/>
  </r>
  <r>
    <s v="SALE-741-2023"/>
    <x v="166"/>
    <s v="CUST-1170"/>
    <s v="BK-506101"/>
    <n v="2"/>
    <s v="Andrew Robinson"/>
    <s v="andrew.robinson152@yahoo.com"/>
    <x v="5"/>
    <x v="2"/>
    <n v="22.25"/>
    <n v="44.5"/>
    <x v="0"/>
    <x v="2"/>
    <x v="7"/>
  </r>
  <r>
    <s v="SALE-758-2023"/>
    <x v="711"/>
    <s v="CUST-1478"/>
    <s v="BK-565080"/>
    <n v="2"/>
    <s v="Ryan Scott"/>
    <s v="ryan.scott460@yahoo.com"/>
    <x v="2"/>
    <x v="0"/>
    <n v="35.01"/>
    <n v="70.02"/>
    <x v="1"/>
    <x v="0"/>
    <x v="38"/>
  </r>
  <r>
    <s v="SALE-775-2023"/>
    <x v="712"/>
    <s v="CUST-1500"/>
    <s v="BK-336571"/>
    <n v="2"/>
    <s v="James Young"/>
    <s v="james.young482@yahoo.com"/>
    <x v="9"/>
    <x v="2"/>
    <n v="25.65"/>
    <n v="51.3"/>
    <x v="1"/>
    <x v="2"/>
    <x v="4"/>
  </r>
  <r>
    <s v="SALE-792-2023"/>
    <x v="384"/>
    <s v="CUST-1135"/>
    <s v="BK-121178"/>
    <n v="2"/>
    <s v="David Wright"/>
    <s v="david.wright117@hotmail.com"/>
    <x v="4"/>
    <x v="2"/>
    <n v="17.739999999999998"/>
    <n v="35.479999999999997"/>
    <x v="1"/>
    <x v="2"/>
    <x v="66"/>
  </r>
  <r>
    <s v="SALE-809-2023"/>
    <x v="170"/>
    <s v="CUST-1184"/>
    <s v="BK-250586"/>
    <n v="2"/>
    <s v="Sarah Smith"/>
    <s v="sarah.smith166@hotmail.com"/>
    <x v="1"/>
    <x v="1"/>
    <n v="24.38"/>
    <n v="48.76"/>
    <x v="1"/>
    <x v="1"/>
    <x v="79"/>
  </r>
  <r>
    <s v="SALE-826-2023"/>
    <x v="482"/>
    <s v="CUST-1608"/>
    <s v="BK-508237"/>
    <n v="2"/>
    <s v="Andrew Thompson"/>
    <s v="andrew.thompson590@yahoo.com"/>
    <x v="9"/>
    <x v="4"/>
    <n v="32.92"/>
    <n v="65.84"/>
    <x v="1"/>
    <x v="2"/>
    <x v="52"/>
  </r>
  <r>
    <s v="SALE-843-2023"/>
    <x v="506"/>
    <s v="CUST-1561"/>
    <s v="BK-497612"/>
    <n v="2"/>
    <s v="Jessica Anderson"/>
    <s v="jessica.anderson543@outlook.com"/>
    <x v="8"/>
    <x v="3"/>
    <n v="21.75"/>
    <n v="43.5"/>
    <x v="1"/>
    <x v="0"/>
    <x v="89"/>
  </r>
  <r>
    <s v="SALE-860-2023"/>
    <x v="269"/>
    <s v="CUST-1446"/>
    <s v="BK-189675"/>
    <n v="2"/>
    <s v="David Jackson"/>
    <s v="david.jackson428@hotmail.com"/>
    <x v="9"/>
    <x v="3"/>
    <n v="29.88"/>
    <n v="59.76"/>
    <x v="1"/>
    <x v="1"/>
    <x v="48"/>
  </r>
  <r>
    <s v="SALE-877-2023"/>
    <x v="150"/>
    <s v="CUST-1573"/>
    <s v="BK-281174"/>
    <n v="2"/>
    <s v="Ella Martin"/>
    <s v="ella.martin555@yahoo.com"/>
    <x v="5"/>
    <x v="3"/>
    <n v="19.79"/>
    <n v="39.58"/>
    <x v="1"/>
    <x v="2"/>
    <x v="86"/>
  </r>
  <r>
    <s v="SALE-894-2023"/>
    <x v="557"/>
    <s v="CUST-1818"/>
    <s v="BK-691583"/>
    <n v="2"/>
    <s v="Sophia Young"/>
    <s v="sophia.young800@hotmail.com"/>
    <x v="38"/>
    <x v="2"/>
    <n v="22.5"/>
    <n v="45"/>
    <x v="0"/>
    <x v="0"/>
    <x v="11"/>
  </r>
  <r>
    <s v="SALE-911-2023"/>
    <x v="343"/>
    <s v="CUST-1545"/>
    <s v="BK-600520"/>
    <n v="2"/>
    <s v="Amelia Brown"/>
    <s v="amelia.brown527@hotmail.com"/>
    <x v="9"/>
    <x v="2"/>
    <n v="28.88"/>
    <n v="57.76"/>
    <x v="0"/>
    <x v="0"/>
    <x v="39"/>
  </r>
  <r>
    <s v="SALE-928-2023"/>
    <x v="488"/>
    <s v="CUST-1755"/>
    <s v="BK-694453"/>
    <n v="2"/>
    <s v="James Taylor"/>
    <s v="james.taylor737@outlook.com"/>
    <x v="5"/>
    <x v="3"/>
    <n v="38.49"/>
    <n v="76.98"/>
    <x v="1"/>
    <x v="2"/>
    <x v="39"/>
  </r>
  <r>
    <s v="SALE-945-2023"/>
    <x v="131"/>
    <s v="CUST-1328"/>
    <s v="BK-603748"/>
    <n v="2"/>
    <s v="Ryan Young"/>
    <s v="ryan.young310@hotmail.com"/>
    <x v="1"/>
    <x v="1"/>
    <n v="23.16"/>
    <n v="46.32"/>
    <x v="0"/>
    <x v="3"/>
    <x v="14"/>
  </r>
  <r>
    <s v="SALE-962-2023"/>
    <x v="346"/>
    <s v="CUST-1037"/>
    <s v="BK-600020"/>
    <n v="2"/>
    <s v="Ava Young"/>
    <s v="ava.young19@outlook.com"/>
    <x v="2"/>
    <x v="1"/>
    <n v="28.29"/>
    <n v="56.58"/>
    <x v="1"/>
    <x v="0"/>
    <x v="73"/>
  </r>
  <r>
    <s v="SALE-979-2023"/>
    <x v="395"/>
    <s v="CUST-1345"/>
    <s v="BK-476740"/>
    <n v="2"/>
    <s v="Isabella Harris"/>
    <s v="isabella.harris327@yahoo.com"/>
    <x v="8"/>
    <x v="0"/>
    <n v="35.06"/>
    <n v="70.12"/>
    <x v="1"/>
    <x v="1"/>
    <x v="71"/>
  </r>
  <r>
    <s v="SALE-001-2023"/>
    <x v="62"/>
    <s v="CUST-1895"/>
    <s v="BK-707577"/>
    <n v="1"/>
    <s v="David Jackson"/>
    <s v="david.jackson877@gmail.com"/>
    <x v="25"/>
    <x v="3"/>
    <n v="27.29"/>
    <n v="27.29"/>
    <x v="1"/>
    <x v="0"/>
    <x v="41"/>
  </r>
  <r>
    <s v="SALE-021-2023"/>
    <x v="182"/>
    <s v="CUST-1084"/>
    <s v="BK-123928"/>
    <n v="2"/>
    <s v="Isabella Smith"/>
    <s v="isabella.smith66@hotmail.com"/>
    <x v="8"/>
    <x v="1"/>
    <n v="24.18"/>
    <n v="48.36"/>
    <x v="0"/>
    <x v="0"/>
    <x v="71"/>
  </r>
  <r>
    <s v="SALE-038-2023"/>
    <x v="255"/>
    <s v="CUST-1754"/>
    <s v="BK-764160"/>
    <n v="4"/>
    <s v="Ryan Lopez"/>
    <s v="ryan.lopez736@gmail.com"/>
    <x v="8"/>
    <x v="0"/>
    <n v="14.24"/>
    <n v="56.96"/>
    <x v="0"/>
    <x v="0"/>
    <x v="1"/>
  </r>
  <r>
    <s v="SALE-055-2023"/>
    <x v="89"/>
    <s v="CUST-1079"/>
    <s v="BK-408958"/>
    <n v="2"/>
    <s v="Mark Hall"/>
    <s v="mark.hall61@outlook.com"/>
    <x v="8"/>
    <x v="4"/>
    <n v="28.49"/>
    <n v="56.98"/>
    <x v="1"/>
    <x v="0"/>
    <x v="40"/>
  </r>
  <r>
    <s v="SALE-072-2023"/>
    <x v="90"/>
    <s v="CUST-1783"/>
    <s v="BK-909706"/>
    <n v="4"/>
    <s v="Isabella Thompson"/>
    <s v="isabella.thompson765@hotmail.com"/>
    <x v="4"/>
    <x v="2"/>
    <n v="38"/>
    <n v="152"/>
    <x v="0"/>
    <x v="2"/>
    <x v="5"/>
  </r>
  <r>
    <s v="SALE-089-2023"/>
    <x v="234"/>
    <s v="CUST-1767"/>
    <s v="BK-301355"/>
    <n v="1"/>
    <s v="Edward King"/>
    <s v="edward.king749@hotmail.com"/>
    <x v="6"/>
    <x v="4"/>
    <n v="38.17"/>
    <n v="38.17"/>
    <x v="1"/>
    <x v="2"/>
    <x v="51"/>
  </r>
  <r>
    <s v="SALE-106-2023"/>
    <x v="378"/>
    <s v="CUST-1963"/>
    <s v="BK-646343"/>
    <n v="1"/>
    <s v="John Hill"/>
    <s v="john.hill945@hotmail.com"/>
    <x v="1"/>
    <x v="3"/>
    <n v="18.41"/>
    <n v="18.41"/>
    <x v="0"/>
    <x v="0"/>
    <x v="78"/>
  </r>
  <r>
    <s v="SALE-123-2023"/>
    <x v="188"/>
    <s v="CUST-1145"/>
    <s v="BK-305588"/>
    <n v="1"/>
    <s v="Chloe Thomas"/>
    <s v="chloe.thomas127@outlook.com"/>
    <x v="2"/>
    <x v="0"/>
    <n v="37.479999999999997"/>
    <n v="37.479999999999997"/>
    <x v="1"/>
    <x v="3"/>
    <x v="70"/>
  </r>
  <r>
    <s v="SALE-140-2023"/>
    <x v="285"/>
    <s v="CUST-1580"/>
    <s v="BK-438148"/>
    <n v="1"/>
    <s v="Sophia Hall"/>
    <s v="sophia.hall562@yahoo.com"/>
    <x v="1"/>
    <x v="0"/>
    <n v="23.23"/>
    <n v="23.23"/>
    <x v="1"/>
    <x v="1"/>
    <x v="11"/>
  </r>
  <r>
    <s v="SALE-157-2023"/>
    <x v="334"/>
    <s v="CUST-1333"/>
    <s v="BK-781504"/>
    <n v="1"/>
    <s v="Sophia Lee"/>
    <s v="sophia.lee315@outlook.com"/>
    <x v="4"/>
    <x v="1"/>
    <n v="28.94"/>
    <n v="28.94"/>
    <x v="1"/>
    <x v="2"/>
    <x v="31"/>
  </r>
  <r>
    <s v="SALE-174-2023"/>
    <x v="96"/>
    <s v="CUST-1062"/>
    <s v="BK-767869"/>
    <n v="1"/>
    <s v="Lily Lewis"/>
    <s v="lily.lewis44@gmail.com"/>
    <x v="5"/>
    <x v="1"/>
    <n v="17.66"/>
    <n v="17.66"/>
    <x v="1"/>
    <x v="0"/>
    <x v="24"/>
  </r>
  <r>
    <s v="SALE-191-2023"/>
    <x v="502"/>
    <s v="CUST-1625"/>
    <s v="BK-148529"/>
    <n v="1"/>
    <s v="Edward Adams"/>
    <s v="edward.adams607@gmail.com"/>
    <x v="1"/>
    <x v="0"/>
    <n v="16.72"/>
    <n v="16.72"/>
    <x v="1"/>
    <x v="1"/>
    <x v="56"/>
  </r>
  <r>
    <s v="SALE-208-2023"/>
    <x v="265"/>
    <s v="CUST-1657"/>
    <s v="BK-246305"/>
    <n v="1"/>
    <s v="Sophia Martinez"/>
    <s v="sophia.martinez639@hotmail.com"/>
    <x v="4"/>
    <x v="3"/>
    <n v="35.43"/>
    <n v="35.43"/>
    <x v="1"/>
    <x v="1"/>
    <x v="35"/>
  </r>
  <r>
    <s v="SALE-225-2023"/>
    <x v="504"/>
    <s v="CUST-1521"/>
    <s v="BK-940562"/>
    <n v="1"/>
    <s v="Ava Garcia"/>
    <s v="ava.garcia503@outlook.com"/>
    <x v="5"/>
    <x v="4"/>
    <n v="16.61"/>
    <n v="16.61"/>
    <x v="0"/>
    <x v="0"/>
    <x v="77"/>
  </r>
  <r>
    <s v="SALE-242-2023"/>
    <x v="458"/>
    <s v="CUST-1203"/>
    <s v="BK-114304"/>
    <n v="1"/>
    <s v="Jessica King"/>
    <s v="jessica.king185@hotmail.com"/>
    <x v="9"/>
    <x v="1"/>
    <n v="35.409999999999997"/>
    <n v="35.409999999999997"/>
    <x v="0"/>
    <x v="2"/>
    <x v="60"/>
  </r>
  <r>
    <s v="SALE-259-2023"/>
    <x v="316"/>
    <s v="CUST-1100"/>
    <s v="BK-491445"/>
    <n v="1"/>
    <s v="Anthony Wright"/>
    <s v="anthony.wright82@yahoo.com"/>
    <x v="2"/>
    <x v="0"/>
    <n v="38.380000000000003"/>
    <n v="38.380000000000003"/>
    <x v="1"/>
    <x v="0"/>
    <x v="69"/>
  </r>
  <r>
    <s v="SALE-276-2023"/>
    <x v="78"/>
    <s v="CUST-1301"/>
    <s v="BK-549180"/>
    <n v="1"/>
    <s v="Jessica King"/>
    <s v="jessica.king283@yahoo.com"/>
    <x v="1"/>
    <x v="0"/>
    <n v="17.91"/>
    <n v="17.91"/>
    <x v="0"/>
    <x v="0"/>
    <x v="33"/>
  </r>
  <r>
    <s v="SALE-293-2023"/>
    <x v="270"/>
    <s v="CUST-1700"/>
    <s v="BK-492858"/>
    <n v="1"/>
    <s v="Isabella Baker"/>
    <s v="isabella.baker682@gmail.com"/>
    <x v="8"/>
    <x v="3"/>
    <n v="12.55"/>
    <n v="12.55"/>
    <x v="0"/>
    <x v="0"/>
    <x v="56"/>
  </r>
  <r>
    <s v="SALE-310-2023"/>
    <x v="128"/>
    <s v="CUST-1261"/>
    <s v="BK-921585"/>
    <n v="1"/>
    <s v="Kevin Allen"/>
    <s v="kevin.allen243@gmail.com"/>
    <x v="4"/>
    <x v="3"/>
    <n v="27.17"/>
    <n v="27.17"/>
    <x v="0"/>
    <x v="1"/>
    <x v="29"/>
  </r>
  <r>
    <s v="SALE-327-2023"/>
    <x v="5"/>
    <s v="CUST-1307"/>
    <s v="BK-443019"/>
    <n v="1"/>
    <s v="Andrew Smith"/>
    <s v="andrew.smith289@gmail.com"/>
    <x v="2"/>
    <x v="3"/>
    <n v="18.3"/>
    <n v="18.3"/>
    <x v="0"/>
    <x v="0"/>
    <x v="46"/>
  </r>
  <r>
    <s v="SALE-344-2023"/>
    <x v="201"/>
    <s v="CUST-1221"/>
    <s v="BK-840594"/>
    <n v="1"/>
    <s v="James Taylor"/>
    <s v="james.taylor203@gmail.com"/>
    <x v="9"/>
    <x v="1"/>
    <n v="32.590000000000003"/>
    <n v="32.590000000000003"/>
    <x v="1"/>
    <x v="0"/>
    <x v="9"/>
  </r>
  <r>
    <s v="SALE-361-2023"/>
    <x v="83"/>
    <s v="CUST-1786"/>
    <s v="BK-658335"/>
    <n v="1"/>
    <s v="Sophia Brown"/>
    <s v="sophia.brown768@hotmail.com"/>
    <x v="8"/>
    <x v="3"/>
    <n v="21.75"/>
    <n v="21.75"/>
    <x v="0"/>
    <x v="0"/>
    <x v="32"/>
  </r>
  <r>
    <s v="SALE-378-2023"/>
    <x v="155"/>
    <s v="CUST-1093"/>
    <s v="BK-888012"/>
    <n v="1"/>
    <s v="Amelia Harris"/>
    <s v="amelia.harris75@outlook.com"/>
    <x v="8"/>
    <x v="0"/>
    <n v="32.299999999999997"/>
    <n v="32.299999999999997"/>
    <x v="0"/>
    <x v="1"/>
    <x v="73"/>
  </r>
  <r>
    <s v="SALE-395-2023"/>
    <x v="228"/>
    <s v="CUST-1108"/>
    <s v="BK-252944"/>
    <n v="1"/>
    <s v="Amelia Martin"/>
    <s v="amelia.martin90@yahoo.com"/>
    <x v="4"/>
    <x v="0"/>
    <n v="29.47"/>
    <n v="29.47"/>
    <x v="0"/>
    <x v="1"/>
    <x v="26"/>
  </r>
  <r>
    <s v="SALE-412-2023"/>
    <x v="110"/>
    <s v="CUST-1590"/>
    <s v="BK-938816"/>
    <n v="1"/>
    <s v="Steven Johnson"/>
    <s v="steven.johnson572@outlook.com"/>
    <x v="9"/>
    <x v="0"/>
    <n v="31.83"/>
    <n v="31.83"/>
    <x v="0"/>
    <x v="1"/>
    <x v="18"/>
  </r>
  <r>
    <s v="SALE-429-2023"/>
    <x v="111"/>
    <s v="CUST-1868"/>
    <s v="BK-438640"/>
    <n v="1"/>
    <s v="William Martinez"/>
    <s v="william.martinez850@gmail.com"/>
    <x v="34"/>
    <x v="0"/>
    <n v="39.520000000000003"/>
    <n v="39.520000000000003"/>
    <x v="1"/>
    <x v="0"/>
    <x v="23"/>
  </r>
  <r>
    <s v="SALE-446-2023"/>
    <x v="470"/>
    <s v="CUST-1488"/>
    <s v="BK-463421"/>
    <n v="1"/>
    <s v="Ella White"/>
    <s v="ella.white470@hotmail.com"/>
    <x v="3"/>
    <x v="4"/>
    <n v="37.65"/>
    <n v="37.65"/>
    <x v="1"/>
    <x v="0"/>
    <x v="81"/>
  </r>
  <r>
    <s v="SALE-463-2023"/>
    <x v="184"/>
    <s v="CUST-1687"/>
    <s v="BK-153581"/>
    <n v="1"/>
    <s v="Isabella Jackson"/>
    <s v="isabella.jackson669@yahoo.com"/>
    <x v="8"/>
    <x v="3"/>
    <n v="32.72"/>
    <n v="32.72"/>
    <x v="0"/>
    <x v="2"/>
    <x v="51"/>
  </r>
  <r>
    <s v="SALE-480-2023"/>
    <x v="305"/>
    <s v="CUST-1675"/>
    <s v="BK-397864"/>
    <n v="1"/>
    <s v="James Brown"/>
    <s v="james.brown657@hotmail.com"/>
    <x v="4"/>
    <x v="2"/>
    <n v="25.82"/>
    <n v="25.82"/>
    <x v="0"/>
    <x v="0"/>
    <x v="1"/>
  </r>
  <r>
    <s v="SALE-497-2023"/>
    <x v="330"/>
    <s v="CUST-1717"/>
    <s v="BK-420729"/>
    <n v="1"/>
    <s v="Grace Green"/>
    <s v="grace.green699@gmail.com"/>
    <x v="5"/>
    <x v="2"/>
    <n v="23.61"/>
    <n v="23.61"/>
    <x v="0"/>
    <x v="1"/>
    <x v="38"/>
  </r>
  <r>
    <s v="SALE-514-2023"/>
    <x v="283"/>
    <s v="CUST-1907"/>
    <s v="BK-943425"/>
    <n v="1"/>
    <s v="Mia Thomas"/>
    <s v="mia.thomas889@hotmail.com"/>
    <x v="8"/>
    <x v="2"/>
    <n v="11.96"/>
    <n v="11.96"/>
    <x v="1"/>
    <x v="0"/>
    <x v="10"/>
  </r>
  <r>
    <s v="SALE-531-2023"/>
    <x v="236"/>
    <s v="CUST-1214"/>
    <s v="BK-831651"/>
    <n v="1"/>
    <s v="Hannah White"/>
    <s v="hannah.white196@yahoo.com"/>
    <x v="8"/>
    <x v="0"/>
    <n v="18.84"/>
    <n v="18.84"/>
    <x v="0"/>
    <x v="1"/>
    <x v="54"/>
  </r>
  <r>
    <s v="SALE-548-2023"/>
    <x v="643"/>
    <s v="CUST-1292"/>
    <s v="BK-363624"/>
    <n v="1"/>
    <s v="Anna Green"/>
    <s v="anna.green274@gmail.com"/>
    <x v="1"/>
    <x v="1"/>
    <n v="28.77"/>
    <n v="28.77"/>
    <x v="0"/>
    <x v="1"/>
    <x v="53"/>
  </r>
  <r>
    <s v="SALE-565-2023"/>
    <x v="190"/>
    <s v="CUST-1885"/>
    <s v="BK-725859"/>
    <n v="1"/>
    <s v="Zoe Thompson"/>
    <s v="zoe.thompson867@hotmail.com"/>
    <x v="18"/>
    <x v="2"/>
    <n v="24.73"/>
    <n v="24.73"/>
    <x v="1"/>
    <x v="1"/>
    <x v="54"/>
  </r>
  <r>
    <s v="SALE-582-2023"/>
    <x v="406"/>
    <s v="CUST-1518"/>
    <s v="BK-693520"/>
    <n v="1"/>
    <s v="Brian Thompson"/>
    <s v="brian.thompson500@gmail.com"/>
    <x v="9"/>
    <x v="0"/>
    <n v="22.24"/>
    <n v="22.24"/>
    <x v="0"/>
    <x v="3"/>
    <x v="57"/>
  </r>
  <r>
    <s v="SALE-599-2023"/>
    <x v="216"/>
    <s v="CUST-1489"/>
    <s v="BK-618166"/>
    <n v="1"/>
    <s v="Ava Lee"/>
    <s v="ava.lee471@outlook.com"/>
    <x v="8"/>
    <x v="0"/>
    <n v="24.16"/>
    <n v="24.16"/>
    <x v="1"/>
    <x v="0"/>
    <x v="85"/>
  </r>
  <r>
    <s v="SALE-616-2023"/>
    <x v="360"/>
    <s v="CUST-1605"/>
    <s v="BK-364299"/>
    <n v="1"/>
    <s v="Mia King"/>
    <s v="mia.king587@yahoo.com"/>
    <x v="3"/>
    <x v="1"/>
    <n v="19.489999999999998"/>
    <n v="19.489999999999998"/>
    <x v="0"/>
    <x v="1"/>
    <x v="52"/>
  </r>
  <r>
    <s v="SALE-633-2023"/>
    <x v="147"/>
    <s v="CUST-1047"/>
    <s v="BK-873139"/>
    <n v="1"/>
    <s v="Steven Adams"/>
    <s v="steven.adams29@outlook.com"/>
    <x v="6"/>
    <x v="3"/>
    <n v="27.19"/>
    <n v="27.19"/>
    <x v="1"/>
    <x v="2"/>
    <x v="54"/>
  </r>
  <r>
    <s v="SALE-650-2023"/>
    <x v="171"/>
    <s v="CUST-1420"/>
    <s v="BK-607532"/>
    <n v="1"/>
    <s v="Grace Walker"/>
    <s v="grace.walker402@hotmail.com"/>
    <x v="5"/>
    <x v="2"/>
    <n v="26.56"/>
    <n v="26.56"/>
    <x v="0"/>
    <x v="0"/>
    <x v="7"/>
  </r>
  <r>
    <s v="SALE-667-2023"/>
    <x v="53"/>
    <s v="CUST-1770"/>
    <s v="BK-590652"/>
    <n v="1"/>
    <s v="Anna Clark"/>
    <s v="anna.clark752@outlook.com"/>
    <x v="9"/>
    <x v="2"/>
    <n v="37.29"/>
    <n v="37.29"/>
    <x v="0"/>
    <x v="0"/>
    <x v="33"/>
  </r>
  <r>
    <s v="SALE-684-2023"/>
    <x v="126"/>
    <s v="CUST-1785"/>
    <s v="BK-189382"/>
    <n v="1"/>
    <s v="John Rodriguez"/>
    <s v="john.rodriguez767@outlook.com"/>
    <x v="9"/>
    <x v="2"/>
    <n v="20.190000000000001"/>
    <n v="20.190000000000001"/>
    <x v="1"/>
    <x v="0"/>
    <x v="61"/>
  </r>
  <r>
    <s v="SALE-701-2023"/>
    <x v="222"/>
    <s v="CUST-1331"/>
    <s v="BK-228789"/>
    <n v="1"/>
    <s v="Steven Scott"/>
    <s v="steven.scott313@gmail.com"/>
    <x v="8"/>
    <x v="2"/>
    <n v="18.829999999999998"/>
    <n v="18.829999999999998"/>
    <x v="1"/>
    <x v="2"/>
    <x v="30"/>
  </r>
  <r>
    <s v="SALE-718-2023"/>
    <x v="104"/>
    <s v="CUST-1326"/>
    <s v="BK-480007"/>
    <n v="1"/>
    <s v="Anna Green"/>
    <s v="anna.green308@outlook.com"/>
    <x v="3"/>
    <x v="4"/>
    <n v="26.54"/>
    <n v="26.54"/>
    <x v="0"/>
    <x v="3"/>
    <x v="59"/>
  </r>
  <r>
    <s v="SALE-735-2023"/>
    <x v="81"/>
    <s v="CUST-1852"/>
    <s v="BK-317279"/>
    <n v="1"/>
    <s v="Kevin Young"/>
    <s v="kevin.young834@outlook.com"/>
    <x v="5"/>
    <x v="4"/>
    <n v="15.18"/>
    <n v="15.18"/>
    <x v="0"/>
    <x v="1"/>
    <x v="64"/>
  </r>
  <r>
    <s v="SALE-752-2023"/>
    <x v="392"/>
    <s v="CUST-1523"/>
    <s v="BK-584194"/>
    <n v="1"/>
    <s v="Emily Walker"/>
    <s v="emily.walker505@yahoo.com"/>
    <x v="2"/>
    <x v="3"/>
    <n v="19.149999999999999"/>
    <n v="19.149999999999999"/>
    <x v="0"/>
    <x v="0"/>
    <x v="0"/>
  </r>
  <r>
    <s v="SALE-769-2023"/>
    <x v="107"/>
    <s v="CUST-1146"/>
    <s v="BK-521140"/>
    <n v="1"/>
    <s v="Paul Lopez"/>
    <s v="paul.lopez128@outlook.com"/>
    <x v="3"/>
    <x v="2"/>
    <n v="30.63"/>
    <n v="30.63"/>
    <x v="1"/>
    <x v="0"/>
    <x v="75"/>
  </r>
  <r>
    <s v="SALE-786-2023"/>
    <x v="36"/>
    <s v="CUST-1281"/>
    <s v="BK-773237"/>
    <n v="1"/>
    <s v="Mark Thomas"/>
    <s v="mark.thomas263@yahoo.com"/>
    <x v="3"/>
    <x v="1"/>
    <n v="36.97"/>
    <n v="36.97"/>
    <x v="1"/>
    <x v="2"/>
    <x v="43"/>
  </r>
  <r>
    <s v="SALE-803-2023"/>
    <x v="443"/>
    <s v="CUST-1379"/>
    <s v="BK-580412"/>
    <n v="1"/>
    <s v="Ryan Lopez"/>
    <s v="ryan.lopez361@yahoo.com"/>
    <x v="2"/>
    <x v="3"/>
    <n v="35.89"/>
    <n v="35.89"/>
    <x v="1"/>
    <x v="0"/>
    <x v="58"/>
  </r>
  <r>
    <s v="SALE-820-2023"/>
    <x v="444"/>
    <s v="CUST-1708"/>
    <s v="BK-805619"/>
    <n v="1"/>
    <s v="James Jackson"/>
    <s v="james.jackson690@hotmail.com"/>
    <x v="5"/>
    <x v="2"/>
    <n v="27.82"/>
    <n v="27.82"/>
    <x v="1"/>
    <x v="0"/>
    <x v="74"/>
  </r>
  <r>
    <s v="SALE-837-2023"/>
    <x v="326"/>
    <s v="CUST-1833"/>
    <s v="BK-433715"/>
    <n v="1"/>
    <s v="Andrew Thomas"/>
    <s v="andrew.thomas815@gmail.com"/>
    <x v="9"/>
    <x v="1"/>
    <n v="37.520000000000003"/>
    <n v="37.520000000000003"/>
    <x v="1"/>
    <x v="1"/>
    <x v="8"/>
  </r>
  <r>
    <s v="SALE-854-2023"/>
    <x v="136"/>
    <s v="CUST-1028"/>
    <s v="BK-722070"/>
    <n v="1"/>
    <s v="Isabella Jackson"/>
    <s v="isabella.jackson10@outlook.com"/>
    <x v="2"/>
    <x v="3"/>
    <n v="21.27"/>
    <n v="21.27"/>
    <x v="0"/>
    <x v="0"/>
    <x v="85"/>
  </r>
  <r>
    <s v="SALE-871-2023"/>
    <x v="256"/>
    <s v="CUST-1661"/>
    <s v="BK-712308"/>
    <n v="1"/>
    <s v="Mark Harris"/>
    <s v="mark.harris643@hotmail.com"/>
    <x v="1"/>
    <x v="2"/>
    <n v="22.48"/>
    <n v="22.48"/>
    <x v="0"/>
    <x v="1"/>
    <x v="65"/>
  </r>
  <r>
    <s v="SALE-888-2023"/>
    <x v="424"/>
    <s v="CUST-1042"/>
    <s v="BK-250083"/>
    <n v="1"/>
    <s v="Zoe Lopez"/>
    <s v="zoe.lopez24@gmail.com"/>
    <x v="5"/>
    <x v="1"/>
    <n v="26.2"/>
    <n v="26.2"/>
    <x v="1"/>
    <x v="2"/>
    <x v="84"/>
  </r>
  <r>
    <s v="SALE-905-2023"/>
    <x v="306"/>
    <s v="CUST-1190"/>
    <s v="BK-374774"/>
    <n v="1"/>
    <s v="Charlotte Clark"/>
    <s v="charlotte.clark172@outlook.com"/>
    <x v="2"/>
    <x v="2"/>
    <n v="33.380000000000003"/>
    <n v="33.380000000000003"/>
    <x v="1"/>
    <x v="2"/>
    <x v="6"/>
  </r>
  <r>
    <s v="SALE-922-2023"/>
    <x v="307"/>
    <s v="CUST-1197"/>
    <s v="BK-937853"/>
    <n v="1"/>
    <s v="Jessica Anderson"/>
    <s v="jessica.anderson179@yahoo.com"/>
    <x v="5"/>
    <x v="0"/>
    <n v="26.77"/>
    <n v="26.77"/>
    <x v="1"/>
    <x v="0"/>
    <x v="45"/>
  </r>
  <r>
    <s v="SALE-939-2023"/>
    <x v="522"/>
    <s v="CUST-1937"/>
    <s v="BK-922103"/>
    <n v="1"/>
    <s v="Peter Brown"/>
    <s v="peter.brown919@outlook.com"/>
    <x v="4"/>
    <x v="0"/>
    <n v="24.29"/>
    <n v="24.29"/>
    <x v="1"/>
    <x v="1"/>
    <x v="84"/>
  </r>
  <r>
    <s v="SALE-956-2023"/>
    <x v="667"/>
    <s v="CUST-1988"/>
    <s v="BK-275253"/>
    <n v="1"/>
    <s v="Sophia Baker"/>
    <s v="sophia.baker970@yahoo.com"/>
    <x v="3"/>
    <x v="3"/>
    <n v="17.5"/>
    <n v="17.5"/>
    <x v="1"/>
    <x v="2"/>
    <x v="37"/>
  </r>
  <r>
    <s v="SALE-973-2023"/>
    <x v="143"/>
    <s v="CUST-1793"/>
    <s v="BK-802218"/>
    <n v="1"/>
    <s v="Charlotte Scott"/>
    <s v="charlotte.scott775@outlook.com"/>
    <x v="2"/>
    <x v="3"/>
    <n v="36.74"/>
    <n v="36.74"/>
    <x v="1"/>
    <x v="0"/>
    <x v="13"/>
  </r>
  <r>
    <s v="SALE-010-2023"/>
    <x v="382"/>
    <s v="CUST-1796"/>
    <s v="BK-496425"/>
    <n v="2"/>
    <s v="Paul White"/>
    <s v="paul.white778@yahoo.com"/>
    <x v="1"/>
    <x v="2"/>
    <n v="28.34"/>
    <n v="56.68"/>
    <x v="1"/>
    <x v="0"/>
    <x v="26"/>
  </r>
  <r>
    <s v="SALE-002-2023"/>
    <x v="192"/>
    <s v="CUST-1312"/>
    <s v="BK-623507"/>
    <n v="3"/>
    <s v="Mia Jackson"/>
    <s v="mia.jackson294@outlook.com"/>
    <x v="5"/>
    <x v="0"/>
    <n v="10.69"/>
    <n v="32.07"/>
    <x v="0"/>
    <x v="1"/>
    <x v="9"/>
  </r>
  <r>
    <s v="SALE-023-2023"/>
    <x v="623"/>
    <s v="CUST-1621"/>
    <s v="BK-558026"/>
    <n v="1"/>
    <s v="Anna Green"/>
    <s v="anna.green603@hotmail.com"/>
    <x v="4"/>
    <x v="3"/>
    <n v="28.35"/>
    <n v="28.35"/>
    <x v="0"/>
    <x v="1"/>
    <x v="86"/>
  </r>
  <r>
    <s v="SALE-040-2023"/>
    <x v="528"/>
    <s v="CUST-1057"/>
    <s v="BK-782918"/>
    <n v="2"/>
    <s v="Kevin Rodriguez"/>
    <s v="kevin.rodriguez39@hotmail.com"/>
    <x v="8"/>
    <x v="4"/>
    <n v="25.99"/>
    <n v="51.98"/>
    <x v="0"/>
    <x v="0"/>
    <x v="56"/>
  </r>
  <r>
    <s v="SALE-057-2023"/>
    <x v="338"/>
    <s v="CUST-1341"/>
    <s v="BK-455785"/>
    <n v="1"/>
    <s v="Edward Thompson"/>
    <s v="edward.thompson323@outlook.com"/>
    <x v="5"/>
    <x v="0"/>
    <n v="20.37"/>
    <n v="20.37"/>
    <x v="0"/>
    <x v="2"/>
    <x v="0"/>
  </r>
  <r>
    <s v="SALE-074-2023"/>
    <x v="125"/>
    <s v="CUST-1680"/>
    <s v="BK-712083"/>
    <n v="2"/>
    <s v="Robert Robinson"/>
    <s v="robert.robinson662@outlook.com"/>
    <x v="9"/>
    <x v="2"/>
    <n v="12.33"/>
    <n v="24.66"/>
    <x v="1"/>
    <x v="2"/>
    <x v="76"/>
  </r>
  <r>
    <s v="SALE-091-2023"/>
    <x v="412"/>
    <s v="CUST-1352"/>
    <s v="BK-958873"/>
    <n v="2"/>
    <s v="Edward Allen"/>
    <s v="edward.allen334@gmail.com"/>
    <x v="2"/>
    <x v="3"/>
    <n v="16.010000000000002"/>
    <n v="32.020000000000003"/>
    <x v="1"/>
    <x v="1"/>
    <x v="64"/>
  </r>
  <r>
    <s v="SALE-108-2023"/>
    <x v="341"/>
    <s v="CUST-1883"/>
    <s v="BK-794892"/>
    <n v="2"/>
    <s v="Edward Lopez"/>
    <s v="edward.lopez865@yahoo.com"/>
    <x v="5"/>
    <x v="0"/>
    <n v="25.95"/>
    <n v="51.9"/>
    <x v="1"/>
    <x v="0"/>
    <x v="63"/>
  </r>
  <r>
    <s v="SALE-125-2023"/>
    <x v="653"/>
    <s v="CUST-1925"/>
    <s v="BK-154945"/>
    <n v="2"/>
    <s v="Isabella Lee"/>
    <s v="isabella.lee907@outlook.com"/>
    <x v="13"/>
    <x v="3"/>
    <n v="24.07"/>
    <n v="48.14"/>
    <x v="1"/>
    <x v="0"/>
    <x v="54"/>
  </r>
  <r>
    <s v="SALE-142-2023"/>
    <x v="129"/>
    <s v="CUST-1566"/>
    <s v="BK-303836"/>
    <n v="2"/>
    <s v="Zoe Anderson"/>
    <s v="zoe.anderson548@hotmail.com"/>
    <x v="5"/>
    <x v="4"/>
    <n v="34.79"/>
    <n v="69.58"/>
    <x v="1"/>
    <x v="1"/>
    <x v="27"/>
  </r>
  <r>
    <s v="SALE-159-2023"/>
    <x v="344"/>
    <s v="CUST-1191"/>
    <s v="BK-936798"/>
    <n v="2"/>
    <s v="Jessica Jackson"/>
    <s v="jessica.jackson173@outlook.com"/>
    <x v="3"/>
    <x v="0"/>
    <n v="27.76"/>
    <n v="55.52"/>
    <x v="0"/>
    <x v="2"/>
    <x v="42"/>
  </r>
  <r>
    <s v="SALE-176-2023"/>
    <x v="35"/>
    <s v="CUST-1094"/>
    <s v="BK-269275"/>
    <n v="2"/>
    <s v="Jessica Baker"/>
    <s v="jessica.baker76@outlook.com"/>
    <x v="1"/>
    <x v="1"/>
    <n v="14.81"/>
    <n v="29.62"/>
    <x v="0"/>
    <x v="0"/>
    <x v="15"/>
  </r>
  <r>
    <s v="SALE-193-2023"/>
    <x v="466"/>
    <s v="CUST-1124"/>
    <s v="BK-660556"/>
    <n v="2"/>
    <s v="Mark Allen"/>
    <s v="mark.allen106@hotmail.com"/>
    <x v="8"/>
    <x v="0"/>
    <n v="13.66"/>
    <n v="27.32"/>
    <x v="0"/>
    <x v="0"/>
    <x v="76"/>
  </r>
  <r>
    <s v="SALE-210-2023"/>
    <x v="204"/>
    <s v="CUST-1294"/>
    <s v="BK-835624"/>
    <n v="2"/>
    <s v="Hannah Wright"/>
    <s v="hannah.wright276@gmail.com"/>
    <x v="5"/>
    <x v="0"/>
    <n v="25.4"/>
    <n v="50.8"/>
    <x v="0"/>
    <x v="1"/>
    <x v="28"/>
  </r>
  <r>
    <s v="SALE-227-2023"/>
    <x v="229"/>
    <s v="CUST-1359"/>
    <s v="BK-636295"/>
    <n v="2"/>
    <s v="Thomas Smith"/>
    <s v="thomas.smith341@gmail.com"/>
    <x v="5"/>
    <x v="2"/>
    <n v="11.19"/>
    <n v="22.38"/>
    <x v="0"/>
    <x v="0"/>
    <x v="63"/>
  </r>
  <r>
    <s v="SALE-244-2023"/>
    <x v="278"/>
    <s v="CUST-1213"/>
    <s v="BK-758644"/>
    <n v="2"/>
    <s v="Laura Adams"/>
    <s v="laura.adams195@outlook.com"/>
    <x v="5"/>
    <x v="4"/>
    <n v="36.450000000000003"/>
    <n v="72.900000000000006"/>
    <x v="0"/>
    <x v="2"/>
    <x v="42"/>
  </r>
  <r>
    <s v="SALE-261-2023"/>
    <x v="613"/>
    <s v="CUST-1030"/>
    <s v="BK-740441"/>
    <n v="2"/>
    <s v="Anna Garcia"/>
    <s v="anna.garcia12@outlook.com"/>
    <x v="8"/>
    <x v="2"/>
    <n v="31.86"/>
    <n v="63.72"/>
    <x v="0"/>
    <x v="0"/>
    <x v="20"/>
  </r>
  <r>
    <s v="SALE-278-2023"/>
    <x v="685"/>
    <s v="CUST-1948"/>
    <s v="BK-429061"/>
    <n v="2"/>
    <s v="Paul Taylor"/>
    <s v="paul.taylor930@outlook.com"/>
    <x v="47"/>
    <x v="3"/>
    <n v="14.55"/>
    <n v="29.1"/>
    <x v="0"/>
    <x v="0"/>
    <x v="84"/>
  </r>
  <r>
    <s v="SALE-295-2023"/>
    <x v="185"/>
    <s v="CUST-1612"/>
    <s v="BK-495081"/>
    <n v="2"/>
    <s v="Sophia King"/>
    <s v="sophia.king594@gmail.com"/>
    <x v="4"/>
    <x v="4"/>
    <n v="29.69"/>
    <n v="59.38"/>
    <x v="1"/>
    <x v="0"/>
    <x v="79"/>
  </r>
  <r>
    <s v="SALE-312-2023"/>
    <x v="282"/>
    <s v="CUST-1194"/>
    <s v="BK-830595"/>
    <n v="2"/>
    <s v="Brian Thomas"/>
    <s v="brian.thomas176@yahoo.com"/>
    <x v="9"/>
    <x v="4"/>
    <n v="10.48"/>
    <n v="20.96"/>
    <x v="1"/>
    <x v="2"/>
    <x v="14"/>
  </r>
  <r>
    <s v="SALE-329-2023"/>
    <x v="450"/>
    <s v="CUST-1798"/>
    <s v="BK-431444"/>
    <n v="2"/>
    <s v="Joshua Thompson"/>
    <s v="joshua.thompson780@hotmail.com"/>
    <x v="5"/>
    <x v="0"/>
    <n v="36.200000000000003"/>
    <n v="72.400000000000006"/>
    <x v="0"/>
    <x v="0"/>
    <x v="2"/>
  </r>
  <r>
    <s v="SALE-346-2023"/>
    <x v="546"/>
    <s v="CUST-1081"/>
    <s v="BK-948532"/>
    <n v="2"/>
    <s v="Thomas Lee"/>
    <s v="thomas.lee63@outlook.com"/>
    <x v="4"/>
    <x v="1"/>
    <n v="20.66"/>
    <n v="41.32"/>
    <x v="0"/>
    <x v="1"/>
    <x v="4"/>
  </r>
  <r>
    <s v="SALE-363-2023"/>
    <x v="142"/>
    <s v="CUST-1876"/>
    <s v="BK-808216"/>
    <n v="2"/>
    <s v="John Wright"/>
    <s v="john.wright858@hotmail.com"/>
    <x v="2"/>
    <x v="1"/>
    <n v="36.76"/>
    <n v="73.52"/>
    <x v="0"/>
    <x v="0"/>
    <x v="54"/>
  </r>
  <r>
    <s v="SALE-380-2023"/>
    <x v="596"/>
    <s v="CUST-1639"/>
    <s v="BK-561176"/>
    <n v="2"/>
    <s v="Sophia Brown"/>
    <s v="sophia.brown621@yahoo.com"/>
    <x v="4"/>
    <x v="3"/>
    <n v="16.46"/>
    <n v="32.92"/>
    <x v="1"/>
    <x v="2"/>
    <x v="73"/>
  </r>
  <r>
    <s v="SALE-397-2023"/>
    <x v="120"/>
    <s v="CUST-1338"/>
    <s v="BK-384844"/>
    <n v="2"/>
    <s v="Ava Harris"/>
    <s v="ava.harris320@gmail.com"/>
    <x v="9"/>
    <x v="3"/>
    <n v="29.51"/>
    <n v="59.02"/>
    <x v="1"/>
    <x v="1"/>
    <x v="69"/>
  </r>
  <r>
    <s v="SALE-414-2023"/>
    <x v="431"/>
    <s v="CUST-1933"/>
    <s v="BK-681294"/>
    <n v="2"/>
    <s v="Steven Thomas"/>
    <s v="steven.thomas915@hotmail.com"/>
    <x v="18"/>
    <x v="1"/>
    <n v="35.82"/>
    <n v="71.64"/>
    <x v="1"/>
    <x v="0"/>
    <x v="41"/>
  </r>
  <r>
    <s v="SALE-431-2023"/>
    <x v="551"/>
    <s v="CUST-1164"/>
    <s v="BK-609548"/>
    <n v="2"/>
    <s v="Emma Thomas"/>
    <s v="emma.thomas146@yahoo.com"/>
    <x v="3"/>
    <x v="0"/>
    <n v="32.53"/>
    <n v="65.06"/>
    <x v="0"/>
    <x v="3"/>
    <x v="20"/>
  </r>
  <r>
    <s v="SALE-448-2023"/>
    <x v="409"/>
    <s v="CUST-1182"/>
    <s v="BK-848835"/>
    <n v="2"/>
    <s v="Amelia Young"/>
    <s v="amelia.young164@hotmail.com"/>
    <x v="6"/>
    <x v="3"/>
    <n v="26.68"/>
    <n v="53.36"/>
    <x v="1"/>
    <x v="0"/>
    <x v="1"/>
  </r>
  <r>
    <s v="SALE-465-2023"/>
    <x v="267"/>
    <s v="CUST-1851"/>
    <s v="BK-276412"/>
    <n v="2"/>
    <s v="Emma Jackson"/>
    <s v="emma.jackson833@outlook.com"/>
    <x v="9"/>
    <x v="2"/>
    <n v="33.82"/>
    <n v="67.64"/>
    <x v="0"/>
    <x v="2"/>
    <x v="79"/>
  </r>
  <r>
    <s v="SALE-482-2023"/>
    <x v="339"/>
    <s v="CUST-1121"/>
    <s v="BK-280203"/>
    <n v="2"/>
    <s v="Steven Clark"/>
    <s v="steven.clark103@gmail.com"/>
    <x v="1"/>
    <x v="1"/>
    <n v="33.17"/>
    <n v="66.34"/>
    <x v="1"/>
    <x v="0"/>
    <x v="68"/>
  </r>
  <r>
    <s v="SALE-499-2023"/>
    <x v="364"/>
    <s v="CUST-1463"/>
    <s v="BK-378339"/>
    <n v="2"/>
    <s v="Emma Rodriguez"/>
    <s v="emma.rodriguez445@hotmail.com"/>
    <x v="1"/>
    <x v="0"/>
    <n v="19.920000000000002"/>
    <n v="39.840000000000003"/>
    <x v="1"/>
    <x v="0"/>
    <x v="72"/>
  </r>
  <r>
    <s v="SALE-516-2023"/>
    <x v="103"/>
    <s v="CUST-2000"/>
    <s v="BK-948666"/>
    <n v="2"/>
    <s v="Chloe Lee"/>
    <s v="chloe.lee982@hotmail.com"/>
    <x v="48"/>
    <x v="0"/>
    <n v="33.97"/>
    <n v="67.94"/>
    <x v="0"/>
    <x v="2"/>
    <x v="86"/>
  </r>
  <r>
    <s v="SALE-533-2023"/>
    <x v="295"/>
    <s v="CUST-1565"/>
    <s v="BK-818824"/>
    <n v="2"/>
    <s v="George Hall"/>
    <s v="george.hall547@hotmail.com"/>
    <x v="8"/>
    <x v="0"/>
    <n v="24.92"/>
    <n v="49.84"/>
    <x v="0"/>
    <x v="2"/>
    <x v="39"/>
  </r>
  <r>
    <s v="SALE-550-2023"/>
    <x v="391"/>
    <s v="CUST-1461"/>
    <s v="BK-498016"/>
    <n v="2"/>
    <s v="Lucy Johnson"/>
    <s v="lucy.johnson443@hotmail.com"/>
    <x v="3"/>
    <x v="2"/>
    <n v="29.92"/>
    <n v="59.84"/>
    <x v="0"/>
    <x v="1"/>
    <x v="10"/>
  </r>
  <r>
    <s v="SALE-567-2023"/>
    <x v="511"/>
    <s v="CUST-1765"/>
    <s v="BK-468568"/>
    <n v="2"/>
    <s v="Anthony Garcia"/>
    <s v="anthony.garcia747@yahoo.com"/>
    <x v="4"/>
    <x v="1"/>
    <n v="19.62"/>
    <n v="39.24"/>
    <x v="0"/>
    <x v="0"/>
    <x v="20"/>
  </r>
  <r>
    <s v="SALE-584-2023"/>
    <x v="13"/>
    <s v="CUST-1507"/>
    <s v="BK-836167"/>
    <n v="2"/>
    <s v="Peter Young"/>
    <s v="peter.young489@gmail.com"/>
    <x v="8"/>
    <x v="2"/>
    <n v="34.93"/>
    <n v="69.86"/>
    <x v="0"/>
    <x v="1"/>
    <x v="33"/>
  </r>
  <r>
    <s v="SALE-601-2023"/>
    <x v="132"/>
    <s v="CUST-1740"/>
    <s v="BK-435514"/>
    <n v="2"/>
    <s v="Grace Anderson"/>
    <s v="grace.anderson722@outlook.com"/>
    <x v="3"/>
    <x v="3"/>
    <n v="38.08"/>
    <n v="76.16"/>
    <x v="1"/>
    <x v="0"/>
    <x v="49"/>
  </r>
  <r>
    <s v="SALE-618-2023"/>
    <x v="37"/>
    <s v="CUST-1129"/>
    <s v="BK-999463"/>
    <n v="2"/>
    <s v="James Anderson"/>
    <s v="james.anderson111@gmail.com"/>
    <x v="8"/>
    <x v="1"/>
    <n v="16.64"/>
    <n v="33.28"/>
    <x v="0"/>
    <x v="0"/>
    <x v="77"/>
  </r>
  <r>
    <s v="SALE-635-2023"/>
    <x v="157"/>
    <s v="CUST-1151"/>
    <s v="BK-738095"/>
    <n v="2"/>
    <s v="Amelia Walker"/>
    <s v="amelia.walker133@gmail.com"/>
    <x v="8"/>
    <x v="4"/>
    <n v="37.74"/>
    <n v="75.48"/>
    <x v="1"/>
    <x v="2"/>
    <x v="14"/>
  </r>
  <r>
    <s v="SALE-652-2023"/>
    <x v="206"/>
    <s v="CUST-1384"/>
    <s v="BK-420356"/>
    <n v="2"/>
    <s v="David Johnson"/>
    <s v="david.johnson366@yahoo.com"/>
    <x v="5"/>
    <x v="2"/>
    <n v="10.99"/>
    <n v="21.98"/>
    <x v="1"/>
    <x v="0"/>
    <x v="13"/>
  </r>
  <r>
    <s v="SALE-669-2023"/>
    <x v="494"/>
    <s v="CUST-1280"/>
    <s v="BK-626021"/>
    <n v="2"/>
    <s v="Thomas Robinson"/>
    <s v="thomas.robinson262@hotmail.com"/>
    <x v="2"/>
    <x v="2"/>
    <n v="26.72"/>
    <n v="53.44"/>
    <x v="0"/>
    <x v="3"/>
    <x v="37"/>
  </r>
  <r>
    <s v="SALE-686-2023"/>
    <x v="304"/>
    <s v="CUST-1023"/>
    <s v="BK-623620"/>
    <n v="2"/>
    <s v="Steven Rodriguez"/>
    <s v="steven.rodriguez5@yahoo.com"/>
    <x v="9"/>
    <x v="2"/>
    <n v="22.88"/>
    <n v="45.76"/>
    <x v="1"/>
    <x v="2"/>
    <x v="44"/>
  </r>
  <r>
    <s v="SALE-703-2023"/>
    <x v="713"/>
    <s v="CUST-1122"/>
    <s v="BK-827156"/>
    <n v="2"/>
    <s v="Lucy Clark"/>
    <s v="lucy.clark104@yahoo.com"/>
    <x v="9"/>
    <x v="1"/>
    <n v="33.14"/>
    <n v="66.28"/>
    <x v="1"/>
    <x v="0"/>
    <x v="64"/>
  </r>
  <r>
    <s v="SALE-720-2023"/>
    <x v="162"/>
    <s v="CUST-1408"/>
    <s v="BK-272516"/>
    <n v="2"/>
    <s v="Brian Harris"/>
    <s v="brian.harris390@outlook.com"/>
    <x v="8"/>
    <x v="0"/>
    <n v="32.07"/>
    <n v="64.14"/>
    <x v="0"/>
    <x v="0"/>
    <x v="4"/>
  </r>
  <r>
    <s v="SALE-737-2023"/>
    <x v="426"/>
    <s v="CUST-1271"/>
    <s v="BK-624982"/>
    <n v="2"/>
    <s v="Ava Jackson"/>
    <s v="ava.jackson253@hotmail.com"/>
    <x v="2"/>
    <x v="1"/>
    <n v="14"/>
    <n v="28"/>
    <x v="0"/>
    <x v="0"/>
    <x v="89"/>
  </r>
  <r>
    <s v="SALE-754-2023"/>
    <x v="284"/>
    <s v="CUST-1198"/>
    <s v="BK-859962"/>
    <n v="2"/>
    <s v="Paul Martinez"/>
    <s v="paul.martinez180@hotmail.com"/>
    <x v="4"/>
    <x v="2"/>
    <n v="15.81"/>
    <n v="31.62"/>
    <x v="1"/>
    <x v="1"/>
    <x v="67"/>
  </r>
  <r>
    <s v="SALE-771-2023"/>
    <x v="261"/>
    <s v="CUST-1550"/>
    <s v="BK-530128"/>
    <n v="2"/>
    <s v="Lily Taylor"/>
    <s v="lily.taylor532@outlook.com"/>
    <x v="2"/>
    <x v="1"/>
    <n v="12.11"/>
    <n v="24.22"/>
    <x v="0"/>
    <x v="1"/>
    <x v="27"/>
  </r>
  <r>
    <s v="SALE-788-2023"/>
    <x v="262"/>
    <s v="CUST-1586"/>
    <s v="BK-965199"/>
    <n v="2"/>
    <s v="Isabella Hall"/>
    <s v="isabella.hall568@outlook.com"/>
    <x v="2"/>
    <x v="2"/>
    <n v="29.09"/>
    <n v="58.18"/>
    <x v="0"/>
    <x v="2"/>
    <x v="3"/>
  </r>
  <r>
    <s v="SALE-805-2023"/>
    <x v="311"/>
    <s v="CUST-1153"/>
    <s v="BK-961461"/>
    <n v="2"/>
    <s v="David Lopez"/>
    <s v="david.lopez135@gmail.com"/>
    <x v="4"/>
    <x v="2"/>
    <n v="25.11"/>
    <n v="50.22"/>
    <x v="1"/>
    <x v="2"/>
    <x v="21"/>
  </r>
  <r>
    <s v="SALE-822-2023"/>
    <x v="264"/>
    <s v="CUST-1127"/>
    <s v="BK-355039"/>
    <n v="2"/>
    <s v="Hannah Lee"/>
    <s v="hannah.lee109@outlook.com"/>
    <x v="2"/>
    <x v="3"/>
    <n v="26.45"/>
    <n v="52.9"/>
    <x v="1"/>
    <x v="2"/>
    <x v="35"/>
  </r>
  <r>
    <s v="SALE-839-2023"/>
    <x v="647"/>
    <s v="CUST-1699"/>
    <s v="BK-746662"/>
    <n v="2"/>
    <s v="Sophia White"/>
    <s v="sophia.white681@hotmail.com"/>
    <x v="5"/>
    <x v="1"/>
    <n v="38.85"/>
    <n v="77.7"/>
    <x v="1"/>
    <x v="2"/>
    <x v="49"/>
  </r>
  <r>
    <s v="SALE-856-2023"/>
    <x v="672"/>
    <s v="CUST-1185"/>
    <s v="BK-727550"/>
    <n v="2"/>
    <s v="Chloe Garcia"/>
    <s v="chloe.garcia167@yahoo.com"/>
    <x v="9"/>
    <x v="4"/>
    <n v="13.84"/>
    <n v="27.68"/>
    <x v="0"/>
    <x v="3"/>
    <x v="20"/>
  </r>
  <r>
    <s v="SALE-873-2023"/>
    <x v="8"/>
    <s v="CUST-1922"/>
    <s v="BK-362499"/>
    <n v="2"/>
    <s v="Brian Lee"/>
    <s v="brian.lee904@gmail.com"/>
    <x v="3"/>
    <x v="1"/>
    <n v="26.83"/>
    <n v="53.66"/>
    <x v="1"/>
    <x v="0"/>
    <x v="61"/>
  </r>
  <r>
    <s v="SALE-890-2023"/>
    <x v="714"/>
    <s v="CUST-1654"/>
    <s v="BK-185165"/>
    <n v="2"/>
    <s v="Steven Garcia"/>
    <s v="steven.garcia636@outlook.com"/>
    <x v="5"/>
    <x v="4"/>
    <n v="29.04"/>
    <n v="58.08"/>
    <x v="1"/>
    <x v="0"/>
    <x v="68"/>
  </r>
  <r>
    <s v="SALE-907-2023"/>
    <x v="507"/>
    <s v="CUST-1810"/>
    <s v="BK-266276"/>
    <n v="2"/>
    <s v="Kevin Robinson"/>
    <s v="kevin.robinson792@gmail.com"/>
    <x v="4"/>
    <x v="4"/>
    <n v="30.04"/>
    <n v="60.08"/>
    <x v="1"/>
    <x v="0"/>
    <x v="75"/>
  </r>
  <r>
    <s v="SALE-924-2023"/>
    <x v="318"/>
    <s v="CUST-1544"/>
    <s v="BK-935083"/>
    <n v="2"/>
    <s v="Lucy King"/>
    <s v="lucy.king526@gmail.com"/>
    <x v="1"/>
    <x v="0"/>
    <n v="28.46"/>
    <n v="56.92"/>
    <x v="1"/>
    <x v="0"/>
    <x v="51"/>
  </r>
  <r>
    <s v="SALE-941-2023"/>
    <x v="438"/>
    <s v="CUST-1110"/>
    <s v="BK-861149"/>
    <n v="2"/>
    <s v="Amelia Martin"/>
    <s v="amelia.martin92@outlook.com"/>
    <x v="3"/>
    <x v="3"/>
    <n v="22.34"/>
    <n v="44.68"/>
    <x v="0"/>
    <x v="0"/>
    <x v="33"/>
  </r>
  <r>
    <s v="SALE-958-2023"/>
    <x v="224"/>
    <s v="CUST-1630"/>
    <s v="BK-741732"/>
    <n v="2"/>
    <s v="Kevin Lopez"/>
    <s v="kevin.lopez612@gmail.com"/>
    <x v="4"/>
    <x v="4"/>
    <n v="11.94"/>
    <n v="23.88"/>
    <x v="0"/>
    <x v="0"/>
    <x v="6"/>
  </r>
  <r>
    <s v="SALE-975-2023"/>
    <x v="464"/>
    <s v="CUST-1362"/>
    <s v="BK-135616"/>
    <n v="2"/>
    <s v="Emma Scott"/>
    <s v="emma.scott344@yahoo.com"/>
    <x v="3"/>
    <x v="2"/>
    <n v="14.71"/>
    <n v="29.42"/>
    <x v="0"/>
    <x v="2"/>
    <x v="28"/>
  </r>
  <r>
    <s v="SALE-012-2023"/>
    <x v="322"/>
    <s v="CUST-1801"/>
    <s v="BK-640961"/>
    <n v="1"/>
    <s v="Laura Walker"/>
    <s v="laura.walker783@hotmail.com"/>
    <x v="4"/>
    <x v="1"/>
    <n v="25.19"/>
    <n v="25.19"/>
    <x v="0"/>
    <x v="2"/>
    <x v="86"/>
  </r>
  <r>
    <s v="SALE-029-2023"/>
    <x v="108"/>
    <s v="CUST-1117"/>
    <s v="BK-892208"/>
    <n v="3"/>
    <s v="Lily Allen"/>
    <s v="lily.allen99@yahoo.com"/>
    <x v="4"/>
    <x v="1"/>
    <n v="37.97"/>
    <n v="113.91"/>
    <x v="1"/>
    <x v="0"/>
    <x v="45"/>
  </r>
  <r>
    <s v="SALE-046-2023"/>
    <x v="276"/>
    <s v="CUST-1321"/>
    <s v="BK-660972"/>
    <n v="3"/>
    <s v="Ryan Adams"/>
    <s v="ryan.adams303@hotmail.com"/>
    <x v="5"/>
    <x v="1"/>
    <n v="29.11"/>
    <n v="87.33"/>
    <x v="0"/>
    <x v="2"/>
    <x v="19"/>
  </r>
  <r>
    <s v="SALE-063-2023"/>
    <x v="587"/>
    <s v="CUST-1137"/>
    <s v="BK-745848"/>
    <n v="3"/>
    <s v="Ella Adams"/>
    <s v="ella.adams119@hotmail.com"/>
    <x v="3"/>
    <x v="0"/>
    <n v="25.67"/>
    <n v="77.010000000000005"/>
    <x v="0"/>
    <x v="0"/>
    <x v="29"/>
  </r>
  <r>
    <s v="SALE-080-2023"/>
    <x v="397"/>
    <s v="CUST-1267"/>
    <s v="BK-998918"/>
    <n v="2"/>
    <s v="David Martinez"/>
    <s v="david.martinez249@yahoo.com"/>
    <x v="5"/>
    <x v="3"/>
    <n v="21.69"/>
    <n v="43.38"/>
    <x v="1"/>
    <x v="2"/>
    <x v="78"/>
  </r>
  <r>
    <s v="SALE-097-2023"/>
    <x v="20"/>
    <s v="CUST-1148"/>
    <s v="BK-359218"/>
    <n v="2"/>
    <s v="Lucy Thompson"/>
    <s v="lucy.thompson130@hotmail.com"/>
    <x v="1"/>
    <x v="1"/>
    <n v="22.69"/>
    <n v="45.38"/>
    <x v="1"/>
    <x v="0"/>
    <x v="42"/>
  </r>
  <r>
    <s v="SALE-114-2023"/>
    <x v="280"/>
    <s v="CUST-1431"/>
    <s v="BK-256955"/>
    <n v="2"/>
    <s v="Amelia Hill"/>
    <s v="amelia.hill413@yahoo.com"/>
    <x v="5"/>
    <x v="0"/>
    <n v="15.53"/>
    <n v="31.06"/>
    <x v="1"/>
    <x v="0"/>
    <x v="54"/>
  </r>
  <r>
    <s v="SALE-131-2023"/>
    <x v="66"/>
    <s v="CUST-1589"/>
    <s v="BK-752421"/>
    <n v="2"/>
    <s v="Olivia Lopez"/>
    <s v="olivia.lopez571@yahoo.com"/>
    <x v="1"/>
    <x v="0"/>
    <n v="19.79"/>
    <n v="39.58"/>
    <x v="1"/>
    <x v="0"/>
    <x v="67"/>
  </r>
  <r>
    <s v="SALE-148-2023"/>
    <x v="425"/>
    <s v="CUST-1618"/>
    <s v="BK-189028"/>
    <n v="2"/>
    <s v="Thomas Johnson"/>
    <s v="thomas.johnson600@outlook.com"/>
    <x v="5"/>
    <x v="3"/>
    <n v="13.19"/>
    <n v="26.38"/>
    <x v="1"/>
    <x v="1"/>
    <x v="89"/>
  </r>
  <r>
    <s v="SALE-165-2023"/>
    <x v="354"/>
    <s v="CUST-1600"/>
    <s v="BK-292676"/>
    <n v="2"/>
    <s v="Isabella Garcia"/>
    <s v="isabella.garcia582@yahoo.com"/>
    <x v="5"/>
    <x v="2"/>
    <n v="39.840000000000003"/>
    <n v="79.680000000000007"/>
    <x v="0"/>
    <x v="2"/>
    <x v="31"/>
  </r>
  <r>
    <s v="SALE-182-2023"/>
    <x v="69"/>
    <s v="CUST-1250"/>
    <s v="BK-805685"/>
    <n v="2"/>
    <s v="Brian Clark"/>
    <s v="brian.clark232@yahoo.com"/>
    <x v="8"/>
    <x v="2"/>
    <n v="32.79"/>
    <n v="65.58"/>
    <x v="1"/>
    <x v="0"/>
    <x v="63"/>
  </r>
  <r>
    <s v="SALE-199-2023"/>
    <x v="404"/>
    <s v="CUST-1597"/>
    <s v="BK-835090"/>
    <n v="2"/>
    <s v="Zoe Harris"/>
    <s v="zoe.harris579@yahoo.com"/>
    <x v="8"/>
    <x v="0"/>
    <n v="25.11"/>
    <n v="50.22"/>
    <x v="1"/>
    <x v="0"/>
    <x v="80"/>
  </r>
  <r>
    <s v="SALE-216-2023"/>
    <x v="47"/>
    <s v="CUST-1983"/>
    <s v="BK-784600"/>
    <n v="2"/>
    <s v="Daniel Young"/>
    <s v="daniel.young965@hotmail.com"/>
    <x v="16"/>
    <x v="0"/>
    <n v="20.96"/>
    <n v="41.92"/>
    <x v="1"/>
    <x v="3"/>
    <x v="73"/>
  </r>
  <r>
    <s v="SALE-233-2023"/>
    <x v="215"/>
    <s v="CUST-1442"/>
    <s v="BK-825485"/>
    <n v="2"/>
    <s v="Anthony Taylor"/>
    <s v="anthony.taylor424@hotmail.com"/>
    <x v="2"/>
    <x v="3"/>
    <n v="16.53"/>
    <n v="33.06"/>
    <x v="0"/>
    <x v="0"/>
    <x v="7"/>
  </r>
  <r>
    <s v="SALE-250-2023"/>
    <x v="121"/>
    <s v="CUST-1962"/>
    <s v="BK-333818"/>
    <n v="2"/>
    <s v="Charlotte King"/>
    <s v="charlotte.king944@yahoo.com"/>
    <x v="5"/>
    <x v="3"/>
    <n v="23.84"/>
    <n v="47.68"/>
    <x v="1"/>
    <x v="3"/>
    <x v="40"/>
  </r>
  <r>
    <s v="SALE-267-2023"/>
    <x v="26"/>
    <s v="CUST-1070"/>
    <s v="BK-966059"/>
    <n v="2"/>
    <s v="Ella Martinez"/>
    <s v="ella.martinez52@yahoo.com"/>
    <x v="8"/>
    <x v="4"/>
    <n v="23.9"/>
    <n v="47.8"/>
    <x v="0"/>
    <x v="1"/>
    <x v="69"/>
  </r>
  <r>
    <s v="SALE-284-2023"/>
    <x v="385"/>
    <s v="CUST-1999"/>
    <s v="BK-399133"/>
    <n v="2"/>
    <s v="Ryan Thomas"/>
    <s v="ryan.thomas981@yahoo.com"/>
    <x v="7"/>
    <x v="4"/>
    <n v="36.29"/>
    <n v="72.58"/>
    <x v="0"/>
    <x v="2"/>
    <x v="76"/>
  </r>
  <r>
    <s v="SALE-301-2023"/>
    <x v="52"/>
    <s v="CUST-1662"/>
    <s v="BK-282104"/>
    <n v="2"/>
    <s v="Mark King"/>
    <s v="mark.king644@yahoo.com"/>
    <x v="9"/>
    <x v="2"/>
    <n v="10.88"/>
    <n v="21.76"/>
    <x v="0"/>
    <x v="0"/>
    <x v="46"/>
  </r>
  <r>
    <s v="SALE-318-2023"/>
    <x v="244"/>
    <s v="CUST-1235"/>
    <s v="BK-353266"/>
    <n v="2"/>
    <s v="Isabella King"/>
    <s v="isabella.king217@gmail.com"/>
    <x v="2"/>
    <x v="3"/>
    <n v="12.09"/>
    <n v="24.18"/>
    <x v="0"/>
    <x v="2"/>
    <x v="6"/>
  </r>
  <r>
    <s v="SALE-335-2023"/>
    <x v="317"/>
    <s v="CUST-1735"/>
    <s v="BK-131954"/>
    <n v="2"/>
    <s v="Peter Lewis"/>
    <s v="peter.lewis717@outlook.com"/>
    <x v="5"/>
    <x v="1"/>
    <n v="36.99"/>
    <n v="73.98"/>
    <x v="1"/>
    <x v="0"/>
    <x v="19"/>
  </r>
  <r>
    <s v="SALE-352-2023"/>
    <x v="198"/>
    <s v="CUST-1802"/>
    <s v="BK-272343"/>
    <n v="2"/>
    <s v="Amelia Adams"/>
    <s v="amelia.adams784@yahoo.com"/>
    <x v="2"/>
    <x v="0"/>
    <n v="39.86"/>
    <n v="79.72"/>
    <x v="0"/>
    <x v="0"/>
    <x v="81"/>
  </r>
  <r>
    <s v="SALE-369-2023"/>
    <x v="223"/>
    <s v="CUST-1591"/>
    <s v="BK-337902"/>
    <n v="2"/>
    <s v="Andrew Green"/>
    <s v="andrew.green573@outlook.com"/>
    <x v="5"/>
    <x v="2"/>
    <n v="14.57"/>
    <n v="29.14"/>
    <x v="0"/>
    <x v="2"/>
    <x v="25"/>
  </r>
  <r>
    <s v="SALE-386-2023"/>
    <x v="320"/>
    <s v="CUST-1874"/>
    <s v="BK-147122"/>
    <n v="2"/>
    <s v="Emily White"/>
    <s v="emily.white856@yahoo.com"/>
    <x v="9"/>
    <x v="1"/>
    <n v="19.920000000000002"/>
    <n v="39.840000000000003"/>
    <x v="1"/>
    <x v="2"/>
    <x v="73"/>
  </r>
  <r>
    <s v="SALE-403-2023"/>
    <x v="440"/>
    <s v="CUST-1800"/>
    <s v="BK-772728"/>
    <n v="2"/>
    <s v="Mark Wright"/>
    <s v="mark.wright782@outlook.com"/>
    <x v="20"/>
    <x v="1"/>
    <n v="12.67"/>
    <n v="25.34"/>
    <x v="1"/>
    <x v="2"/>
    <x v="23"/>
  </r>
  <r>
    <s v="SALE-420-2023"/>
    <x v="465"/>
    <s v="CUST-1537"/>
    <s v="BK-250721"/>
    <n v="2"/>
    <s v="George Robinson"/>
    <s v="george.robinson519@gmail.com"/>
    <x v="5"/>
    <x v="3"/>
    <n v="16.510000000000002"/>
    <n v="33.020000000000003"/>
    <x v="0"/>
    <x v="2"/>
    <x v="0"/>
  </r>
  <r>
    <s v="SALE-437-2023"/>
    <x v="203"/>
    <s v="CUST-1265"/>
    <s v="BK-512809"/>
    <n v="2"/>
    <s v="Steven Harris"/>
    <s v="steven.harris247@outlook.com"/>
    <x v="1"/>
    <x v="2"/>
    <n v="23.16"/>
    <n v="46.32"/>
    <x v="1"/>
    <x v="0"/>
    <x v="36"/>
  </r>
  <r>
    <s v="SALE-454-2023"/>
    <x v="658"/>
    <s v="CUST-1916"/>
    <s v="BK-457905"/>
    <n v="2"/>
    <s v="Brian Walker"/>
    <s v="brian.walker898@gmail.com"/>
    <x v="16"/>
    <x v="2"/>
    <n v="34.22"/>
    <n v="68.44"/>
    <x v="0"/>
    <x v="1"/>
    <x v="80"/>
  </r>
  <r>
    <s v="SALE-471-2023"/>
    <x v="205"/>
    <s v="CUST-1750"/>
    <s v="BK-411674"/>
    <n v="2"/>
    <s v="Ella Harris"/>
    <s v="ella.harris732@outlook.com"/>
    <x v="8"/>
    <x v="4"/>
    <n v="35.380000000000003"/>
    <n v="70.760000000000005"/>
    <x v="1"/>
    <x v="0"/>
    <x v="50"/>
  </r>
  <r>
    <s v="SALE-488-2023"/>
    <x v="254"/>
    <s v="CUST-1339"/>
    <s v="BK-141350"/>
    <n v="2"/>
    <s v="Emily Green"/>
    <s v="emily.green321@yahoo.com"/>
    <x v="5"/>
    <x v="3"/>
    <n v="22.02"/>
    <n v="44.04"/>
    <x v="1"/>
    <x v="0"/>
    <x v="63"/>
  </r>
  <r>
    <s v="SALE-505-2023"/>
    <x v="303"/>
    <s v="CUST-1249"/>
    <s v="BK-935538"/>
    <n v="2"/>
    <s v="Edward Garcia"/>
    <s v="edward.garcia231@gmail.com"/>
    <x v="5"/>
    <x v="4"/>
    <n v="11.56"/>
    <n v="23.12"/>
    <x v="1"/>
    <x v="0"/>
    <x v="18"/>
  </r>
  <r>
    <s v="SALE-522-2023"/>
    <x v="137"/>
    <s v="CUST-1642"/>
    <s v="BK-909744"/>
    <n v="2"/>
    <s v="George Thompson"/>
    <s v="george.thompson624@gmail.com"/>
    <x v="8"/>
    <x v="2"/>
    <n v="38.89"/>
    <n v="77.78"/>
    <x v="1"/>
    <x v="1"/>
    <x v="82"/>
  </r>
  <r>
    <s v="SALE-539-2023"/>
    <x v="161"/>
    <s v="CUST-1632"/>
    <s v="BK-822149"/>
    <n v="2"/>
    <s v="Peter Clark"/>
    <s v="peter.clark614@gmail.com"/>
    <x v="3"/>
    <x v="1"/>
    <n v="24.46"/>
    <n v="48.92"/>
    <x v="0"/>
    <x v="0"/>
    <x v="19"/>
  </r>
  <r>
    <s v="SALE-556-2023"/>
    <x v="139"/>
    <s v="CUST-1069"/>
    <s v="BK-171429"/>
    <n v="2"/>
    <s v="Robert Taylor"/>
    <s v="robert.taylor51@gmail.com"/>
    <x v="5"/>
    <x v="0"/>
    <n v="20"/>
    <n v="40"/>
    <x v="1"/>
    <x v="2"/>
    <x v="6"/>
  </r>
  <r>
    <s v="SALE-573-2023"/>
    <x v="24"/>
    <s v="CUST-1974"/>
    <s v="BK-254825"/>
    <n v="2"/>
    <s v="Ella Brown"/>
    <s v="ella.brown956@yahoo.com"/>
    <x v="12"/>
    <x v="0"/>
    <n v="24.07"/>
    <n v="48.14"/>
    <x v="0"/>
    <x v="3"/>
    <x v="55"/>
  </r>
  <r>
    <s v="SALE-590-2023"/>
    <x v="164"/>
    <s v="CUST-1503"/>
    <s v="BK-713073"/>
    <n v="2"/>
    <s v="Andrew Lee"/>
    <s v="andrew.lee485@yahoo.com"/>
    <x v="5"/>
    <x v="2"/>
    <n v="39.520000000000003"/>
    <n v="79.040000000000006"/>
    <x v="1"/>
    <x v="0"/>
    <x v="55"/>
  </r>
  <r>
    <s v="SALE-607-2023"/>
    <x v="333"/>
    <s v="CUST-1298"/>
    <s v="BK-643533"/>
    <n v="2"/>
    <s v="Edward Anderson"/>
    <s v="edward.anderson280@hotmail.com"/>
    <x v="2"/>
    <x v="3"/>
    <n v="32.659999999999997"/>
    <n v="65.319999999999993"/>
    <x v="1"/>
    <x v="0"/>
    <x v="51"/>
  </r>
  <r>
    <s v="SALE-624-2023"/>
    <x v="500"/>
    <s v="CUST-1274"/>
    <s v="BK-622543"/>
    <n v="2"/>
    <s v="Isabella Wright"/>
    <s v="isabella.wright256@yahoo.com"/>
    <x v="1"/>
    <x v="0"/>
    <n v="10.46"/>
    <n v="20.92"/>
    <x v="1"/>
    <x v="2"/>
    <x v="69"/>
  </r>
  <r>
    <s v="SALE-641-2023"/>
    <x v="621"/>
    <s v="CUST-1080"/>
    <s v="BK-753414"/>
    <n v="2"/>
    <s v="Joshua Anderson"/>
    <s v="joshua.anderson62@hotmail.com"/>
    <x v="5"/>
    <x v="3"/>
    <n v="29.72"/>
    <n v="59.44"/>
    <x v="1"/>
    <x v="0"/>
    <x v="27"/>
  </r>
  <r>
    <s v="SALE-658-2023"/>
    <x v="145"/>
    <s v="CUST-1031"/>
    <s v="BK-886755"/>
    <n v="2"/>
    <s v="Steven Scott"/>
    <s v="steven.scott13@hotmail.com"/>
    <x v="1"/>
    <x v="2"/>
    <n v="35.97"/>
    <n v="71.94"/>
    <x v="0"/>
    <x v="1"/>
    <x v="35"/>
  </r>
  <r>
    <s v="SALE-675-2023"/>
    <x v="146"/>
    <s v="CUST-1175"/>
    <s v="BK-444369"/>
    <n v="2"/>
    <s v="Mia Robinson"/>
    <s v="mia.robinson157@outlook.com"/>
    <x v="1"/>
    <x v="0"/>
    <n v="10.89"/>
    <n v="21.78"/>
    <x v="1"/>
    <x v="0"/>
    <x v="35"/>
  </r>
  <r>
    <s v="SALE-692-2023"/>
    <x v="290"/>
    <s v="CUST-1799"/>
    <s v="BK-596221"/>
    <n v="2"/>
    <s v="Brian Adams"/>
    <s v="brian.adams781@yahoo.com"/>
    <x v="8"/>
    <x v="3"/>
    <n v="35"/>
    <n v="70"/>
    <x v="1"/>
    <x v="0"/>
    <x v="34"/>
  </r>
  <r>
    <s v="SALE-709-2023"/>
    <x v="362"/>
    <s v="CUST-1276"/>
    <s v="BK-573344"/>
    <n v="2"/>
    <s v="Ryan Anderson"/>
    <s v="ryan.anderson258@yahoo.com"/>
    <x v="5"/>
    <x v="0"/>
    <n v="34.770000000000003"/>
    <n v="69.540000000000006"/>
    <x v="0"/>
    <x v="0"/>
    <x v="20"/>
  </r>
  <r>
    <s v="SALE-726-2023"/>
    <x v="196"/>
    <s v="CUST-1759"/>
    <s v="BK-179723"/>
    <n v="2"/>
    <s v="Zoe Baker"/>
    <s v="zoe.baker741@hotmail.com"/>
    <x v="8"/>
    <x v="2"/>
    <n v="12.85"/>
    <n v="25.7"/>
    <x v="1"/>
    <x v="2"/>
    <x v="65"/>
  </r>
  <r>
    <s v="SALE-743-2023"/>
    <x v="460"/>
    <s v="CUST-1258"/>
    <s v="BK-957711"/>
    <n v="2"/>
    <s v="Anthony Harris"/>
    <s v="anthony.harris240@hotmail.com"/>
    <x v="5"/>
    <x v="1"/>
    <n v="36.83"/>
    <n v="73.66"/>
    <x v="1"/>
    <x v="1"/>
    <x v="73"/>
  </r>
  <r>
    <s v="SALE-760-2023"/>
    <x v="55"/>
    <s v="CUST-1456"/>
    <s v="BK-387327"/>
    <n v="2"/>
    <s v="Sarah White"/>
    <s v="sarah.white438@outlook.com"/>
    <x v="5"/>
    <x v="3"/>
    <n v="11.82"/>
    <n v="23.64"/>
    <x v="0"/>
    <x v="0"/>
    <x v="64"/>
  </r>
  <r>
    <s v="SALE-777-2023"/>
    <x v="271"/>
    <s v="CUST-1977"/>
    <s v="BK-491213"/>
    <n v="2"/>
    <s v="Zoe White"/>
    <s v="zoe.white959@outlook.com"/>
    <x v="48"/>
    <x v="3"/>
    <n v="38.58"/>
    <n v="77.16"/>
    <x v="0"/>
    <x v="0"/>
    <x v="79"/>
  </r>
  <r>
    <s v="SALE-794-2023"/>
    <x v="176"/>
    <s v="CUST-1474"/>
    <s v="BK-808481"/>
    <n v="2"/>
    <s v="Brian Jackson"/>
    <s v="brian.jackson456@yahoo.com"/>
    <x v="5"/>
    <x v="0"/>
    <n v="19.09"/>
    <n v="38.18"/>
    <x v="0"/>
    <x v="2"/>
    <x v="21"/>
  </r>
  <r>
    <s v="SALE-811-2023"/>
    <x v="249"/>
    <s v="CUST-1494"/>
    <s v="BK-207603"/>
    <n v="2"/>
    <s v="David Rodriguez"/>
    <s v="david.rodriguez476@outlook.com"/>
    <x v="5"/>
    <x v="1"/>
    <n v="30.98"/>
    <n v="61.96"/>
    <x v="1"/>
    <x v="0"/>
    <x v="9"/>
  </r>
  <r>
    <s v="SALE-828-2023"/>
    <x v="512"/>
    <s v="CUST-1406"/>
    <s v="BK-676340"/>
    <n v="2"/>
    <s v="Anthony Johnson"/>
    <s v="anthony.johnson388@outlook.com"/>
    <x v="2"/>
    <x v="0"/>
    <n v="14.85"/>
    <n v="29.7"/>
    <x v="1"/>
    <x v="1"/>
    <x v="50"/>
  </r>
  <r>
    <s v="SALE-845-2023"/>
    <x v="299"/>
    <s v="CUST-1295"/>
    <s v="BK-875137"/>
    <n v="2"/>
    <s v="Robert King"/>
    <s v="robert.king277@outlook.com"/>
    <x v="8"/>
    <x v="1"/>
    <n v="18.850000000000001"/>
    <n v="37.700000000000003"/>
    <x v="1"/>
    <x v="2"/>
    <x v="78"/>
  </r>
  <r>
    <s v="SALE-862-2023"/>
    <x v="180"/>
    <s v="CUST-1048"/>
    <s v="BK-853460"/>
    <n v="2"/>
    <s v="Michael Johnson"/>
    <s v="michael.johnson30@gmail.com"/>
    <x v="8"/>
    <x v="3"/>
    <n v="30.35"/>
    <n v="60.7"/>
    <x v="1"/>
    <x v="2"/>
    <x v="29"/>
  </r>
  <r>
    <s v="SALE-879-2023"/>
    <x v="134"/>
    <s v="CUST-1303"/>
    <s v="BK-464431"/>
    <n v="2"/>
    <s v="Michael Hall"/>
    <s v="michael.hall285@yahoo.com"/>
    <x v="5"/>
    <x v="4"/>
    <n v="22.62"/>
    <n v="45.24"/>
    <x v="1"/>
    <x v="0"/>
    <x v="20"/>
  </r>
  <r>
    <s v="SALE-896-2023"/>
    <x v="445"/>
    <s v="CUST-1927"/>
    <s v="BK-372996"/>
    <n v="2"/>
    <s v="Zoe Taylor"/>
    <s v="zoe.taylor909@yahoo.com"/>
    <x v="25"/>
    <x v="0"/>
    <n v="14.02"/>
    <n v="28.04"/>
    <x v="0"/>
    <x v="2"/>
    <x v="57"/>
  </r>
  <r>
    <s v="SALE-913-2023"/>
    <x v="207"/>
    <s v="CUST-1230"/>
    <s v="BK-874544"/>
    <n v="2"/>
    <s v="Paul Lewis"/>
    <s v="paul.lewis212@gmail.com"/>
    <x v="9"/>
    <x v="3"/>
    <n v="35.49"/>
    <n v="70.98"/>
    <x v="0"/>
    <x v="1"/>
    <x v="10"/>
  </r>
  <r>
    <s v="SALE-930-2023"/>
    <x v="542"/>
    <s v="CUST-1624"/>
    <s v="BK-827171"/>
    <n v="2"/>
    <s v="Sarah Anderson"/>
    <s v="sarah.anderson606@hotmail.com"/>
    <x v="8"/>
    <x v="3"/>
    <n v="19.48"/>
    <n v="38.96"/>
    <x v="1"/>
    <x v="2"/>
    <x v="68"/>
  </r>
  <r>
    <s v="SALE-947-2023"/>
    <x v="448"/>
    <s v="CUST-1577"/>
    <s v="BK-781955"/>
    <n v="2"/>
    <s v="Michael Martin"/>
    <s v="michael.martin559@gmail.com"/>
    <x v="2"/>
    <x v="4"/>
    <n v="39.590000000000003"/>
    <n v="79.180000000000007"/>
    <x v="0"/>
    <x v="2"/>
    <x v="64"/>
  </r>
  <r>
    <s v="SALE-964-2023"/>
    <x v="715"/>
    <s v="CUST-1674"/>
    <s v="BK-567574"/>
    <n v="2"/>
    <s v="Lucy Scott"/>
    <s v="lucy.scott656@yahoo.com"/>
    <x v="5"/>
    <x v="3"/>
    <n v="33.83"/>
    <n v="67.66"/>
    <x v="0"/>
    <x v="0"/>
    <x v="35"/>
  </r>
  <r>
    <s v="SALE-007-2023"/>
    <x v="521"/>
    <s v="CUST-1499"/>
    <s v="BK-377079"/>
    <n v="2"/>
    <s v="Mia Hall"/>
    <s v="mia.hall481@hotmail.com"/>
    <x v="1"/>
    <x v="4"/>
    <n v="30.91"/>
    <n v="61.82"/>
    <x v="1"/>
    <x v="1"/>
    <x v="19"/>
  </r>
  <r>
    <s v="SALE-018-2023"/>
    <x v="332"/>
    <s v="CUST-1399"/>
    <s v="BK-320527"/>
    <n v="2"/>
    <s v="David Lewis"/>
    <s v="david.lewis381@hotmail.com"/>
    <x v="8"/>
    <x v="4"/>
    <n v="30.66"/>
    <n v="61.32"/>
    <x v="1"/>
    <x v="0"/>
    <x v="22"/>
  </r>
  <r>
    <s v="SALE-035-2023"/>
    <x v="356"/>
    <s v="CUST-1721"/>
    <s v="BK-575024"/>
    <n v="1"/>
    <s v="William Smith"/>
    <s v="william.smith703@yahoo.com"/>
    <x v="2"/>
    <x v="3"/>
    <n v="20.43"/>
    <n v="20.43"/>
    <x v="1"/>
    <x v="0"/>
    <x v="26"/>
  </r>
  <r>
    <s v="SALE-052-2023"/>
    <x v="644"/>
    <s v="CUST-1219"/>
    <s v="BK-482744"/>
    <n v="2"/>
    <s v="Daniel Anderson"/>
    <s v="daniel.anderson201@yahoo.com"/>
    <x v="8"/>
    <x v="2"/>
    <n v="27.72"/>
    <n v="55.44"/>
    <x v="0"/>
    <x v="0"/>
    <x v="28"/>
  </r>
  <r>
    <s v="SALE-069-2023"/>
    <x v="191"/>
    <s v="CUST-1976"/>
    <s v="BK-910483"/>
    <n v="1"/>
    <s v="James Baker"/>
    <s v="james.baker958@yahoo.com"/>
    <x v="49"/>
    <x v="1"/>
    <n v="35.520000000000003"/>
    <n v="35.520000000000003"/>
    <x v="1"/>
    <x v="1"/>
    <x v="8"/>
  </r>
  <r>
    <s v="SALE-086-2023"/>
    <x v="550"/>
    <s v="CUST-1862"/>
    <s v="BK-126261"/>
    <n v="2"/>
    <s v="Anna Baker"/>
    <s v="anna.baker844@outlook.com"/>
    <x v="31"/>
    <x v="2"/>
    <n v="21.47"/>
    <n v="42.94"/>
    <x v="1"/>
    <x v="2"/>
    <x v="82"/>
  </r>
  <r>
    <s v="SALE-103-2023"/>
    <x v="122"/>
    <s v="CUST-1178"/>
    <s v="BK-179030"/>
    <n v="2"/>
    <s v="Mark Hall"/>
    <s v="mark.hall160@yahoo.com"/>
    <x v="8"/>
    <x v="0"/>
    <n v="38.229999999999997"/>
    <n v="76.459999999999994"/>
    <x v="0"/>
    <x v="1"/>
    <x v="82"/>
  </r>
  <r>
    <s v="SALE-120-2023"/>
    <x v="314"/>
    <s v="CUST-1540"/>
    <s v="BK-316574"/>
    <n v="2"/>
    <s v="David Hall"/>
    <s v="david.hall522@hotmail.com"/>
    <x v="4"/>
    <x v="0"/>
    <n v="14.45"/>
    <n v="28.9"/>
    <x v="0"/>
    <x v="0"/>
    <x v="29"/>
  </r>
  <r>
    <s v="SALE-137-2023"/>
    <x v="124"/>
    <s v="CUST-1130"/>
    <s v="BK-782659"/>
    <n v="2"/>
    <s v="Joshua Harris"/>
    <s v="joshua.harris112@yahoo.com"/>
    <x v="1"/>
    <x v="4"/>
    <n v="35.79"/>
    <n v="71.58"/>
    <x v="0"/>
    <x v="1"/>
    <x v="45"/>
  </r>
  <r>
    <s v="SALE-154-2023"/>
    <x v="220"/>
    <s v="CUST-1935"/>
    <s v="BK-913468"/>
    <n v="2"/>
    <s v="Jessica Walker"/>
    <s v="jessica.walker917@yahoo.com"/>
    <x v="1"/>
    <x v="3"/>
    <n v="13.38"/>
    <n v="26.76"/>
    <x v="0"/>
    <x v="0"/>
    <x v="33"/>
  </r>
  <r>
    <s v="SALE-171-2023"/>
    <x v="436"/>
    <s v="CUST-1377"/>
    <s v="BK-841140"/>
    <n v="2"/>
    <s v="Steven Baker"/>
    <s v="steven.baker359@hotmail.com"/>
    <x v="5"/>
    <x v="2"/>
    <n v="10.63"/>
    <n v="21.26"/>
    <x v="1"/>
    <x v="1"/>
    <x v="70"/>
  </r>
  <r>
    <s v="SALE-188-2023"/>
    <x v="604"/>
    <s v="CUST-1426"/>
    <s v="BK-346814"/>
    <n v="2"/>
    <s v="Paul Adams"/>
    <s v="paul.adams408@gmail.com"/>
    <x v="8"/>
    <x v="3"/>
    <n v="36.450000000000003"/>
    <n v="72.900000000000006"/>
    <x v="1"/>
    <x v="2"/>
    <x v="78"/>
  </r>
  <r>
    <s v="SALE-205-2023"/>
    <x v="605"/>
    <s v="CUST-1262"/>
    <s v="BK-913859"/>
    <n v="2"/>
    <s v="Hannah Clark"/>
    <s v="hannah.clark244@gmail.com"/>
    <x v="2"/>
    <x v="3"/>
    <n v="30.55"/>
    <n v="61.1"/>
    <x v="1"/>
    <x v="0"/>
    <x v="3"/>
  </r>
  <r>
    <s v="SALE-222-2023"/>
    <x v="558"/>
    <s v="CUST-1269"/>
    <s v="BK-474546"/>
    <n v="2"/>
    <s v="Sarah Martinez"/>
    <s v="sarah.martinez251@outlook.com"/>
    <x v="5"/>
    <x v="3"/>
    <n v="20.74"/>
    <n v="41.48"/>
    <x v="0"/>
    <x v="0"/>
    <x v="83"/>
  </r>
  <r>
    <s v="SALE-239-2023"/>
    <x v="607"/>
    <s v="CUST-1696"/>
    <s v="BK-663928"/>
    <n v="2"/>
    <s v="Chloe Hall"/>
    <s v="chloe.hall678@gmail.com"/>
    <x v="8"/>
    <x v="0"/>
    <n v="33.409999999999997"/>
    <n v="66.819999999999993"/>
    <x v="0"/>
    <x v="0"/>
    <x v="53"/>
  </r>
  <r>
    <s v="SALE-256-2023"/>
    <x v="369"/>
    <s v="CUST-1806"/>
    <s v="BK-902816"/>
    <n v="2"/>
    <s v="Thomas White"/>
    <s v="thomas.white788@outlook.com"/>
    <x v="9"/>
    <x v="1"/>
    <n v="38.75"/>
    <n v="77.5"/>
    <x v="1"/>
    <x v="2"/>
    <x v="63"/>
  </r>
  <r>
    <s v="SALE-273-2023"/>
    <x v="681"/>
    <s v="CUST-1493"/>
    <s v="BK-287845"/>
    <n v="2"/>
    <s v="Anthony Hall"/>
    <s v="anthony.hall475@hotmail.com"/>
    <x v="8"/>
    <x v="0"/>
    <n v="12.89"/>
    <n v="25.78"/>
    <x v="0"/>
    <x v="1"/>
    <x v="47"/>
  </r>
  <r>
    <s v="SALE-290-2023"/>
    <x v="61"/>
    <s v="CUST-1841"/>
    <s v="BK-612306"/>
    <n v="2"/>
    <s v="Zoe Clark"/>
    <s v="zoe.clark823@hotmail.com"/>
    <x v="1"/>
    <x v="3"/>
    <n v="39.86"/>
    <n v="79.72"/>
    <x v="1"/>
    <x v="0"/>
    <x v="39"/>
  </r>
  <r>
    <s v="SALE-307-2023"/>
    <x v="86"/>
    <s v="CUST-1365"/>
    <s v="BK-201521"/>
    <n v="2"/>
    <s v="Lily Thompson"/>
    <s v="lily.thompson347@hotmail.com"/>
    <x v="9"/>
    <x v="1"/>
    <n v="33.86"/>
    <n v="67.72"/>
    <x v="0"/>
    <x v="0"/>
    <x v="74"/>
  </r>
  <r>
    <s v="SALE-324-2023"/>
    <x v="302"/>
    <s v="CUST-1934"/>
    <s v="BK-614432"/>
    <n v="2"/>
    <s v="Anna Anderson"/>
    <s v="anna.anderson916@hotmail.com"/>
    <x v="50"/>
    <x v="2"/>
    <n v="21.44"/>
    <n v="42.88"/>
    <x v="1"/>
    <x v="0"/>
    <x v="88"/>
  </r>
  <r>
    <s v="SALE-341-2023"/>
    <x v="350"/>
    <s v="CUST-1813"/>
    <s v="BK-955022"/>
    <n v="2"/>
    <s v="Zoe Thompson"/>
    <s v="zoe.thompson795@gmail.com"/>
    <x v="8"/>
    <x v="4"/>
    <n v="11.52"/>
    <n v="23.04"/>
    <x v="0"/>
    <x v="2"/>
    <x v="10"/>
  </r>
  <r>
    <s v="SALE-358-2023"/>
    <x v="351"/>
    <s v="CUST-1260"/>
    <s v="BK-754041"/>
    <n v="2"/>
    <s v="David Garcia"/>
    <s v="david.garcia242@yahoo.com"/>
    <x v="5"/>
    <x v="2"/>
    <n v="23.85"/>
    <n v="47.7"/>
    <x v="1"/>
    <x v="2"/>
    <x v="57"/>
  </r>
  <r>
    <s v="SALE-375-2023"/>
    <x v="400"/>
    <s v="CUST-1982"/>
    <s v="BK-346888"/>
    <n v="2"/>
    <s v="Sarah King"/>
    <s v="sarah.king964@outlook.com"/>
    <x v="51"/>
    <x v="1"/>
    <n v="14.83"/>
    <n v="29.66"/>
    <x v="0"/>
    <x v="0"/>
    <x v="57"/>
  </r>
  <r>
    <s v="SALE-392-2023"/>
    <x v="449"/>
    <s v="CUST-1575"/>
    <s v="BK-516635"/>
    <n v="2"/>
    <s v="Amelia Rodriguez"/>
    <s v="amelia.rodriguez557@outlook.com"/>
    <x v="5"/>
    <x v="1"/>
    <n v="17.559999999999999"/>
    <n v="35.119999999999997"/>
    <x v="1"/>
    <x v="1"/>
    <x v="17"/>
  </r>
  <r>
    <s v="SALE-409-2023"/>
    <x v="545"/>
    <s v="CUST-1602"/>
    <s v="BK-782290"/>
    <n v="2"/>
    <s v="Amelia Scott"/>
    <s v="amelia.scott584@hotmail.com"/>
    <x v="5"/>
    <x v="2"/>
    <n v="22.3"/>
    <n v="44.6"/>
    <x v="1"/>
    <x v="1"/>
    <x v="48"/>
  </r>
  <r>
    <s v="SALE-426-2023"/>
    <x v="21"/>
    <s v="CUST-1386"/>
    <s v="BK-557147"/>
    <n v="2"/>
    <s v="Anna Martinez"/>
    <s v="anna.martinez368@outlook.com"/>
    <x v="5"/>
    <x v="2"/>
    <n v="12.09"/>
    <n v="24.18"/>
    <x v="0"/>
    <x v="2"/>
    <x v="83"/>
  </r>
  <r>
    <s v="SALE-443-2023"/>
    <x v="499"/>
    <s v="CUST-1622"/>
    <s v="BK-625373"/>
    <n v="2"/>
    <s v="Lucy Scott"/>
    <s v="lucy.scott604@hotmail.com"/>
    <x v="2"/>
    <x v="0"/>
    <n v="29.13"/>
    <n v="58.26"/>
    <x v="1"/>
    <x v="2"/>
    <x v="28"/>
  </r>
  <r>
    <s v="SALE-460-2023"/>
    <x v="453"/>
    <s v="CUST-1199"/>
    <s v="BK-673188"/>
    <n v="2"/>
    <s v="Brian Wright"/>
    <s v="brian.wright181@outlook.com"/>
    <x v="2"/>
    <x v="1"/>
    <n v="34.31"/>
    <n v="68.62"/>
    <x v="1"/>
    <x v="0"/>
    <x v="7"/>
  </r>
  <r>
    <s v="SALE-477-2023"/>
    <x v="287"/>
    <s v="CUST-1692"/>
    <s v="BK-839277"/>
    <n v="2"/>
    <s v="Andrew Brown"/>
    <s v="andrew.brown674@gmail.com"/>
    <x v="5"/>
    <x v="4"/>
    <n v="19.88"/>
    <n v="39.76"/>
    <x v="1"/>
    <x v="0"/>
    <x v="66"/>
  </r>
  <r>
    <s v="SALE-494-2023"/>
    <x v="455"/>
    <s v="CUST-1429"/>
    <s v="BK-780215"/>
    <n v="2"/>
    <s v="Brian King"/>
    <s v="brian.king411@hotmail.com"/>
    <x v="5"/>
    <x v="4"/>
    <n v="15.5"/>
    <n v="31"/>
    <x v="0"/>
    <x v="0"/>
    <x v="83"/>
  </r>
  <r>
    <s v="SALE-511-2023"/>
    <x v="1"/>
    <s v="CUST-1118"/>
    <s v="BK-290908"/>
    <n v="2"/>
    <s v="Lucy Green"/>
    <s v="lucy.green100@gmail.com"/>
    <x v="2"/>
    <x v="0"/>
    <n v="30.99"/>
    <n v="61.98"/>
    <x v="1"/>
    <x v="0"/>
    <x v="69"/>
  </r>
  <r>
    <s v="SALE-528-2023"/>
    <x v="433"/>
    <s v="CUST-1989"/>
    <s v="BK-323045"/>
    <n v="2"/>
    <s v="David King"/>
    <s v="david.king971@gmail.com"/>
    <x v="8"/>
    <x v="2"/>
    <n v="12.81"/>
    <n v="25.62"/>
    <x v="1"/>
    <x v="0"/>
    <x v="58"/>
  </r>
  <r>
    <s v="SALE-545-2023"/>
    <x v="529"/>
    <s v="CUST-1259"/>
    <s v="BK-177165"/>
    <n v="2"/>
    <s v="Thomas Brown"/>
    <s v="thomas.brown241@outlook.com"/>
    <x v="8"/>
    <x v="4"/>
    <n v="33.75"/>
    <n v="67.5"/>
    <x v="0"/>
    <x v="2"/>
    <x v="58"/>
  </r>
  <r>
    <s v="SALE-562-2023"/>
    <x v="101"/>
    <s v="CUST-1542"/>
    <s v="BK-706793"/>
    <n v="2"/>
    <s v="Edward Allen"/>
    <s v="edward.allen524@gmail.com"/>
    <x v="3"/>
    <x v="3"/>
    <n v="26.2"/>
    <n v="52.4"/>
    <x v="1"/>
    <x v="2"/>
    <x v="22"/>
  </r>
  <r>
    <s v="SALE-579-2023"/>
    <x v="30"/>
    <s v="CUST-1413"/>
    <s v="BK-285332"/>
    <n v="2"/>
    <s v="Brian Green"/>
    <s v="brian.green395@outlook.com"/>
    <x v="5"/>
    <x v="2"/>
    <n v="39.409999999999997"/>
    <n v="78.819999999999993"/>
    <x v="1"/>
    <x v="0"/>
    <x v="31"/>
  </r>
  <r>
    <s v="SALE-596-2023"/>
    <x v="294"/>
    <s v="CUST-1061"/>
    <s v="BK-235040"/>
    <n v="2"/>
    <s v="Kevin Thompson"/>
    <s v="kevin.thompson43@hotmail.com"/>
    <x v="8"/>
    <x v="2"/>
    <n v="17.2"/>
    <n v="34.4"/>
    <x v="0"/>
    <x v="1"/>
    <x v="1"/>
  </r>
  <r>
    <s v="SALE-613-2023"/>
    <x v="319"/>
    <s v="CUST-1769"/>
    <s v="BK-581487"/>
    <n v="2"/>
    <s v="John Thompson"/>
    <s v="john.thompson751@yahoo.com"/>
    <x v="1"/>
    <x v="3"/>
    <n v="29.61"/>
    <n v="59.22"/>
    <x v="1"/>
    <x v="2"/>
    <x v="12"/>
  </r>
  <r>
    <s v="SALE-630-2023"/>
    <x v="415"/>
    <s v="CUST-1163"/>
    <s v="BK-577826"/>
    <n v="2"/>
    <s v="Emma Johnson"/>
    <s v="emma.johnson145@yahoo.com"/>
    <x v="2"/>
    <x v="3"/>
    <n v="20.5"/>
    <n v="41"/>
    <x v="1"/>
    <x v="3"/>
    <x v="16"/>
  </r>
  <r>
    <s v="SALE-647-2023"/>
    <x v="130"/>
    <s v="CUST-1643"/>
    <s v="BK-966316"/>
    <n v="2"/>
    <s v="John Harris"/>
    <s v="john.harris625@outlook.com"/>
    <x v="1"/>
    <x v="1"/>
    <n v="23.73"/>
    <n v="47.46"/>
    <x v="0"/>
    <x v="1"/>
    <x v="28"/>
  </r>
  <r>
    <s v="SALE-664-2023"/>
    <x v="560"/>
    <s v="CUST-1991"/>
    <s v="BK-535840"/>
    <n v="2"/>
    <s v="George Thompson"/>
    <s v="george.thompson973@outlook.com"/>
    <x v="9"/>
    <x v="1"/>
    <n v="29.37"/>
    <n v="58.74"/>
    <x v="0"/>
    <x v="0"/>
    <x v="20"/>
  </r>
  <r>
    <s v="SALE-681-2023"/>
    <x v="513"/>
    <s v="CUST-1505"/>
    <s v="BK-551349"/>
    <n v="2"/>
    <s v="Mia Young"/>
    <s v="mia.young487@gmail.com"/>
    <x v="2"/>
    <x v="2"/>
    <n v="26.38"/>
    <n v="52.76"/>
    <x v="0"/>
    <x v="0"/>
    <x v="71"/>
  </r>
  <r>
    <s v="SALE-698-2023"/>
    <x v="133"/>
    <s v="CUST-1116"/>
    <s v="BK-517807"/>
    <n v="2"/>
    <s v="Hannah White"/>
    <s v="hannah.white98@yahoo.com"/>
    <x v="5"/>
    <x v="2"/>
    <n v="23.71"/>
    <n v="47.42"/>
    <x v="1"/>
    <x v="2"/>
    <x v="40"/>
  </r>
  <r>
    <s v="SALE-715-2023"/>
    <x v="301"/>
    <s v="CUST-1189"/>
    <s v="BK-806588"/>
    <n v="2"/>
    <s v="Brian Anderson"/>
    <s v="brian.anderson171@yahoo.com"/>
    <x v="4"/>
    <x v="3"/>
    <n v="13.35"/>
    <n v="26.7"/>
    <x v="1"/>
    <x v="2"/>
    <x v="85"/>
  </r>
  <r>
    <s v="SALE-732-2023"/>
    <x v="421"/>
    <s v="CUST-1888"/>
    <s v="BK-672536"/>
    <n v="2"/>
    <s v="Mia King"/>
    <s v="mia.king870@outlook.com"/>
    <x v="17"/>
    <x v="3"/>
    <n v="17.489999999999998"/>
    <n v="34.979999999999997"/>
    <x v="0"/>
    <x v="0"/>
    <x v="40"/>
  </r>
  <r>
    <s v="SALE-749-2023"/>
    <x v="589"/>
    <s v="CUST-1264"/>
    <s v="BK-640640"/>
    <n v="2"/>
    <s v="Mark Taylor"/>
    <s v="mark.taylor246@outlook.com"/>
    <x v="8"/>
    <x v="3"/>
    <n v="34.479999999999997"/>
    <n v="68.959999999999994"/>
    <x v="1"/>
    <x v="0"/>
    <x v="48"/>
  </r>
  <r>
    <s v="SALE-766-2023"/>
    <x v="65"/>
    <s v="CUST-1344"/>
    <s v="BK-169240"/>
    <n v="2"/>
    <s v="Sophia Lee"/>
    <s v="sophia.lee326@hotmail.com"/>
    <x v="6"/>
    <x v="1"/>
    <n v="33.69"/>
    <n v="67.38"/>
    <x v="1"/>
    <x v="1"/>
    <x v="4"/>
  </r>
  <r>
    <s v="SALE-783-2023"/>
    <x v="281"/>
    <s v="CUST-1232"/>
    <s v="BK-433032"/>
    <n v="2"/>
    <s v="Michael Hill"/>
    <s v="michael.hill214@hotmail.com"/>
    <x v="8"/>
    <x v="2"/>
    <n v="38"/>
    <n v="76"/>
    <x v="0"/>
    <x v="0"/>
    <x v="20"/>
  </r>
  <r>
    <s v="SALE-800-2023"/>
    <x v="377"/>
    <s v="CUST-1817"/>
    <s v="BK-955102"/>
    <n v="2"/>
    <s v="Michael Scott"/>
    <s v="michael.scott799@gmail.com"/>
    <x v="8"/>
    <x v="4"/>
    <n v="13.23"/>
    <n v="26.46"/>
    <x v="1"/>
    <x v="2"/>
    <x v="3"/>
  </r>
  <r>
    <s v="SALE-817-2023"/>
    <x v="402"/>
    <s v="CUST-1899"/>
    <s v="BK-898309"/>
    <n v="2"/>
    <s v="Ella Clark"/>
    <s v="ella.clark881@yahoo.com"/>
    <x v="5"/>
    <x v="1"/>
    <n v="11.53"/>
    <n v="23.06"/>
    <x v="1"/>
    <x v="0"/>
    <x v="33"/>
  </r>
  <r>
    <s v="SALE-834-2023"/>
    <x v="642"/>
    <s v="CUST-1906"/>
    <s v="BK-920248"/>
    <n v="2"/>
    <s v="Mia Jackson"/>
    <s v="mia.jackson888@yahoo.com"/>
    <x v="9"/>
    <x v="2"/>
    <n v="38.479999999999997"/>
    <n v="76.959999999999994"/>
    <x v="0"/>
    <x v="0"/>
    <x v="88"/>
  </r>
  <r>
    <s v="SALE-851-2023"/>
    <x v="165"/>
    <s v="CUST-1323"/>
    <s v="BK-364026"/>
    <n v="2"/>
    <s v="Olivia Walker"/>
    <s v="olivia.walker305@hotmail.com"/>
    <x v="5"/>
    <x v="3"/>
    <n v="37.659999999999997"/>
    <n v="75.319999999999993"/>
    <x v="0"/>
    <x v="1"/>
    <x v="23"/>
  </r>
  <r>
    <s v="SALE-868-2023"/>
    <x v="381"/>
    <s v="CUST-1415"/>
    <s v="BK-541486"/>
    <n v="2"/>
    <s v="Lucy Adams"/>
    <s v="lucy.adams397@gmail.com"/>
    <x v="2"/>
    <x v="1"/>
    <n v="38.19"/>
    <n v="76.38"/>
    <x v="0"/>
    <x v="0"/>
    <x v="22"/>
  </r>
  <r>
    <s v="SALE-885-2023"/>
    <x v="549"/>
    <s v="CUST-1719"/>
    <s v="BK-144767"/>
    <n v="2"/>
    <s v="James Hill"/>
    <s v="james.hill701@hotmail.com"/>
    <x v="5"/>
    <x v="2"/>
    <n v="31.86"/>
    <n v="63.72"/>
    <x v="1"/>
    <x v="3"/>
    <x v="56"/>
  </r>
  <r>
    <s v="SALE-902-2023"/>
    <x v="312"/>
    <s v="CUST-1308"/>
    <s v="BK-108476"/>
    <n v="2"/>
    <s v="Michael Johnson"/>
    <s v="michael.johnson290@gmail.com"/>
    <x v="3"/>
    <x v="4"/>
    <n v="23.79"/>
    <n v="47.58"/>
    <x v="0"/>
    <x v="0"/>
    <x v="58"/>
  </r>
  <r>
    <s v="SALE-919-2023"/>
    <x v="169"/>
    <s v="CUST-1705"/>
    <s v="BK-359124"/>
    <n v="2"/>
    <s v="Emily Allen"/>
    <s v="emily.allen687@outlook.com"/>
    <x v="8"/>
    <x v="0"/>
    <n v="20"/>
    <n v="40"/>
    <x v="1"/>
    <x v="1"/>
    <x v="84"/>
  </r>
  <r>
    <s v="SALE-936-2023"/>
    <x v="457"/>
    <s v="CUST-1256"/>
    <s v="BK-190263"/>
    <n v="2"/>
    <s v="Jessica Wright"/>
    <s v="jessica.wright238@gmail.com"/>
    <x v="1"/>
    <x v="3"/>
    <n v="15.95"/>
    <n v="31.9"/>
    <x v="0"/>
    <x v="1"/>
    <x v="73"/>
  </r>
  <r>
    <s v="SALE-953-2023"/>
    <x v="243"/>
    <s v="CUST-1177"/>
    <s v="BK-488521"/>
    <n v="2"/>
    <s v="Ava Clark"/>
    <s v="ava.clark159@outlook.com"/>
    <x v="5"/>
    <x v="3"/>
    <n v="38.450000000000003"/>
    <n v="76.900000000000006"/>
    <x v="0"/>
    <x v="2"/>
    <x v="14"/>
  </r>
  <r>
    <s v="SALE-970-2023"/>
    <x v="554"/>
    <s v="CUST-1358"/>
    <s v="BK-444961"/>
    <n v="2"/>
    <s v="Peter Wright"/>
    <s v="peter.wright340@gmail.com"/>
    <x v="8"/>
    <x v="2"/>
    <n v="39.61"/>
    <n v="79.22"/>
    <x v="1"/>
    <x v="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0FAE34-22FF-4F7E-A0F7-1837673AFB7D}"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2:G30" firstHeaderRow="1" firstDataRow="2" firstDataCol="1"/>
  <pivotFields count="16">
    <pivotField showAll="0" defaultSubtotal="0"/>
    <pivotField numFmtId="165" showAll="0" defaultSubtotal="0">
      <items count="716">
        <item x="619"/>
        <item x="142"/>
        <item x="380"/>
        <item x="499"/>
        <item x="237"/>
        <item x="452"/>
        <item x="643"/>
        <item x="94"/>
        <item x="333"/>
        <item x="547"/>
        <item x="165"/>
        <item x="595"/>
        <item x="285"/>
        <item x="0"/>
        <item x="404"/>
        <item x="213"/>
        <item x="476"/>
        <item x="70"/>
        <item x="690"/>
        <item x="261"/>
        <item x="428"/>
        <item x="118"/>
        <item x="523"/>
        <item x="309"/>
        <item x="667"/>
        <item x="46"/>
        <item x="356"/>
        <item x="571"/>
        <item x="189"/>
        <item x="64"/>
        <item x="661"/>
        <item x="327"/>
        <item x="613"/>
        <item x="207"/>
        <item x="517"/>
        <item x="88"/>
        <item x="374"/>
        <item x="255"/>
        <item x="2"/>
        <item x="422"/>
        <item x="136"/>
        <item x="565"/>
        <item x="303"/>
        <item x="637"/>
        <item x="183"/>
        <item x="494"/>
        <item x="40"/>
        <item x="350"/>
        <item x="541"/>
        <item x="159"/>
        <item x="446"/>
        <item x="279"/>
        <item x="20"/>
        <item x="398"/>
        <item x="589"/>
        <item x="231"/>
        <item x="470"/>
        <item x="671"/>
        <item x="217"/>
        <item x="408"/>
        <item x="551"/>
        <item x="50"/>
        <item x="313"/>
        <item x="708"/>
        <item x="480"/>
        <item x="122"/>
        <item x="360"/>
        <item x="599"/>
        <item x="169"/>
        <item x="26"/>
        <item x="694"/>
        <item x="527"/>
        <item x="265"/>
        <item x="98"/>
        <item x="432"/>
        <item x="647"/>
        <item x="193"/>
        <item x="1"/>
        <item x="503"/>
        <item x="623"/>
        <item x="289"/>
        <item x="146"/>
        <item x="575"/>
        <item x="384"/>
        <item x="74"/>
        <item x="241"/>
        <item x="456"/>
        <item x="701"/>
        <item x="16"/>
        <item x="511"/>
        <item x="153"/>
        <item x="368"/>
        <item x="655"/>
        <item x="273"/>
        <item x="440"/>
        <item x="82"/>
        <item x="583"/>
        <item x="201"/>
        <item x="297"/>
        <item x="559"/>
        <item x="130"/>
        <item x="416"/>
        <item x="58"/>
        <item x="344"/>
        <item x="631"/>
        <item x="249"/>
        <item x="679"/>
        <item x="34"/>
        <item x="488"/>
        <item x="321"/>
        <item x="177"/>
        <item x="464"/>
        <item x="535"/>
        <item x="106"/>
        <item x="392"/>
        <item x="225"/>
        <item x="607"/>
        <item x="639"/>
        <item x="472"/>
        <item x="233"/>
        <item x="713"/>
        <item x="22"/>
        <item x="543"/>
        <item x="400"/>
        <item x="138"/>
        <item x="305"/>
        <item x="591"/>
        <item x="352"/>
        <item x="66"/>
        <item x="519"/>
        <item x="209"/>
        <item x="615"/>
        <item x="114"/>
        <item x="448"/>
        <item x="3"/>
        <item x="185"/>
        <item x="663"/>
        <item x="329"/>
        <item x="496"/>
        <item x="90"/>
        <item x="376"/>
        <item x="257"/>
        <item x="686"/>
        <item x="161"/>
        <item x="424"/>
        <item x="42"/>
        <item x="281"/>
        <item x="567"/>
        <item x="175"/>
        <item x="438"/>
        <item x="342"/>
        <item x="56"/>
        <item x="557"/>
        <item x="247"/>
        <item x="486"/>
        <item x="151"/>
        <item x="653"/>
        <item x="390"/>
        <item x="14"/>
        <item x="271"/>
        <item x="581"/>
        <item x="104"/>
        <item x="509"/>
        <item x="319"/>
        <item x="199"/>
        <item x="462"/>
        <item x="80"/>
        <item x="699"/>
        <item x="366"/>
        <item x="223"/>
        <item x="629"/>
        <item x="414"/>
        <item x="128"/>
        <item x="677"/>
        <item x="605"/>
        <item x="32"/>
        <item x="295"/>
        <item x="533"/>
        <item x="497"/>
        <item x="402"/>
        <item x="4"/>
        <item x="665"/>
        <item x="283"/>
        <item x="116"/>
        <item x="354"/>
        <item x="187"/>
        <item x="641"/>
        <item x="92"/>
        <item x="450"/>
        <item x="259"/>
        <item x="521"/>
        <item x="140"/>
        <item x="378"/>
        <item x="235"/>
        <item x="569"/>
        <item x="24"/>
        <item x="593"/>
        <item x="307"/>
        <item x="44"/>
        <item x="474"/>
        <item x="211"/>
        <item x="545"/>
        <item x="163"/>
        <item x="426"/>
        <item x="68"/>
        <item x="617"/>
        <item x="688"/>
        <item x="331"/>
        <item x="386"/>
        <item x="52"/>
        <item x="291"/>
        <item x="695"/>
        <item x="577"/>
        <item x="148"/>
        <item x="458"/>
        <item x="243"/>
        <item x="625"/>
        <item x="76"/>
        <item x="338"/>
        <item x="505"/>
        <item x="124"/>
        <item x="649"/>
        <item x="315"/>
        <item x="195"/>
        <item x="434"/>
        <item x="8"/>
        <item x="673"/>
        <item x="410"/>
        <item x="171"/>
        <item x="529"/>
        <item x="601"/>
        <item x="267"/>
        <item x="28"/>
        <item x="482"/>
        <item x="362"/>
        <item x="100"/>
        <item x="553"/>
        <item x="219"/>
        <item x="645"/>
        <item x="72"/>
        <item x="263"/>
        <item x="525"/>
        <item x="191"/>
        <item x="430"/>
        <item x="18"/>
        <item x="711"/>
        <item x="358"/>
        <item x="167"/>
        <item x="573"/>
        <item x="311"/>
        <item x="478"/>
        <item x="48"/>
        <item x="621"/>
        <item x="239"/>
        <item x="406"/>
        <item x="669"/>
        <item x="120"/>
        <item x="549"/>
        <item x="335"/>
        <item x="692"/>
        <item x="215"/>
        <item x="454"/>
        <item x="96"/>
        <item x="597"/>
        <item x="287"/>
        <item x="501"/>
        <item x="144"/>
        <item x="382"/>
        <item x="609"/>
        <item x="394"/>
        <item x="108"/>
        <item x="490"/>
        <item x="227"/>
        <item x="36"/>
        <item x="299"/>
        <item x="442"/>
        <item x="657"/>
        <item x="179"/>
        <item x="537"/>
        <item x="346"/>
        <item x="84"/>
        <item x="703"/>
        <item x="251"/>
        <item x="513"/>
        <item x="132"/>
        <item x="633"/>
        <item x="418"/>
        <item x="561"/>
        <item x="155"/>
        <item x="681"/>
        <item x="275"/>
        <item x="60"/>
        <item x="466"/>
        <item x="585"/>
        <item x="370"/>
        <item x="203"/>
        <item x="12"/>
        <item x="323"/>
        <item x="293"/>
        <item x="78"/>
        <item x="651"/>
        <item x="460"/>
        <item x="197"/>
        <item x="697"/>
        <item x="412"/>
        <item x="102"/>
        <item x="317"/>
        <item x="555"/>
        <item x="221"/>
        <item x="30"/>
        <item x="484"/>
        <item x="364"/>
        <item x="173"/>
        <item x="603"/>
        <item x="436"/>
        <item x="54"/>
        <item x="269"/>
        <item x="675"/>
        <item x="531"/>
        <item x="126"/>
        <item x="388"/>
        <item x="627"/>
        <item x="6"/>
        <item x="245"/>
        <item x="507"/>
        <item x="340"/>
        <item x="112"/>
        <item x="579"/>
        <item x="468"/>
        <item x="205"/>
        <item x="611"/>
        <item x="396"/>
        <item x="110"/>
        <item x="683"/>
        <item x="301"/>
        <item x="10"/>
        <item x="539"/>
        <item x="157"/>
        <item x="348"/>
        <item x="659"/>
        <item x="277"/>
        <item x="492"/>
        <item x="38"/>
        <item x="420"/>
        <item x="134"/>
        <item x="705"/>
        <item x="229"/>
        <item x="372"/>
        <item x="86"/>
        <item x="444"/>
        <item x="253"/>
        <item x="563"/>
        <item x="515"/>
        <item x="181"/>
        <item x="587"/>
        <item x="325"/>
        <item x="62"/>
        <item x="635"/>
        <item x="702"/>
        <item x="608"/>
        <item x="178"/>
        <item x="512"/>
        <item x="35"/>
        <item x="345"/>
        <item x="584"/>
        <item x="131"/>
        <item x="632"/>
        <item x="417"/>
        <item x="274"/>
        <item x="107"/>
        <item x="465"/>
        <item x="656"/>
        <item x="154"/>
        <item x="369"/>
        <item x="13"/>
        <item x="536"/>
        <item x="226"/>
        <item x="680"/>
        <item x="322"/>
        <item x="59"/>
        <item x="489"/>
        <item x="202"/>
        <item x="709"/>
        <item x="298"/>
        <item x="393"/>
        <item x="560"/>
        <item x="83"/>
        <item x="441"/>
        <item x="250"/>
        <item x="672"/>
        <item x="361"/>
        <item x="27"/>
        <item x="600"/>
        <item x="170"/>
        <item x="552"/>
        <item x="266"/>
        <item x="433"/>
        <item x="99"/>
        <item x="528"/>
        <item x="194"/>
        <item x="576"/>
        <item x="290"/>
        <item x="51"/>
        <item x="337"/>
        <item x="457"/>
        <item x="147"/>
        <item x="648"/>
        <item x="242"/>
        <item x="385"/>
        <item x="75"/>
        <item x="504"/>
        <item x="218"/>
        <item x="481"/>
        <item x="314"/>
        <item x="123"/>
        <item x="409"/>
        <item x="7"/>
        <item x="624"/>
        <item x="636"/>
        <item x="706"/>
        <item x="660"/>
        <item x="135"/>
        <item x="564"/>
        <item x="326"/>
        <item x="445"/>
        <item x="63"/>
        <item x="230"/>
        <item x="612"/>
        <item x="397"/>
        <item x="493"/>
        <item x="182"/>
        <item x="588"/>
        <item x="19"/>
        <item x="302"/>
        <item x="684"/>
        <item x="111"/>
        <item x="469"/>
        <item x="206"/>
        <item x="349"/>
        <item x="516"/>
        <item x="39"/>
        <item x="254"/>
        <item x="373"/>
        <item x="540"/>
        <item x="158"/>
        <item x="421"/>
        <item x="278"/>
        <item x="87"/>
        <item x="668"/>
        <item x="548"/>
        <item x="262"/>
        <item x="9"/>
        <item x="405"/>
        <item x="691"/>
        <item x="143"/>
        <item x="620"/>
        <item x="310"/>
        <item x="644"/>
        <item x="95"/>
        <item x="477"/>
        <item x="214"/>
        <item x="572"/>
        <item x="381"/>
        <item x="166"/>
        <item x="429"/>
        <item x="47"/>
        <item x="286"/>
        <item x="524"/>
        <item x="190"/>
        <item x="357"/>
        <item x="453"/>
        <item x="119"/>
        <item x="596"/>
        <item x="238"/>
        <item x="500"/>
        <item x="334"/>
        <item x="71"/>
        <item x="578"/>
        <item x="316"/>
        <item x="101"/>
        <item x="435"/>
        <item x="626"/>
        <item x="196"/>
        <item x="483"/>
        <item x="29"/>
        <item x="339"/>
        <item x="696"/>
        <item x="172"/>
        <item x="650"/>
        <item x="411"/>
        <item x="77"/>
        <item x="506"/>
        <item x="268"/>
        <item x="674"/>
        <item x="220"/>
        <item x="530"/>
        <item x="125"/>
        <item x="363"/>
        <item x="602"/>
        <item x="244"/>
        <item x="387"/>
        <item x="53"/>
        <item x="554"/>
        <item x="292"/>
        <item x="459"/>
        <item x="714"/>
        <item x="149"/>
        <item x="707"/>
        <item x="113"/>
        <item x="351"/>
        <item x="662"/>
        <item x="184"/>
        <item x="447"/>
        <item x="41"/>
        <item x="566"/>
        <item x="280"/>
        <item x="614"/>
        <item x="423"/>
        <item x="518"/>
        <item x="232"/>
        <item x="65"/>
        <item x="685"/>
        <item x="328"/>
        <item x="590"/>
        <item x="399"/>
        <item x="137"/>
        <item x="495"/>
        <item x="11"/>
        <item x="256"/>
        <item x="471"/>
        <item x="160"/>
        <item x="304"/>
        <item x="638"/>
        <item x="375"/>
        <item x="89"/>
        <item x="542"/>
        <item x="208"/>
        <item x="413"/>
        <item x="31"/>
        <item x="698"/>
        <item x="318"/>
        <item x="532"/>
        <item x="222"/>
        <item x="461"/>
        <item x="79"/>
        <item x="604"/>
        <item x="365"/>
        <item x="150"/>
        <item x="508"/>
        <item x="246"/>
        <item x="55"/>
        <item x="652"/>
        <item x="341"/>
        <item x="580"/>
        <item x="174"/>
        <item x="294"/>
        <item x="556"/>
        <item x="437"/>
        <item x="103"/>
        <item x="389"/>
        <item x="628"/>
        <item x="198"/>
        <item x="485"/>
        <item x="270"/>
        <item x="15"/>
        <item x="127"/>
        <item x="676"/>
        <item x="212"/>
        <item x="522"/>
        <item x="427"/>
        <item x="93"/>
        <item x="618"/>
        <item x="260"/>
        <item x="355"/>
        <item x="164"/>
        <item x="570"/>
        <item x="475"/>
        <item x="21"/>
        <item x="666"/>
        <item x="284"/>
        <item x="117"/>
        <item x="379"/>
        <item x="498"/>
        <item x="236"/>
        <item x="689"/>
        <item x="69"/>
        <item x="403"/>
        <item x="594"/>
        <item x="188"/>
        <item x="332"/>
        <item x="451"/>
        <item x="546"/>
        <item x="141"/>
        <item x="642"/>
        <item x="308"/>
        <item x="45"/>
        <item x="700"/>
        <item x="248"/>
        <item x="81"/>
        <item x="415"/>
        <item x="152"/>
        <item x="582"/>
        <item x="320"/>
        <item x="487"/>
        <item x="105"/>
        <item x="391"/>
        <item x="630"/>
        <item x="200"/>
        <item x="558"/>
        <item x="5"/>
        <item x="296"/>
        <item x="463"/>
        <item x="678"/>
        <item x="33"/>
        <item x="272"/>
        <item x="654"/>
        <item x="510"/>
        <item x="129"/>
        <item x="367"/>
        <item x="606"/>
        <item x="224"/>
        <item x="534"/>
        <item x="57"/>
        <item x="343"/>
        <item x="176"/>
        <item x="439"/>
        <item x="715"/>
        <item x="544"/>
        <item x="162"/>
        <item x="640"/>
        <item x="377"/>
        <item x="67"/>
        <item x="234"/>
        <item x="473"/>
        <item x="687"/>
        <item x="139"/>
        <item x="592"/>
        <item x="306"/>
        <item x="43"/>
        <item x="664"/>
        <item x="401"/>
        <item x="210"/>
        <item x="710"/>
        <item x="353"/>
        <item x="568"/>
        <item x="115"/>
        <item x="282"/>
        <item x="23"/>
        <item x="449"/>
        <item x="520"/>
        <item x="186"/>
        <item x="330"/>
        <item x="616"/>
        <item x="425"/>
        <item x="91"/>
        <item x="258"/>
        <item x="467"/>
        <item x="634"/>
        <item x="204"/>
        <item x="514"/>
        <item x="61"/>
        <item x="586"/>
        <item x="419"/>
        <item x="156"/>
        <item x="276"/>
        <item x="17"/>
        <item x="538"/>
        <item x="228"/>
        <item x="371"/>
        <item x="704"/>
        <item x="109"/>
        <item x="658"/>
        <item x="324"/>
        <item x="443"/>
        <item x="85"/>
        <item x="610"/>
        <item x="180"/>
        <item x="347"/>
        <item x="682"/>
        <item x="252"/>
        <item x="395"/>
        <item x="133"/>
        <item x="491"/>
        <item x="37"/>
        <item x="300"/>
        <item x="562"/>
        <item x="670"/>
        <item x="336"/>
        <item x="145"/>
        <item x="598"/>
        <item x="431"/>
        <item x="288"/>
        <item x="646"/>
        <item x="49"/>
        <item x="502"/>
        <item x="240"/>
        <item x="455"/>
        <item x="693"/>
        <item x="121"/>
        <item x="574"/>
        <item x="383"/>
        <item x="192"/>
        <item x="312"/>
        <item x="73"/>
        <item x="712"/>
        <item x="168"/>
        <item x="550"/>
        <item x="407"/>
        <item x="264"/>
        <item x="622"/>
        <item x="97"/>
        <item x="479"/>
        <item x="216"/>
        <item x="359"/>
        <item x="526"/>
        <item x="25"/>
      </items>
    </pivotField>
    <pivotField showAll="0" defaultSubtotal="0"/>
    <pivotField showAll="0" defaultSubtotal="0"/>
    <pivotField showAll="0" defaultSubtotal="0"/>
    <pivotField showAll="0" defaultSubtotal="0"/>
    <pivotField showAll="0" defaultSubtotal="0"/>
    <pivotField showAll="0" defaultSubtotal="0"/>
    <pivotField axis="axisCol" showAll="0" defaultSubtotal="0">
      <items count="5">
        <item x="1"/>
        <item x="2"/>
        <item x="3"/>
        <item x="4"/>
        <item x="0"/>
      </items>
    </pivotField>
    <pivotField numFmtId="164" showAll="0" defaultSubtotal="0"/>
    <pivotField dataField="1" numFmtId="164" showAll="0" defaultSubtotal="0"/>
    <pivotField subtotalTop="0" showAll="0" defaultSubtotal="0">
      <items count="2">
        <item x="1"/>
        <item x="0"/>
      </items>
    </pivotField>
    <pivotField subtotalTop="0" showAll="0" defaultSubtotal="0">
      <items count="4">
        <item x="1"/>
        <item x="0"/>
        <item x="3"/>
        <item x="2"/>
      </items>
    </pivotField>
    <pivotField subtotalTop="0" showAll="0" defaultSubtotal="0"/>
    <pivotField axis="axisRow" subtotalTop="0" showAll="0" defaultSubtotal="0">
      <items count="14">
        <item x="0"/>
        <item x="1"/>
        <item x="2"/>
        <item x="3"/>
        <item x="4"/>
        <item x="5"/>
        <item x="6"/>
        <item x="7"/>
        <item x="8"/>
        <item x="9"/>
        <item x="10"/>
        <item x="11"/>
        <item x="12"/>
        <item x="13"/>
      </items>
    </pivotField>
    <pivotField axis="axisRow" subtotalTop="0" showAll="0" defaultSubtotal="0">
      <items count="5">
        <item x="0"/>
        <item x="1"/>
        <item x="2"/>
        <item x="3"/>
        <item x="4"/>
      </items>
    </pivotField>
  </pivotFields>
  <rowFields count="2">
    <field x="15"/>
    <field x="14"/>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8"/>
  </colFields>
  <colItems count="6">
    <i>
      <x/>
    </i>
    <i>
      <x v="1"/>
    </i>
    <i>
      <x v="2"/>
    </i>
    <i>
      <x v="3"/>
    </i>
    <i>
      <x v="4"/>
    </i>
    <i t="grand">
      <x/>
    </i>
  </colItems>
  <dataFields count="1">
    <dataField name="Sum of Revenue" fld="10" baseField="0" baseItem="0" numFmtId="166"/>
  </dataFields>
  <chartFormats count="30">
    <chartFormat chart="1" format="0" series="1">
      <pivotArea type="data" outline="0" fieldPosition="0">
        <references count="2">
          <reference field="4294967294" count="1" selected="0">
            <x v="0"/>
          </reference>
          <reference field="8" count="1" selected="0">
            <x v="0"/>
          </reference>
        </references>
      </pivotArea>
    </chartFormat>
    <chartFormat chart="1" format="1" series="1">
      <pivotArea type="data" outline="0" fieldPosition="0">
        <references count="2">
          <reference field="4294967294" count="1" selected="0">
            <x v="0"/>
          </reference>
          <reference field="8" count="1" selected="0">
            <x v="1"/>
          </reference>
        </references>
      </pivotArea>
    </chartFormat>
    <chartFormat chart="1" format="2" series="1">
      <pivotArea type="data" outline="0" fieldPosition="0">
        <references count="2">
          <reference field="4294967294" count="1" selected="0">
            <x v="0"/>
          </reference>
          <reference field="8" count="1" selected="0">
            <x v="2"/>
          </reference>
        </references>
      </pivotArea>
    </chartFormat>
    <chartFormat chart="1" format="3" series="1">
      <pivotArea type="data" outline="0" fieldPosition="0">
        <references count="2">
          <reference field="4294967294" count="1" selected="0">
            <x v="0"/>
          </reference>
          <reference field="8" count="1" selected="0">
            <x v="3"/>
          </reference>
        </references>
      </pivotArea>
    </chartFormat>
    <chartFormat chart="1" format="4" series="1">
      <pivotArea type="data" outline="0" fieldPosition="0">
        <references count="2">
          <reference field="4294967294" count="1" selected="0">
            <x v="0"/>
          </reference>
          <reference field="8" count="1" selected="0">
            <x v="4"/>
          </reference>
        </references>
      </pivotArea>
    </chartFormat>
    <chartFormat chart="1" format="5" series="1">
      <pivotArea type="data" outline="0" fieldPosition="0">
        <references count="1">
          <reference field="4294967294" count="1" selected="0">
            <x v="0"/>
          </reference>
        </references>
      </pivotArea>
    </chartFormat>
    <chartFormat chart="3" format="11" series="1">
      <pivotArea type="data" outline="0" fieldPosition="0">
        <references count="2">
          <reference field="4294967294" count="1" selected="0">
            <x v="0"/>
          </reference>
          <reference field="8" count="1" selected="0">
            <x v="0"/>
          </reference>
        </references>
      </pivotArea>
    </chartFormat>
    <chartFormat chart="3" format="12" series="1">
      <pivotArea type="data" outline="0" fieldPosition="0">
        <references count="2">
          <reference field="4294967294" count="1" selected="0">
            <x v="0"/>
          </reference>
          <reference field="8" count="1" selected="0">
            <x v="1"/>
          </reference>
        </references>
      </pivotArea>
    </chartFormat>
    <chartFormat chart="3" format="13" series="1">
      <pivotArea type="data" outline="0" fieldPosition="0">
        <references count="2">
          <reference field="4294967294" count="1" selected="0">
            <x v="0"/>
          </reference>
          <reference field="8" count="1" selected="0">
            <x v="2"/>
          </reference>
        </references>
      </pivotArea>
    </chartFormat>
    <chartFormat chart="3" format="14" series="1">
      <pivotArea type="data" outline="0" fieldPosition="0">
        <references count="2">
          <reference field="4294967294" count="1" selected="0">
            <x v="0"/>
          </reference>
          <reference field="8" count="1" selected="0">
            <x v="3"/>
          </reference>
        </references>
      </pivotArea>
    </chartFormat>
    <chartFormat chart="3" format="15" series="1">
      <pivotArea type="data" outline="0" fieldPosition="0">
        <references count="2">
          <reference field="4294967294" count="1" selected="0">
            <x v="0"/>
          </reference>
          <reference field="8" count="1" selected="0">
            <x v="4"/>
          </reference>
        </references>
      </pivotArea>
    </chartFormat>
    <chartFormat chart="3" format="16" series="1">
      <pivotArea type="data" outline="0" fieldPosition="0">
        <references count="1">
          <reference field="4294967294" count="1" selected="0">
            <x v="0"/>
          </reference>
        </references>
      </pivotArea>
    </chartFormat>
    <chartFormat chart="4" format="21" series="1">
      <pivotArea type="data" outline="0" fieldPosition="0">
        <references count="2">
          <reference field="4294967294" count="1" selected="0">
            <x v="0"/>
          </reference>
          <reference field="8" count="1" selected="0">
            <x v="0"/>
          </reference>
        </references>
      </pivotArea>
    </chartFormat>
    <chartFormat chart="4" format="22" series="1">
      <pivotArea type="data" outline="0" fieldPosition="0">
        <references count="2">
          <reference field="4294967294" count="1" selected="0">
            <x v="0"/>
          </reference>
          <reference field="8" count="1" selected="0">
            <x v="1"/>
          </reference>
        </references>
      </pivotArea>
    </chartFormat>
    <chartFormat chart="4" format="23" series="1">
      <pivotArea type="data" outline="0" fieldPosition="0">
        <references count="2">
          <reference field="4294967294" count="1" selected="0">
            <x v="0"/>
          </reference>
          <reference field="8" count="1" selected="0">
            <x v="2"/>
          </reference>
        </references>
      </pivotArea>
    </chartFormat>
    <chartFormat chart="4" format="24" series="1">
      <pivotArea type="data" outline="0" fieldPosition="0">
        <references count="2">
          <reference field="4294967294" count="1" selected="0">
            <x v="0"/>
          </reference>
          <reference field="8" count="1" selected="0">
            <x v="3"/>
          </reference>
        </references>
      </pivotArea>
    </chartFormat>
    <chartFormat chart="4" format="25" series="1">
      <pivotArea type="data" outline="0" fieldPosition="0">
        <references count="2">
          <reference field="4294967294" count="1" selected="0">
            <x v="0"/>
          </reference>
          <reference field="8" count="1" selected="0">
            <x v="4"/>
          </reference>
        </references>
      </pivotArea>
    </chartFormat>
    <chartFormat chart="6" format="26" series="1">
      <pivotArea type="data" outline="0" fieldPosition="0">
        <references count="2">
          <reference field="4294967294" count="1" selected="0">
            <x v="0"/>
          </reference>
          <reference field="8" count="1" selected="0">
            <x v="0"/>
          </reference>
        </references>
      </pivotArea>
    </chartFormat>
    <chartFormat chart="6" format="27" series="1">
      <pivotArea type="data" outline="0" fieldPosition="0">
        <references count="2">
          <reference field="4294967294" count="1" selected="0">
            <x v="0"/>
          </reference>
          <reference field="8" count="1" selected="0">
            <x v="1"/>
          </reference>
        </references>
      </pivotArea>
    </chartFormat>
    <chartFormat chart="6" format="28" series="1">
      <pivotArea type="data" outline="0" fieldPosition="0">
        <references count="2">
          <reference field="4294967294" count="1" selected="0">
            <x v="0"/>
          </reference>
          <reference field="8" count="1" selected="0">
            <x v="2"/>
          </reference>
        </references>
      </pivotArea>
    </chartFormat>
    <chartFormat chart="6" format="29" series="1">
      <pivotArea type="data" outline="0" fieldPosition="0">
        <references count="2">
          <reference field="4294967294" count="1" selected="0">
            <x v="0"/>
          </reference>
          <reference field="8" count="1" selected="0">
            <x v="3"/>
          </reference>
        </references>
      </pivotArea>
    </chartFormat>
    <chartFormat chart="6" format="30" series="1">
      <pivotArea type="data" outline="0" fieldPosition="0">
        <references count="2">
          <reference field="4294967294" count="1" selected="0">
            <x v="0"/>
          </reference>
          <reference field="8" count="1" selected="0">
            <x v="4"/>
          </reference>
        </references>
      </pivotArea>
    </chartFormat>
    <chartFormat chart="5" format="31" series="1">
      <pivotArea type="data" outline="0" fieldPosition="0">
        <references count="2">
          <reference field="4294967294" count="1" selected="0">
            <x v="0"/>
          </reference>
          <reference field="8" count="1" selected="0">
            <x v="0"/>
          </reference>
        </references>
      </pivotArea>
    </chartFormat>
    <chartFormat chart="5" format="32" series="1">
      <pivotArea type="data" outline="0" fieldPosition="0">
        <references count="2">
          <reference field="4294967294" count="1" selected="0">
            <x v="0"/>
          </reference>
          <reference field="8" count="1" selected="0">
            <x v="1"/>
          </reference>
        </references>
      </pivotArea>
    </chartFormat>
    <chartFormat chart="5" format="33" series="1">
      <pivotArea type="data" outline="0" fieldPosition="0">
        <references count="2">
          <reference field="4294967294" count="1" selected="0">
            <x v="0"/>
          </reference>
          <reference field="8" count="1" selected="0">
            <x v="2"/>
          </reference>
        </references>
      </pivotArea>
    </chartFormat>
    <chartFormat chart="5" format="34" series="1">
      <pivotArea type="data" outline="0" fieldPosition="0">
        <references count="2">
          <reference field="4294967294" count="1" selected="0">
            <x v="0"/>
          </reference>
          <reference field="8" count="1" selected="0">
            <x v="3"/>
          </reference>
        </references>
      </pivotArea>
    </chartFormat>
    <chartFormat chart="5" format="35" series="1">
      <pivotArea type="data" outline="0" fieldPosition="0">
        <references count="2">
          <reference field="4294967294" count="1" selected="0">
            <x v="0"/>
          </reference>
          <reference field="8" count="1" selected="0">
            <x v="4"/>
          </reference>
        </references>
      </pivotArea>
    </chartFormat>
    <chartFormat chart="6" format="31" series="1">
      <pivotArea type="data" outline="0" fieldPosition="0">
        <references count="1">
          <reference field="4294967294" count="1" selected="0">
            <x v="0"/>
          </reference>
        </references>
      </pivotArea>
    </chartFormat>
    <chartFormat chart="5" format="36" series="1">
      <pivotArea type="data" outline="0" fieldPosition="0">
        <references count="1">
          <reference field="4294967294" count="1" selected="0">
            <x v="0"/>
          </reference>
        </references>
      </pivotArea>
    </chartFormat>
    <chartFormat chart="4" format="2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C37C34-16A9-484F-A7FE-02D5F3EDC1B7}"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1:B54" firstHeaderRow="1" firstDataRow="1" firstDataCol="1"/>
  <pivotFields count="16">
    <pivotField showAll="0"/>
    <pivotField numFmtId="165" showAll="0">
      <items count="717">
        <item x="619"/>
        <item x="142"/>
        <item x="380"/>
        <item x="499"/>
        <item x="237"/>
        <item x="452"/>
        <item x="643"/>
        <item x="94"/>
        <item x="333"/>
        <item x="547"/>
        <item x="165"/>
        <item x="595"/>
        <item x="285"/>
        <item x="0"/>
        <item x="404"/>
        <item x="213"/>
        <item x="476"/>
        <item x="70"/>
        <item x="690"/>
        <item x="261"/>
        <item x="428"/>
        <item x="118"/>
        <item x="523"/>
        <item x="309"/>
        <item x="667"/>
        <item x="46"/>
        <item x="356"/>
        <item x="571"/>
        <item x="189"/>
        <item x="64"/>
        <item x="661"/>
        <item x="327"/>
        <item x="613"/>
        <item x="207"/>
        <item x="517"/>
        <item x="88"/>
        <item x="374"/>
        <item x="255"/>
        <item x="2"/>
        <item x="422"/>
        <item x="136"/>
        <item x="565"/>
        <item x="303"/>
        <item x="637"/>
        <item x="183"/>
        <item x="494"/>
        <item x="40"/>
        <item x="350"/>
        <item x="541"/>
        <item x="159"/>
        <item x="446"/>
        <item x="279"/>
        <item x="20"/>
        <item x="398"/>
        <item x="589"/>
        <item x="231"/>
        <item x="470"/>
        <item x="671"/>
        <item x="217"/>
        <item x="408"/>
        <item x="551"/>
        <item x="50"/>
        <item x="313"/>
        <item x="708"/>
        <item x="480"/>
        <item x="122"/>
        <item x="360"/>
        <item x="599"/>
        <item x="169"/>
        <item x="26"/>
        <item x="694"/>
        <item x="527"/>
        <item x="265"/>
        <item x="98"/>
        <item x="432"/>
        <item x="647"/>
        <item x="193"/>
        <item x="1"/>
        <item x="503"/>
        <item x="623"/>
        <item x="289"/>
        <item x="146"/>
        <item x="575"/>
        <item x="384"/>
        <item x="74"/>
        <item x="241"/>
        <item x="456"/>
        <item x="701"/>
        <item x="16"/>
        <item x="511"/>
        <item x="153"/>
        <item x="368"/>
        <item x="655"/>
        <item x="273"/>
        <item x="440"/>
        <item x="82"/>
        <item x="583"/>
        <item x="201"/>
        <item x="297"/>
        <item x="559"/>
        <item x="130"/>
        <item x="416"/>
        <item x="58"/>
        <item x="344"/>
        <item x="631"/>
        <item x="249"/>
        <item x="679"/>
        <item x="34"/>
        <item x="488"/>
        <item x="321"/>
        <item x="177"/>
        <item x="464"/>
        <item x="535"/>
        <item x="106"/>
        <item x="392"/>
        <item x="225"/>
        <item x="607"/>
        <item x="639"/>
        <item x="472"/>
        <item x="233"/>
        <item x="713"/>
        <item x="22"/>
        <item x="543"/>
        <item x="400"/>
        <item x="138"/>
        <item x="305"/>
        <item x="591"/>
        <item x="352"/>
        <item x="66"/>
        <item x="519"/>
        <item x="209"/>
        <item x="615"/>
        <item x="114"/>
        <item x="448"/>
        <item x="3"/>
        <item x="185"/>
        <item x="663"/>
        <item x="329"/>
        <item x="496"/>
        <item x="90"/>
        <item x="376"/>
        <item x="257"/>
        <item x="686"/>
        <item x="161"/>
        <item x="424"/>
        <item x="42"/>
        <item x="281"/>
        <item x="567"/>
        <item x="175"/>
        <item x="438"/>
        <item x="342"/>
        <item x="56"/>
        <item x="557"/>
        <item x="247"/>
        <item x="486"/>
        <item x="151"/>
        <item x="653"/>
        <item x="390"/>
        <item x="14"/>
        <item x="271"/>
        <item x="581"/>
        <item x="104"/>
        <item x="509"/>
        <item x="319"/>
        <item x="199"/>
        <item x="462"/>
        <item x="80"/>
        <item x="699"/>
        <item x="366"/>
        <item x="223"/>
        <item x="629"/>
        <item x="414"/>
        <item x="128"/>
        <item x="677"/>
        <item x="605"/>
        <item x="32"/>
        <item x="295"/>
        <item x="533"/>
        <item x="497"/>
        <item x="402"/>
        <item x="4"/>
        <item x="665"/>
        <item x="283"/>
        <item x="116"/>
        <item x="354"/>
        <item x="187"/>
        <item x="641"/>
        <item x="92"/>
        <item x="450"/>
        <item x="259"/>
        <item x="521"/>
        <item x="140"/>
        <item x="378"/>
        <item x="235"/>
        <item x="569"/>
        <item x="24"/>
        <item x="593"/>
        <item x="307"/>
        <item x="44"/>
        <item x="474"/>
        <item x="211"/>
        <item x="545"/>
        <item x="163"/>
        <item x="426"/>
        <item x="68"/>
        <item x="617"/>
        <item x="688"/>
        <item x="331"/>
        <item x="386"/>
        <item x="52"/>
        <item x="291"/>
        <item x="695"/>
        <item x="577"/>
        <item x="148"/>
        <item x="458"/>
        <item x="243"/>
        <item x="625"/>
        <item x="76"/>
        <item x="338"/>
        <item x="505"/>
        <item x="124"/>
        <item x="649"/>
        <item x="315"/>
        <item x="195"/>
        <item x="434"/>
        <item x="8"/>
        <item x="673"/>
        <item x="410"/>
        <item x="171"/>
        <item x="529"/>
        <item x="601"/>
        <item x="267"/>
        <item x="28"/>
        <item x="482"/>
        <item x="362"/>
        <item x="100"/>
        <item x="553"/>
        <item x="219"/>
        <item x="645"/>
        <item x="72"/>
        <item x="263"/>
        <item x="525"/>
        <item x="191"/>
        <item x="430"/>
        <item x="18"/>
        <item x="711"/>
        <item x="358"/>
        <item x="167"/>
        <item x="573"/>
        <item x="311"/>
        <item x="478"/>
        <item x="48"/>
        <item x="621"/>
        <item x="239"/>
        <item x="406"/>
        <item x="669"/>
        <item x="120"/>
        <item x="549"/>
        <item x="335"/>
        <item x="692"/>
        <item x="215"/>
        <item x="454"/>
        <item x="96"/>
        <item x="597"/>
        <item x="287"/>
        <item x="501"/>
        <item x="144"/>
        <item x="382"/>
        <item x="609"/>
        <item x="394"/>
        <item x="108"/>
        <item x="490"/>
        <item x="227"/>
        <item x="36"/>
        <item x="299"/>
        <item x="442"/>
        <item x="657"/>
        <item x="179"/>
        <item x="537"/>
        <item x="346"/>
        <item x="84"/>
        <item x="703"/>
        <item x="251"/>
        <item x="513"/>
        <item x="132"/>
        <item x="633"/>
        <item x="418"/>
        <item x="561"/>
        <item x="155"/>
        <item x="681"/>
        <item x="275"/>
        <item x="60"/>
        <item x="466"/>
        <item x="585"/>
        <item x="370"/>
        <item x="203"/>
        <item x="12"/>
        <item x="323"/>
        <item x="293"/>
        <item x="78"/>
        <item x="651"/>
        <item x="460"/>
        <item x="197"/>
        <item x="697"/>
        <item x="412"/>
        <item x="102"/>
        <item x="317"/>
        <item x="555"/>
        <item x="221"/>
        <item x="30"/>
        <item x="484"/>
        <item x="364"/>
        <item x="173"/>
        <item x="603"/>
        <item x="436"/>
        <item x="54"/>
        <item x="269"/>
        <item x="675"/>
        <item x="531"/>
        <item x="126"/>
        <item x="388"/>
        <item x="627"/>
        <item x="6"/>
        <item x="245"/>
        <item x="507"/>
        <item x="340"/>
        <item x="112"/>
        <item x="579"/>
        <item x="468"/>
        <item x="205"/>
        <item x="611"/>
        <item x="396"/>
        <item x="110"/>
        <item x="683"/>
        <item x="301"/>
        <item x="10"/>
        <item x="539"/>
        <item x="157"/>
        <item x="348"/>
        <item x="659"/>
        <item x="277"/>
        <item x="492"/>
        <item x="38"/>
        <item x="420"/>
        <item x="134"/>
        <item x="705"/>
        <item x="229"/>
        <item x="372"/>
        <item x="86"/>
        <item x="444"/>
        <item x="253"/>
        <item x="563"/>
        <item x="515"/>
        <item x="181"/>
        <item x="587"/>
        <item x="325"/>
        <item x="62"/>
        <item x="635"/>
        <item x="702"/>
        <item x="608"/>
        <item x="178"/>
        <item x="512"/>
        <item x="35"/>
        <item x="345"/>
        <item x="584"/>
        <item x="131"/>
        <item x="632"/>
        <item x="417"/>
        <item x="274"/>
        <item x="107"/>
        <item x="465"/>
        <item x="656"/>
        <item x="154"/>
        <item x="369"/>
        <item x="13"/>
        <item x="536"/>
        <item x="226"/>
        <item x="680"/>
        <item x="322"/>
        <item x="59"/>
        <item x="489"/>
        <item x="202"/>
        <item x="709"/>
        <item x="298"/>
        <item x="393"/>
        <item x="560"/>
        <item x="83"/>
        <item x="441"/>
        <item x="250"/>
        <item x="672"/>
        <item x="361"/>
        <item x="27"/>
        <item x="600"/>
        <item x="170"/>
        <item x="552"/>
        <item x="266"/>
        <item x="433"/>
        <item x="99"/>
        <item x="528"/>
        <item x="194"/>
        <item x="576"/>
        <item x="290"/>
        <item x="51"/>
        <item x="337"/>
        <item x="457"/>
        <item x="147"/>
        <item x="648"/>
        <item x="242"/>
        <item x="385"/>
        <item x="75"/>
        <item x="504"/>
        <item x="218"/>
        <item x="481"/>
        <item x="314"/>
        <item x="123"/>
        <item x="409"/>
        <item x="7"/>
        <item x="624"/>
        <item x="636"/>
        <item x="706"/>
        <item x="660"/>
        <item x="135"/>
        <item x="564"/>
        <item x="326"/>
        <item x="445"/>
        <item x="63"/>
        <item x="230"/>
        <item x="612"/>
        <item x="397"/>
        <item x="493"/>
        <item x="182"/>
        <item x="588"/>
        <item x="19"/>
        <item x="302"/>
        <item x="684"/>
        <item x="111"/>
        <item x="469"/>
        <item x="206"/>
        <item x="349"/>
        <item x="516"/>
        <item x="39"/>
        <item x="254"/>
        <item x="373"/>
        <item x="540"/>
        <item x="158"/>
        <item x="421"/>
        <item x="278"/>
        <item x="87"/>
        <item x="668"/>
        <item x="548"/>
        <item x="262"/>
        <item x="9"/>
        <item x="405"/>
        <item x="691"/>
        <item x="143"/>
        <item x="620"/>
        <item x="310"/>
        <item x="644"/>
        <item x="95"/>
        <item x="477"/>
        <item x="214"/>
        <item x="572"/>
        <item x="381"/>
        <item x="166"/>
        <item x="429"/>
        <item x="47"/>
        <item x="286"/>
        <item x="524"/>
        <item x="190"/>
        <item x="357"/>
        <item x="453"/>
        <item x="119"/>
        <item x="596"/>
        <item x="238"/>
        <item x="500"/>
        <item x="334"/>
        <item x="71"/>
        <item x="578"/>
        <item x="316"/>
        <item x="101"/>
        <item x="435"/>
        <item x="626"/>
        <item x="196"/>
        <item x="483"/>
        <item x="29"/>
        <item x="339"/>
        <item x="696"/>
        <item x="172"/>
        <item x="650"/>
        <item x="411"/>
        <item x="77"/>
        <item x="506"/>
        <item x="268"/>
        <item x="674"/>
        <item x="220"/>
        <item x="530"/>
        <item x="125"/>
        <item x="363"/>
        <item x="602"/>
        <item x="244"/>
        <item x="387"/>
        <item x="53"/>
        <item x="554"/>
        <item x="292"/>
        <item x="459"/>
        <item x="714"/>
        <item x="149"/>
        <item x="707"/>
        <item x="113"/>
        <item x="351"/>
        <item x="662"/>
        <item x="184"/>
        <item x="447"/>
        <item x="41"/>
        <item x="566"/>
        <item x="280"/>
        <item x="614"/>
        <item x="423"/>
        <item x="518"/>
        <item x="232"/>
        <item x="65"/>
        <item x="685"/>
        <item x="328"/>
        <item x="590"/>
        <item x="399"/>
        <item x="137"/>
        <item x="495"/>
        <item x="11"/>
        <item x="256"/>
        <item x="471"/>
        <item x="160"/>
        <item x="304"/>
        <item x="638"/>
        <item x="375"/>
        <item x="89"/>
        <item x="542"/>
        <item x="208"/>
        <item x="413"/>
        <item x="31"/>
        <item x="698"/>
        <item x="318"/>
        <item x="532"/>
        <item x="222"/>
        <item x="461"/>
        <item x="79"/>
        <item x="604"/>
        <item x="365"/>
        <item x="150"/>
        <item x="508"/>
        <item x="246"/>
        <item x="55"/>
        <item x="652"/>
        <item x="341"/>
        <item x="580"/>
        <item x="174"/>
        <item x="294"/>
        <item x="556"/>
        <item x="437"/>
        <item x="103"/>
        <item x="389"/>
        <item x="628"/>
        <item x="198"/>
        <item x="485"/>
        <item x="270"/>
        <item x="15"/>
        <item x="127"/>
        <item x="676"/>
        <item x="212"/>
        <item x="522"/>
        <item x="427"/>
        <item x="93"/>
        <item x="618"/>
        <item x="260"/>
        <item x="355"/>
        <item x="164"/>
        <item x="570"/>
        <item x="475"/>
        <item x="21"/>
        <item x="666"/>
        <item x="284"/>
        <item x="117"/>
        <item x="379"/>
        <item x="498"/>
        <item x="236"/>
        <item x="689"/>
        <item x="69"/>
        <item x="403"/>
        <item x="594"/>
        <item x="188"/>
        <item x="332"/>
        <item x="451"/>
        <item x="546"/>
        <item x="141"/>
        <item x="642"/>
        <item x="308"/>
        <item x="45"/>
        <item x="700"/>
        <item x="248"/>
        <item x="81"/>
        <item x="415"/>
        <item x="152"/>
        <item x="582"/>
        <item x="320"/>
        <item x="487"/>
        <item x="105"/>
        <item x="391"/>
        <item x="630"/>
        <item x="200"/>
        <item x="558"/>
        <item x="5"/>
        <item x="296"/>
        <item x="463"/>
        <item x="678"/>
        <item x="33"/>
        <item x="272"/>
        <item x="654"/>
        <item x="510"/>
        <item x="129"/>
        <item x="367"/>
        <item x="606"/>
        <item x="224"/>
        <item x="534"/>
        <item x="57"/>
        <item x="343"/>
        <item x="176"/>
        <item x="439"/>
        <item x="715"/>
        <item x="544"/>
        <item x="162"/>
        <item x="640"/>
        <item x="377"/>
        <item x="67"/>
        <item x="234"/>
        <item x="473"/>
        <item x="687"/>
        <item x="139"/>
        <item x="592"/>
        <item x="306"/>
        <item x="43"/>
        <item x="664"/>
        <item x="401"/>
        <item x="210"/>
        <item x="710"/>
        <item x="353"/>
        <item x="568"/>
        <item x="115"/>
        <item x="282"/>
        <item x="23"/>
        <item x="449"/>
        <item x="520"/>
        <item x="186"/>
        <item x="330"/>
        <item x="616"/>
        <item x="425"/>
        <item x="91"/>
        <item x="258"/>
        <item x="467"/>
        <item x="634"/>
        <item x="204"/>
        <item x="514"/>
        <item x="61"/>
        <item x="586"/>
        <item x="419"/>
        <item x="156"/>
        <item x="276"/>
        <item x="17"/>
        <item x="538"/>
        <item x="228"/>
        <item x="371"/>
        <item x="704"/>
        <item x="109"/>
        <item x="658"/>
        <item x="324"/>
        <item x="443"/>
        <item x="85"/>
        <item x="610"/>
        <item x="180"/>
        <item x="347"/>
        <item x="682"/>
        <item x="252"/>
        <item x="395"/>
        <item x="133"/>
        <item x="491"/>
        <item x="37"/>
        <item x="300"/>
        <item x="562"/>
        <item x="670"/>
        <item x="336"/>
        <item x="145"/>
        <item x="598"/>
        <item x="431"/>
        <item x="288"/>
        <item x="646"/>
        <item x="49"/>
        <item x="502"/>
        <item x="240"/>
        <item x="455"/>
        <item x="693"/>
        <item x="121"/>
        <item x="574"/>
        <item x="383"/>
        <item x="192"/>
        <item x="312"/>
        <item x="73"/>
        <item x="712"/>
        <item x="168"/>
        <item x="550"/>
        <item x="407"/>
        <item x="264"/>
        <item x="622"/>
        <item x="97"/>
        <item x="479"/>
        <item x="216"/>
        <item x="359"/>
        <item x="526"/>
        <item x="25"/>
        <item t="default"/>
      </items>
    </pivotField>
    <pivotField showAll="0"/>
    <pivotField showAll="0"/>
    <pivotField showAll="0"/>
    <pivotField showAll="0"/>
    <pivotField showAll="0"/>
    <pivotField axis="axisRow" showAll="0">
      <items count="53">
        <item x="23"/>
        <item x="14"/>
        <item x="19"/>
        <item x="20"/>
        <item x="30"/>
        <item x="51"/>
        <item x="11"/>
        <item x="37"/>
        <item x="38"/>
        <item x="34"/>
        <item x="22"/>
        <item x="12"/>
        <item x="36"/>
        <item x="9"/>
        <item x="41"/>
        <item x="25"/>
        <item x="4"/>
        <item x="44"/>
        <item x="17"/>
        <item x="35"/>
        <item x="40"/>
        <item x="31"/>
        <item x="8"/>
        <item x="10"/>
        <item x="48"/>
        <item x="50"/>
        <item x="47"/>
        <item x="0"/>
        <item x="46"/>
        <item x="3"/>
        <item x="43"/>
        <item x="42"/>
        <item x="16"/>
        <item x="13"/>
        <item x="27"/>
        <item x="7"/>
        <item x="33"/>
        <item x="28"/>
        <item x="26"/>
        <item x="18"/>
        <item x="45"/>
        <item x="24"/>
        <item x="15"/>
        <item x="5"/>
        <item x="39"/>
        <item x="1"/>
        <item x="21"/>
        <item x="29"/>
        <item x="49"/>
        <item x="6"/>
        <item x="2"/>
        <item x="32"/>
        <item t="default"/>
      </items>
    </pivotField>
    <pivotField showAll="0"/>
    <pivotField numFmtId="164" showAll="0"/>
    <pivotField dataField="1" numFmtId="164" showAll="0"/>
    <pivotField showAll="0">
      <items count="3">
        <item x="1"/>
        <item x="0"/>
        <item t="default"/>
      </items>
    </pivotField>
    <pivotField showAll="0">
      <items count="5">
        <item x="1"/>
        <item x="0"/>
        <item x="3"/>
        <item x="2"/>
        <item t="default"/>
      </items>
    </pivotField>
    <pivotField showAll="0"/>
    <pivotField showAll="0" defaultSubtotal="0"/>
    <pivotField showAll="0" defaultSubtotal="0">
      <items count="5">
        <item x="0"/>
        <item x="1"/>
        <item x="2"/>
        <item x="3"/>
        <item x="4"/>
      </items>
    </pivotField>
  </pivotFields>
  <rowFields count="1">
    <field x="7"/>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Items count="1">
    <i/>
  </colItems>
  <dataFields count="1">
    <dataField name="Sum of Revenue" fld="10" baseField="0" baseItem="0" numFmtId="164"/>
  </dataFields>
  <chartFormats count="3">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D27E05-DC1F-4C83-B361-EF60AC83B395}"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B7" firstHeaderRow="1" firstDataRow="1" firstDataCol="1"/>
  <pivotFields count="16">
    <pivotField showAll="0"/>
    <pivotField numFmtId="165" showAll="0">
      <items count="717">
        <item x="619"/>
        <item x="142"/>
        <item x="380"/>
        <item x="499"/>
        <item x="237"/>
        <item x="452"/>
        <item x="643"/>
        <item x="94"/>
        <item x="333"/>
        <item x="547"/>
        <item x="165"/>
        <item x="595"/>
        <item x="285"/>
        <item x="0"/>
        <item x="404"/>
        <item x="213"/>
        <item x="476"/>
        <item x="70"/>
        <item x="690"/>
        <item x="261"/>
        <item x="428"/>
        <item x="118"/>
        <item x="523"/>
        <item x="309"/>
        <item x="667"/>
        <item x="46"/>
        <item x="356"/>
        <item x="571"/>
        <item x="189"/>
        <item x="64"/>
        <item x="661"/>
        <item x="327"/>
        <item x="613"/>
        <item x="207"/>
        <item x="517"/>
        <item x="88"/>
        <item x="374"/>
        <item x="255"/>
        <item x="2"/>
        <item x="422"/>
        <item x="136"/>
        <item x="565"/>
        <item x="303"/>
        <item x="637"/>
        <item x="183"/>
        <item x="494"/>
        <item x="40"/>
        <item x="350"/>
        <item x="541"/>
        <item x="159"/>
        <item x="446"/>
        <item x="279"/>
        <item x="20"/>
        <item x="398"/>
        <item x="589"/>
        <item x="231"/>
        <item x="470"/>
        <item x="671"/>
        <item x="217"/>
        <item x="408"/>
        <item x="551"/>
        <item x="50"/>
        <item x="313"/>
        <item x="708"/>
        <item x="480"/>
        <item x="122"/>
        <item x="360"/>
        <item x="599"/>
        <item x="169"/>
        <item x="26"/>
        <item x="694"/>
        <item x="527"/>
        <item x="265"/>
        <item x="98"/>
        <item x="432"/>
        <item x="647"/>
        <item x="193"/>
        <item x="1"/>
        <item x="503"/>
        <item x="623"/>
        <item x="289"/>
        <item x="146"/>
        <item x="575"/>
        <item x="384"/>
        <item x="74"/>
        <item x="241"/>
        <item x="456"/>
        <item x="701"/>
        <item x="16"/>
        <item x="511"/>
        <item x="153"/>
        <item x="368"/>
        <item x="655"/>
        <item x="273"/>
        <item x="440"/>
        <item x="82"/>
        <item x="583"/>
        <item x="201"/>
        <item x="297"/>
        <item x="559"/>
        <item x="130"/>
        <item x="416"/>
        <item x="58"/>
        <item x="344"/>
        <item x="631"/>
        <item x="249"/>
        <item x="679"/>
        <item x="34"/>
        <item x="488"/>
        <item x="321"/>
        <item x="177"/>
        <item x="464"/>
        <item x="535"/>
        <item x="106"/>
        <item x="392"/>
        <item x="225"/>
        <item x="607"/>
        <item x="639"/>
        <item x="472"/>
        <item x="233"/>
        <item x="713"/>
        <item x="22"/>
        <item x="543"/>
        <item x="400"/>
        <item x="138"/>
        <item x="305"/>
        <item x="591"/>
        <item x="352"/>
        <item x="66"/>
        <item x="519"/>
        <item x="209"/>
        <item x="615"/>
        <item x="114"/>
        <item x="448"/>
        <item x="3"/>
        <item x="185"/>
        <item x="663"/>
        <item x="329"/>
        <item x="496"/>
        <item x="90"/>
        <item x="376"/>
        <item x="257"/>
        <item x="686"/>
        <item x="161"/>
        <item x="424"/>
        <item x="42"/>
        <item x="281"/>
        <item x="567"/>
        <item x="175"/>
        <item x="438"/>
        <item x="342"/>
        <item x="56"/>
        <item x="557"/>
        <item x="247"/>
        <item x="486"/>
        <item x="151"/>
        <item x="653"/>
        <item x="390"/>
        <item x="14"/>
        <item x="271"/>
        <item x="581"/>
        <item x="104"/>
        <item x="509"/>
        <item x="319"/>
        <item x="199"/>
        <item x="462"/>
        <item x="80"/>
        <item x="699"/>
        <item x="366"/>
        <item x="223"/>
        <item x="629"/>
        <item x="414"/>
        <item x="128"/>
        <item x="677"/>
        <item x="605"/>
        <item x="32"/>
        <item x="295"/>
        <item x="533"/>
        <item x="497"/>
        <item x="402"/>
        <item x="4"/>
        <item x="665"/>
        <item x="283"/>
        <item x="116"/>
        <item x="354"/>
        <item x="187"/>
        <item x="641"/>
        <item x="92"/>
        <item x="450"/>
        <item x="259"/>
        <item x="521"/>
        <item x="140"/>
        <item x="378"/>
        <item x="235"/>
        <item x="569"/>
        <item x="24"/>
        <item x="593"/>
        <item x="307"/>
        <item x="44"/>
        <item x="474"/>
        <item x="211"/>
        <item x="545"/>
        <item x="163"/>
        <item x="426"/>
        <item x="68"/>
        <item x="617"/>
        <item x="688"/>
        <item x="331"/>
        <item x="386"/>
        <item x="52"/>
        <item x="291"/>
        <item x="695"/>
        <item x="577"/>
        <item x="148"/>
        <item x="458"/>
        <item x="243"/>
        <item x="625"/>
        <item x="76"/>
        <item x="338"/>
        <item x="505"/>
        <item x="124"/>
        <item x="649"/>
        <item x="315"/>
        <item x="195"/>
        <item x="434"/>
        <item x="8"/>
        <item x="673"/>
        <item x="410"/>
        <item x="171"/>
        <item x="529"/>
        <item x="601"/>
        <item x="267"/>
        <item x="28"/>
        <item x="482"/>
        <item x="362"/>
        <item x="100"/>
        <item x="553"/>
        <item x="219"/>
        <item x="645"/>
        <item x="72"/>
        <item x="263"/>
        <item x="525"/>
        <item x="191"/>
        <item x="430"/>
        <item x="18"/>
        <item x="711"/>
        <item x="358"/>
        <item x="167"/>
        <item x="573"/>
        <item x="311"/>
        <item x="478"/>
        <item x="48"/>
        <item x="621"/>
        <item x="239"/>
        <item x="406"/>
        <item x="669"/>
        <item x="120"/>
        <item x="549"/>
        <item x="335"/>
        <item x="692"/>
        <item x="215"/>
        <item x="454"/>
        <item x="96"/>
        <item x="597"/>
        <item x="287"/>
        <item x="501"/>
        <item x="144"/>
        <item x="382"/>
        <item x="609"/>
        <item x="394"/>
        <item x="108"/>
        <item x="490"/>
        <item x="227"/>
        <item x="36"/>
        <item x="299"/>
        <item x="442"/>
        <item x="657"/>
        <item x="179"/>
        <item x="537"/>
        <item x="346"/>
        <item x="84"/>
        <item x="703"/>
        <item x="251"/>
        <item x="513"/>
        <item x="132"/>
        <item x="633"/>
        <item x="418"/>
        <item x="561"/>
        <item x="155"/>
        <item x="681"/>
        <item x="275"/>
        <item x="60"/>
        <item x="466"/>
        <item x="585"/>
        <item x="370"/>
        <item x="203"/>
        <item x="12"/>
        <item x="323"/>
        <item x="293"/>
        <item x="78"/>
        <item x="651"/>
        <item x="460"/>
        <item x="197"/>
        <item x="697"/>
        <item x="412"/>
        <item x="102"/>
        <item x="317"/>
        <item x="555"/>
        <item x="221"/>
        <item x="30"/>
        <item x="484"/>
        <item x="364"/>
        <item x="173"/>
        <item x="603"/>
        <item x="436"/>
        <item x="54"/>
        <item x="269"/>
        <item x="675"/>
        <item x="531"/>
        <item x="126"/>
        <item x="388"/>
        <item x="627"/>
        <item x="6"/>
        <item x="245"/>
        <item x="507"/>
        <item x="340"/>
        <item x="112"/>
        <item x="579"/>
        <item x="468"/>
        <item x="205"/>
        <item x="611"/>
        <item x="396"/>
        <item x="110"/>
        <item x="683"/>
        <item x="301"/>
        <item x="10"/>
        <item x="539"/>
        <item x="157"/>
        <item x="348"/>
        <item x="659"/>
        <item x="277"/>
        <item x="492"/>
        <item x="38"/>
        <item x="420"/>
        <item x="134"/>
        <item x="705"/>
        <item x="229"/>
        <item x="372"/>
        <item x="86"/>
        <item x="444"/>
        <item x="253"/>
        <item x="563"/>
        <item x="515"/>
        <item x="181"/>
        <item x="587"/>
        <item x="325"/>
        <item x="62"/>
        <item x="635"/>
        <item x="702"/>
        <item x="608"/>
        <item x="178"/>
        <item x="512"/>
        <item x="35"/>
        <item x="345"/>
        <item x="584"/>
        <item x="131"/>
        <item x="632"/>
        <item x="417"/>
        <item x="274"/>
        <item x="107"/>
        <item x="465"/>
        <item x="656"/>
        <item x="154"/>
        <item x="369"/>
        <item x="13"/>
        <item x="536"/>
        <item x="226"/>
        <item x="680"/>
        <item x="322"/>
        <item x="59"/>
        <item x="489"/>
        <item x="202"/>
        <item x="709"/>
        <item x="298"/>
        <item x="393"/>
        <item x="560"/>
        <item x="83"/>
        <item x="441"/>
        <item x="250"/>
        <item x="672"/>
        <item x="361"/>
        <item x="27"/>
        <item x="600"/>
        <item x="170"/>
        <item x="552"/>
        <item x="266"/>
        <item x="433"/>
        <item x="99"/>
        <item x="528"/>
        <item x="194"/>
        <item x="576"/>
        <item x="290"/>
        <item x="51"/>
        <item x="337"/>
        <item x="457"/>
        <item x="147"/>
        <item x="648"/>
        <item x="242"/>
        <item x="385"/>
        <item x="75"/>
        <item x="504"/>
        <item x="218"/>
        <item x="481"/>
        <item x="314"/>
        <item x="123"/>
        <item x="409"/>
        <item x="7"/>
        <item x="624"/>
        <item x="636"/>
        <item x="706"/>
        <item x="660"/>
        <item x="135"/>
        <item x="564"/>
        <item x="326"/>
        <item x="445"/>
        <item x="63"/>
        <item x="230"/>
        <item x="612"/>
        <item x="397"/>
        <item x="493"/>
        <item x="182"/>
        <item x="588"/>
        <item x="19"/>
        <item x="302"/>
        <item x="684"/>
        <item x="111"/>
        <item x="469"/>
        <item x="206"/>
        <item x="349"/>
        <item x="516"/>
        <item x="39"/>
        <item x="254"/>
        <item x="373"/>
        <item x="540"/>
        <item x="158"/>
        <item x="421"/>
        <item x="278"/>
        <item x="87"/>
        <item x="668"/>
        <item x="548"/>
        <item x="262"/>
        <item x="9"/>
        <item x="405"/>
        <item x="691"/>
        <item x="143"/>
        <item x="620"/>
        <item x="310"/>
        <item x="644"/>
        <item x="95"/>
        <item x="477"/>
        <item x="214"/>
        <item x="572"/>
        <item x="381"/>
        <item x="166"/>
        <item x="429"/>
        <item x="47"/>
        <item x="286"/>
        <item x="524"/>
        <item x="190"/>
        <item x="357"/>
        <item x="453"/>
        <item x="119"/>
        <item x="596"/>
        <item x="238"/>
        <item x="500"/>
        <item x="334"/>
        <item x="71"/>
        <item x="578"/>
        <item x="316"/>
        <item x="101"/>
        <item x="435"/>
        <item x="626"/>
        <item x="196"/>
        <item x="483"/>
        <item x="29"/>
        <item x="339"/>
        <item x="696"/>
        <item x="172"/>
        <item x="650"/>
        <item x="411"/>
        <item x="77"/>
        <item x="506"/>
        <item x="268"/>
        <item x="674"/>
        <item x="220"/>
        <item x="530"/>
        <item x="125"/>
        <item x="363"/>
        <item x="602"/>
        <item x="244"/>
        <item x="387"/>
        <item x="53"/>
        <item x="554"/>
        <item x="292"/>
        <item x="459"/>
        <item x="714"/>
        <item x="149"/>
        <item x="707"/>
        <item x="113"/>
        <item x="351"/>
        <item x="662"/>
        <item x="184"/>
        <item x="447"/>
        <item x="41"/>
        <item x="566"/>
        <item x="280"/>
        <item x="614"/>
        <item x="423"/>
        <item x="518"/>
        <item x="232"/>
        <item x="65"/>
        <item x="685"/>
        <item x="328"/>
        <item x="590"/>
        <item x="399"/>
        <item x="137"/>
        <item x="495"/>
        <item x="11"/>
        <item x="256"/>
        <item x="471"/>
        <item x="160"/>
        <item x="304"/>
        <item x="638"/>
        <item x="375"/>
        <item x="89"/>
        <item x="542"/>
        <item x="208"/>
        <item x="413"/>
        <item x="31"/>
        <item x="698"/>
        <item x="318"/>
        <item x="532"/>
        <item x="222"/>
        <item x="461"/>
        <item x="79"/>
        <item x="604"/>
        <item x="365"/>
        <item x="150"/>
        <item x="508"/>
        <item x="246"/>
        <item x="55"/>
        <item x="652"/>
        <item x="341"/>
        <item x="580"/>
        <item x="174"/>
        <item x="294"/>
        <item x="556"/>
        <item x="437"/>
        <item x="103"/>
        <item x="389"/>
        <item x="628"/>
        <item x="198"/>
        <item x="485"/>
        <item x="270"/>
        <item x="15"/>
        <item x="127"/>
        <item x="676"/>
        <item x="212"/>
        <item x="522"/>
        <item x="427"/>
        <item x="93"/>
        <item x="618"/>
        <item x="260"/>
        <item x="355"/>
        <item x="164"/>
        <item x="570"/>
        <item x="475"/>
        <item x="21"/>
        <item x="666"/>
        <item x="284"/>
        <item x="117"/>
        <item x="379"/>
        <item x="498"/>
        <item x="236"/>
        <item x="689"/>
        <item x="69"/>
        <item x="403"/>
        <item x="594"/>
        <item x="188"/>
        <item x="332"/>
        <item x="451"/>
        <item x="546"/>
        <item x="141"/>
        <item x="642"/>
        <item x="308"/>
        <item x="45"/>
        <item x="700"/>
        <item x="248"/>
        <item x="81"/>
        <item x="415"/>
        <item x="152"/>
        <item x="582"/>
        <item x="320"/>
        <item x="487"/>
        <item x="105"/>
        <item x="391"/>
        <item x="630"/>
        <item x="200"/>
        <item x="558"/>
        <item x="5"/>
        <item x="296"/>
        <item x="463"/>
        <item x="678"/>
        <item x="33"/>
        <item x="272"/>
        <item x="654"/>
        <item x="510"/>
        <item x="129"/>
        <item x="367"/>
        <item x="606"/>
        <item x="224"/>
        <item x="534"/>
        <item x="57"/>
        <item x="343"/>
        <item x="176"/>
        <item x="439"/>
        <item x="715"/>
        <item x="544"/>
        <item x="162"/>
        <item x="640"/>
        <item x="377"/>
        <item x="67"/>
        <item x="234"/>
        <item x="473"/>
        <item x="687"/>
        <item x="139"/>
        <item x="592"/>
        <item x="306"/>
        <item x="43"/>
        <item x="664"/>
        <item x="401"/>
        <item x="210"/>
        <item x="710"/>
        <item x="353"/>
        <item x="568"/>
        <item x="115"/>
        <item x="282"/>
        <item x="23"/>
        <item x="449"/>
        <item x="520"/>
        <item x="186"/>
        <item x="330"/>
        <item x="616"/>
        <item x="425"/>
        <item x="91"/>
        <item x="258"/>
        <item x="467"/>
        <item x="634"/>
        <item x="204"/>
        <item x="514"/>
        <item x="61"/>
        <item x="586"/>
        <item x="419"/>
        <item x="156"/>
        <item x="276"/>
        <item x="17"/>
        <item x="538"/>
        <item x="228"/>
        <item x="371"/>
        <item x="704"/>
        <item x="109"/>
        <item x="658"/>
        <item x="324"/>
        <item x="443"/>
        <item x="85"/>
        <item x="610"/>
        <item x="180"/>
        <item x="347"/>
        <item x="682"/>
        <item x="252"/>
        <item x="395"/>
        <item x="133"/>
        <item x="491"/>
        <item x="37"/>
        <item x="300"/>
        <item x="562"/>
        <item x="670"/>
        <item x="336"/>
        <item x="145"/>
        <item x="598"/>
        <item x="431"/>
        <item x="288"/>
        <item x="646"/>
        <item x="49"/>
        <item x="502"/>
        <item x="240"/>
        <item x="455"/>
        <item x="693"/>
        <item x="121"/>
        <item x="574"/>
        <item x="383"/>
        <item x="192"/>
        <item x="312"/>
        <item x="73"/>
        <item x="712"/>
        <item x="168"/>
        <item x="550"/>
        <item x="407"/>
        <item x="264"/>
        <item x="622"/>
        <item x="97"/>
        <item x="479"/>
        <item x="216"/>
        <item x="359"/>
        <item x="526"/>
        <item x="25"/>
        <item t="default"/>
      </items>
    </pivotField>
    <pivotField showAll="0"/>
    <pivotField showAll="0"/>
    <pivotField showAll="0"/>
    <pivotField showAll="0"/>
    <pivotField showAll="0"/>
    <pivotField showAll="0"/>
    <pivotField showAll="0"/>
    <pivotField numFmtId="164" showAll="0"/>
    <pivotField dataField="1" numFmtId="164" showAll="0"/>
    <pivotField showAll="0">
      <items count="3">
        <item x="1"/>
        <item x="0"/>
        <item t="default"/>
      </items>
    </pivotField>
    <pivotField showAll="0">
      <items count="5">
        <item x="1"/>
        <item x="0"/>
        <item x="3"/>
        <item x="2"/>
        <item t="default"/>
      </items>
    </pivotField>
    <pivotField axis="axisRow" showAll="0" measureFilter="1">
      <items count="91">
        <item x="38"/>
        <item x="62"/>
        <item x="21"/>
        <item x="6"/>
        <item x="87"/>
        <item x="11"/>
        <item x="39"/>
        <item x="37"/>
        <item x="29"/>
        <item x="0"/>
        <item x="72"/>
        <item x="65"/>
        <item x="88"/>
        <item x="61"/>
        <item x="79"/>
        <item x="46"/>
        <item x="82"/>
        <item x="5"/>
        <item x="89"/>
        <item x="63"/>
        <item x="31"/>
        <item x="60"/>
        <item x="19"/>
        <item x="27"/>
        <item x="48"/>
        <item x="85"/>
        <item x="35"/>
        <item x="57"/>
        <item x="3"/>
        <item x="86"/>
        <item x="40"/>
        <item x="26"/>
        <item x="84"/>
        <item x="23"/>
        <item x="68"/>
        <item x="33"/>
        <item x="17"/>
        <item x="75"/>
        <item x="71"/>
        <item x="2"/>
        <item x="24"/>
        <item x="16"/>
        <item x="80"/>
        <item x="34"/>
        <item x="81"/>
        <item x="13"/>
        <item x="77"/>
        <item x="53"/>
        <item x="58"/>
        <item x="44"/>
        <item x="56"/>
        <item x="64"/>
        <item x="47"/>
        <item x="54"/>
        <item x="67"/>
        <item x="36"/>
        <item x="74"/>
        <item x="50"/>
        <item x="45"/>
        <item x="1"/>
        <item x="76"/>
        <item x="12"/>
        <item x="41"/>
        <item x="49"/>
        <item x="25"/>
        <item x="10"/>
        <item x="32"/>
        <item x="43"/>
        <item x="69"/>
        <item x="15"/>
        <item x="22"/>
        <item x="14"/>
        <item x="8"/>
        <item x="4"/>
        <item x="52"/>
        <item x="51"/>
        <item x="30"/>
        <item x="20"/>
        <item x="7"/>
        <item x="83"/>
        <item x="42"/>
        <item x="78"/>
        <item x="59"/>
        <item x="9"/>
        <item x="70"/>
        <item x="55"/>
        <item x="73"/>
        <item x="66"/>
        <item x="28"/>
        <item x="18"/>
        <item t="default"/>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3"/>
  </rowFields>
  <rowItems count="6">
    <i>
      <x v="24"/>
    </i>
    <i>
      <x v="48"/>
    </i>
    <i>
      <x v="53"/>
    </i>
    <i>
      <x v="71"/>
    </i>
    <i>
      <x v="73"/>
    </i>
    <i t="grand">
      <x/>
    </i>
  </rowItems>
  <colItems count="1">
    <i/>
  </colItems>
  <dataFields count="1">
    <dataField name="Sum of Revenue" fld="10" baseField="0" baseItem="0" numFmtId="164"/>
  </dataFields>
  <chartFormats count="1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3" count="1" selected="0">
            <x v="73"/>
          </reference>
        </references>
      </pivotArea>
    </chartFormat>
    <chartFormat chart="1" format="2">
      <pivotArea type="data" outline="0" fieldPosition="0">
        <references count="2">
          <reference field="4294967294" count="1" selected="0">
            <x v="0"/>
          </reference>
          <reference field="13" count="1" selected="0">
            <x v="53"/>
          </reference>
        </references>
      </pivotArea>
    </chartFormat>
    <chartFormat chart="1" format="3">
      <pivotArea type="data" outline="0" fieldPosition="0">
        <references count="2">
          <reference field="4294967294" count="1" selected="0">
            <x v="0"/>
          </reference>
          <reference field="13" count="1" selected="0">
            <x v="48"/>
          </reference>
        </references>
      </pivotArea>
    </chartFormat>
    <chartFormat chart="1" format="4">
      <pivotArea type="data" outline="0" fieldPosition="0">
        <references count="2">
          <reference field="4294967294" count="1" selected="0">
            <x v="0"/>
          </reference>
          <reference field="13" count="1" selected="0">
            <x v="24"/>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3" count="1" selected="0">
            <x v="24"/>
          </reference>
        </references>
      </pivotArea>
    </chartFormat>
    <chartFormat chart="3" format="12">
      <pivotArea type="data" outline="0" fieldPosition="0">
        <references count="2">
          <reference field="4294967294" count="1" selected="0">
            <x v="0"/>
          </reference>
          <reference field="13" count="1" selected="0">
            <x v="48"/>
          </reference>
        </references>
      </pivotArea>
    </chartFormat>
    <chartFormat chart="3" format="13">
      <pivotArea type="data" outline="0" fieldPosition="0">
        <references count="2">
          <reference field="4294967294" count="1" selected="0">
            <x v="0"/>
          </reference>
          <reference field="13" count="1" selected="0">
            <x v="53"/>
          </reference>
        </references>
      </pivotArea>
    </chartFormat>
    <chartFormat chart="3" format="14">
      <pivotArea type="data" outline="0" fieldPosition="0">
        <references count="2">
          <reference field="4294967294" count="1" selected="0">
            <x v="0"/>
          </reference>
          <reference field="13" count="1" selected="0">
            <x v="73"/>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3" count="1" selected="0">
            <x v="24"/>
          </reference>
        </references>
      </pivotArea>
    </chartFormat>
    <chartFormat chart="7" format="12">
      <pivotArea type="data" outline="0" fieldPosition="0">
        <references count="2">
          <reference field="4294967294" count="1" selected="0">
            <x v="0"/>
          </reference>
          <reference field="13" count="1" selected="0">
            <x v="48"/>
          </reference>
        </references>
      </pivotArea>
    </chartFormat>
    <chartFormat chart="7" format="13">
      <pivotArea type="data" outline="0" fieldPosition="0">
        <references count="2">
          <reference field="4294967294" count="1" selected="0">
            <x v="0"/>
          </reference>
          <reference field="13" count="1" selected="0">
            <x v="53"/>
          </reference>
        </references>
      </pivotArea>
    </chartFormat>
    <chartFormat chart="7" format="14">
      <pivotArea type="data" outline="0" fieldPosition="0">
        <references count="2">
          <reference field="4294967294" count="1" selected="0">
            <x v="0"/>
          </reference>
          <reference field="13" count="1" selected="0">
            <x v="73"/>
          </reference>
        </references>
      </pivotArea>
    </chartFormat>
  </chartFormats>
  <pivotTableStyleInfo name="PivotStyleLight16" showRowHeaders="1" showColHeaders="1" showRowStripes="0" showColStripes="0" showLastColumn="1"/>
  <filters count="1">
    <filter fld="13"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57579F00-D45E-4899-B349-A594DACBE744}" sourceName="Loyalty_Card">
  <pivotTables>
    <pivotTable tabId="19" name="PivotTable1"/>
    <pivotTable tabId="21" name="PivotTable2"/>
    <pivotTable tabId="22" name="PivotTable3"/>
  </pivotTables>
  <data>
    <tabular pivotCacheId="33951448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ship_Type" xr10:uid="{7542C03A-8AA7-4BA6-B76B-F297C40B2707}" sourceName="Membership_Type">
  <pivotTables>
    <pivotTable tabId="19" name="PivotTable1"/>
    <pivotTable tabId="21" name="PivotTable2"/>
    <pivotTable tabId="22" name="PivotTable3"/>
  </pivotTables>
  <data>
    <tabular pivotCacheId="339514487">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_Card" xr10:uid="{550B57C6-8A20-47B5-9566-3977E12ADF60}" cache="Slicer_Loyalty_Card" caption="Loyalty_Card" style="Slicer Style 1" rowHeight="241300"/>
  <slicer name="Membership_Type" xr10:uid="{46FB12A1-7EF6-47E4-A6AB-55F40F9A7412}" cache="Slicer_Membership_Type" caption="Membership_Type" style="Slicer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ale_Date" xr10:uid="{5FF16BF1-14A3-4FAC-A5D0-AF34D79C9DC9}" sourceName="Sale_Date">
  <pivotTables>
    <pivotTable tabId="19" name="PivotTable1"/>
    <pivotTable tabId="21" name="PivotTable2"/>
    <pivotTable tabId="22" name="PivotTable3"/>
  </pivotTables>
  <state minimalRefreshVersion="6" lastRefreshVersion="6" pivotCacheId="339514487"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_Date" xr10:uid="{4B05727B-5974-48FE-8173-DB224D820A08}" cache="NativeTimeline_Sale_Date" caption="Sale_Date" level="2" selectionLevel="2" scrollPosition="2024-03-09T00:00:00" style="Timeline Style 2"/>
</timeline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A5801-9A01-4B00-ACF7-8EA5691D265B}">
  <dimension ref="A1:N983"/>
  <sheetViews>
    <sheetView topLeftCell="G1" zoomScale="93" zoomScaleNormal="93" workbookViewId="0">
      <selection activeCell="M1" sqref="M1"/>
    </sheetView>
  </sheetViews>
  <sheetFormatPr defaultRowHeight="14.5" x14ac:dyDescent="0.35"/>
  <cols>
    <col min="2" max="2" width="12.26953125" style="3" bestFit="1" customWidth="1"/>
    <col min="3" max="3" width="16.1796875" customWidth="1"/>
    <col min="4" max="4" width="13.90625" customWidth="1"/>
    <col min="6" max="6" width="12.90625" customWidth="1"/>
    <col min="7" max="7" width="38.26953125" customWidth="1"/>
    <col min="8" max="8" width="21" customWidth="1"/>
    <col min="9" max="9" width="13.81640625" customWidth="1"/>
    <col min="10" max="10" width="12.1796875" customWidth="1"/>
    <col min="11" max="11" width="17" customWidth="1"/>
    <col min="12" max="12" width="12.26953125" style="10" bestFit="1" customWidth="1"/>
  </cols>
  <sheetData>
    <row r="1" spans="1:14" x14ac:dyDescent="0.35">
      <c r="A1" s="1" t="s">
        <v>0</v>
      </c>
      <c r="B1" s="3" t="s">
        <v>1</v>
      </c>
      <c r="C1" t="s">
        <v>3545</v>
      </c>
      <c r="D1" t="s">
        <v>3</v>
      </c>
      <c r="E1" t="s">
        <v>4</v>
      </c>
      <c r="F1" t="s">
        <v>5</v>
      </c>
      <c r="G1" t="s">
        <v>6</v>
      </c>
      <c r="H1" t="s">
        <v>7</v>
      </c>
      <c r="I1" t="s">
        <v>8</v>
      </c>
      <c r="J1" t="s">
        <v>9</v>
      </c>
      <c r="K1" t="s">
        <v>10</v>
      </c>
      <c r="L1" s="10" t="s">
        <v>6361</v>
      </c>
      <c r="M1" t="s">
        <v>6364</v>
      </c>
      <c r="N1" t="s">
        <v>6367</v>
      </c>
    </row>
    <row r="2" spans="1:14" x14ac:dyDescent="0.35">
      <c r="A2" t="s">
        <v>14</v>
      </c>
      <c r="B2" s="3">
        <v>44941</v>
      </c>
      <c r="C2" t="s">
        <v>3255</v>
      </c>
      <c r="D2" t="s">
        <v>5200</v>
      </c>
      <c r="E2">
        <v>4</v>
      </c>
      <c r="F2" t="str">
        <f>_xlfn.XLOOKUP(C2,customers!$A$1:$A$983,customers!$B$1:$B$983,,0)</f>
        <v>William Hill</v>
      </c>
      <c r="G2" t="str" cm="1">
        <f t="array" ref="G2">_xlfn.XLOOKUP(C2,customers!A2:$A$983,customers!$C$2:$C$983,,0)</f>
        <v>william.hill841@outlook.com</v>
      </c>
      <c r="H2" t="str">
        <f>IF(_xlfn.XLOOKUP(C2,customers!$A:$A,customers!$G:$G,,0)=0,"",_xlfn.XLOOKUP(C2,customers!$A:$A,customers!$G:$G,,0))</f>
        <v>Norway</v>
      </c>
      <c r="I2" t="str">
        <f>IF(_xlfn.XLOOKUP(D2,product!$A:$A,product!$E:$E,,0)=0,"",_xlfn.XLOOKUP(D2,product!$A:$A,product!$E:$E,,0))</f>
        <v>TECH</v>
      </c>
      <c r="J2" s="4">
        <f>IF(_xlfn.XLOOKUP(D2,product!$A:$A,product!$D:$D,,0)=0,"",_xlfn.XLOOKUP(D2,product!$A:$A,product!$D:$D,,0))</f>
        <v>34.35</v>
      </c>
      <c r="K2" s="7">
        <f>J2*E2</f>
        <v>137.4</v>
      </c>
      <c r="L2" s="10" t="str">
        <f>IF(_xlfn.XLOOKUP(D2,product!$A:$A,product!$F:$F,,0)=0,"",_xlfn.XLOOKUP(D2,product!$A:$A,product!$F:$F,,0))</f>
        <v>Yes</v>
      </c>
      <c r="M2" t="str">
        <f>IF(_xlfn.XLOOKUP(D2,product!$A:$A,product!G:G,,0)=0,"",_xlfn.XLOOKUP(D2,product!$A:$A,product!G:G,,0))</f>
        <v>None</v>
      </c>
      <c r="N2" t="str">
        <f>IF(_xlfn.XLOOKUP(D2,product!$A:$A,product!$B:$B,,0)=0,"",_xlfn.XLOOKUP(D2,product!$A:$A,product!$B:$B,,0))</f>
        <v>Forest Data</v>
      </c>
    </row>
    <row r="3" spans="1:14" x14ac:dyDescent="0.35">
      <c r="A3" t="s">
        <v>36</v>
      </c>
      <c r="B3" s="3">
        <v>45007</v>
      </c>
      <c r="C3" t="s">
        <v>2243</v>
      </c>
      <c r="D3" t="s">
        <v>5203</v>
      </c>
      <c r="E3">
        <v>2</v>
      </c>
      <c r="F3" t="str">
        <f>_xlfn.XLOOKUP(C3,customers!$A$1:$A$983,customers!$B$1:$B$983,,0)</f>
        <v>Laura Martinez</v>
      </c>
      <c r="G3" t="str">
        <f>_xlfn.XLOOKUP(C3,customers!$A:$A,customers!$C:$C,,0)</f>
        <v>laura.martinez355@hotmail.com</v>
      </c>
      <c r="H3" t="str">
        <f>IF(_xlfn.XLOOKUP(C3,customers!$A:$A,customers!$G:$G,,0)=0,"",_xlfn.XLOOKUP(C3,customers!$A:$A,customers!$G:$G,,0))</f>
        <v>Sweden</v>
      </c>
      <c r="I3" t="str">
        <f>IF(_xlfn.XLOOKUP(D3,product!$A:$A,product!$E:$E,,0)=0,"",_xlfn.XLOOKUP(D3,product!$A:$A,product!$E:$E,,0))</f>
        <v>BUSINESS</v>
      </c>
      <c r="J3" s="5">
        <f>IF(_xlfn.XLOOKUP(D3,product!$A:$A,product!$D:$D,,0)=0,"",_xlfn.XLOOKUP(D3,product!$A:$A,product!$D:$D,,0))</f>
        <v>33.630000000000003</v>
      </c>
      <c r="K3" s="7">
        <f t="shared" ref="K3:K66" si="0">J3*E3</f>
        <v>67.260000000000005</v>
      </c>
      <c r="L3" s="10" t="str">
        <f>IF(_xlfn.XLOOKUP(D3,product!$A:$A,product!$F:$F,,0)=0,"",_xlfn.XLOOKUP(D3,product!$A:$A,product!$F:$F,,0))</f>
        <v>No</v>
      </c>
      <c r="M3" t="str">
        <f>IF(_xlfn.XLOOKUP(D3,product!$A:$A,product!G:G,,0)=0,"",_xlfn.XLOOKUP(D3,product!$A:$A,product!G:G,,0))</f>
        <v>Gold</v>
      </c>
      <c r="N3" t="str">
        <f>IF(_xlfn.XLOOKUP(D3,product!$A:$A,product!$B:$B,,0)=0,"",_xlfn.XLOOKUP(D3,product!$A:$A,product!$B:$B,,0))</f>
        <v>Quantum Power</v>
      </c>
    </row>
    <row r="4" spans="1:14" x14ac:dyDescent="0.35">
      <c r="A4" t="s">
        <v>53</v>
      </c>
      <c r="B4" s="3">
        <v>44967</v>
      </c>
      <c r="C4" t="s">
        <v>2643</v>
      </c>
      <c r="D4" t="s">
        <v>5206</v>
      </c>
      <c r="E4">
        <v>2</v>
      </c>
      <c r="F4" t="str">
        <f>_xlfn.XLOOKUP(C4,customers!$A$1:$A$983,customers!$B$1:$B$983,,0)</f>
        <v>Paul Thomas</v>
      </c>
      <c r="G4" t="str">
        <f>_xlfn.XLOOKUP(C4,customers!$A:$A,customers!$C:$C,,0)</f>
        <v>paul.thomas541@hotmail.com</v>
      </c>
      <c r="H4" t="str">
        <f>IF(_xlfn.XLOOKUP(C4,customers!$A:$A,customers!$G:$G,,0)=0,"",_xlfn.XLOOKUP(C4,customers!$A:$A,customers!$G:$G,,0))</f>
        <v>USA</v>
      </c>
      <c r="I4" t="str">
        <f>IF(_xlfn.XLOOKUP(D4,product!$A:$A,product!$E:$E,,0)=0,"",_xlfn.XLOOKUP(D4,product!$A:$A,product!$E:$E,,0))</f>
        <v>BUSINESS</v>
      </c>
      <c r="J4" s="5">
        <f>IF(_xlfn.XLOOKUP(D4,product!$A:$A,product!$D:$D,,0)=0,"",_xlfn.XLOOKUP(D4,product!$A:$A,product!$D:$D,,0))</f>
        <v>31.32</v>
      </c>
      <c r="K4" s="7">
        <f t="shared" si="0"/>
        <v>62.64</v>
      </c>
      <c r="L4" s="10" t="str">
        <f>IF(_xlfn.XLOOKUP(D4,product!$A:$A,product!$F:$F,,0)=0,"",_xlfn.XLOOKUP(D4,product!$A:$A,product!$F:$F,,0))</f>
        <v>No</v>
      </c>
      <c r="M4" t="str">
        <f>IF(_xlfn.XLOOKUP(D4,product!$A:$A,product!G:G,,0)=0,"",_xlfn.XLOOKUP(D4,product!$A:$A,product!G:G,,0))</f>
        <v>Silver</v>
      </c>
      <c r="N4" t="str">
        <f>IF(_xlfn.XLOOKUP(D4,product!$A:$A,product!$B:$B,,0)=0,"",_xlfn.XLOOKUP(D4,product!$A:$A,product!$B:$B,,0))</f>
        <v>Mind Journey</v>
      </c>
    </row>
    <row r="5" spans="1:14" x14ac:dyDescent="0.35">
      <c r="A5" t="s">
        <v>140</v>
      </c>
      <c r="B5" s="3">
        <v>45064</v>
      </c>
      <c r="C5" t="s">
        <v>1894</v>
      </c>
      <c r="D5" t="s">
        <v>5209</v>
      </c>
      <c r="E5">
        <v>2</v>
      </c>
      <c r="F5" t="str">
        <f>_xlfn.XLOOKUP(C5,customers!$A$1:$A$983,customers!$B$1:$B$983,,0)</f>
        <v>Emma Lopez</v>
      </c>
      <c r="G5" t="str">
        <f>_xlfn.XLOOKUP(C5,customers!$A:$A,customers!$C:$C,,0)</f>
        <v>emma.lopez227@gmail.com</v>
      </c>
      <c r="H5" t="str">
        <f>IF(_xlfn.XLOOKUP(C5,customers!$A:$A,customers!$G:$G,,0)=0,"",_xlfn.XLOOKUP(C5,customers!$A:$A,customers!$G:$G,,0))</f>
        <v>Pakistan</v>
      </c>
      <c r="I5" t="str">
        <f>IF(_xlfn.XLOOKUP(D5,product!$A:$A,product!$E:$E,,0)=0,"",_xlfn.XLOOKUP(D5,product!$A:$A,product!$E:$E,,0))</f>
        <v>BUSINESS</v>
      </c>
      <c r="J5" s="5">
        <f>IF(_xlfn.XLOOKUP(D5,product!$A:$A,product!$D:$D,,0)=0,"",_xlfn.XLOOKUP(D5,product!$A:$A,product!$D:$D,,0))</f>
        <v>30.46</v>
      </c>
      <c r="K5" s="7">
        <f t="shared" si="0"/>
        <v>60.92</v>
      </c>
      <c r="L5" s="10" t="str">
        <f>IF(_xlfn.XLOOKUP(D5,product!$A:$A,product!$F:$F,,0)=0,"",_xlfn.XLOOKUP(D5,product!$A:$A,product!$F:$F,,0))</f>
        <v>No</v>
      </c>
      <c r="M5" t="str">
        <f>IF(_xlfn.XLOOKUP(D5,product!$A:$A,product!G:G,,0)=0,"",_xlfn.XLOOKUP(D5,product!$A:$A,product!G:G,,0))</f>
        <v>None</v>
      </c>
      <c r="N5" t="str">
        <f>IF(_xlfn.XLOOKUP(D5,product!$A:$A,product!$B:$B,,0)=0,"",_xlfn.XLOOKUP(D5,product!$A:$A,product!$B:$B,,0))</f>
        <v>Journey Forest</v>
      </c>
    </row>
    <row r="6" spans="1:14" x14ac:dyDescent="0.35">
      <c r="A6" t="s">
        <v>157</v>
      </c>
      <c r="B6" s="3">
        <v>45110</v>
      </c>
      <c r="C6" t="s">
        <v>1919</v>
      </c>
      <c r="D6" t="s">
        <v>5211</v>
      </c>
      <c r="E6">
        <v>2</v>
      </c>
      <c r="F6" t="str">
        <f>_xlfn.XLOOKUP(C6,customers!$A$1:$A$983,customers!$B$1:$B$983,,0)</f>
        <v>Zoe Lee</v>
      </c>
      <c r="G6" t="str">
        <f>_xlfn.XLOOKUP(C6,customers!$A:$A,customers!$C:$C,,0)</f>
        <v>zoe.lee235@outlook.com</v>
      </c>
      <c r="H6" t="str">
        <f>IF(_xlfn.XLOOKUP(C6,customers!$A:$A,customers!$G:$G,,0)=0,"",_xlfn.XLOOKUP(C6,customers!$A:$A,customers!$G:$G,,0))</f>
        <v>USA</v>
      </c>
      <c r="I6" t="str">
        <f>IF(_xlfn.XLOOKUP(D6,product!$A:$A,product!$E:$E,,0)=0,"",_xlfn.XLOOKUP(D6,product!$A:$A,product!$E:$E,,0))</f>
        <v>BUSINESS</v>
      </c>
      <c r="J6" s="5">
        <f>IF(_xlfn.XLOOKUP(D6,product!$A:$A,product!$D:$D,,0)=0,"",_xlfn.XLOOKUP(D6,product!$A:$A,product!$D:$D,,0))</f>
        <v>31.45</v>
      </c>
      <c r="K6" s="7">
        <f t="shared" si="0"/>
        <v>62.9</v>
      </c>
      <c r="L6" s="10" t="str">
        <f>IF(_xlfn.XLOOKUP(D6,product!$A:$A,product!$F:$F,,0)=0,"",_xlfn.XLOOKUP(D6,product!$A:$A,product!$F:$F,,0))</f>
        <v>No</v>
      </c>
      <c r="M6" t="str">
        <f>IF(_xlfn.XLOOKUP(D6,product!$A:$A,product!G:G,,0)=0,"",_xlfn.XLOOKUP(D6,product!$A:$A,product!G:G,,0))</f>
        <v>Silver</v>
      </c>
      <c r="N6" t="str">
        <f>IF(_xlfn.XLOOKUP(D6,product!$A:$A,product!$B:$B,,0)=0,"",_xlfn.XLOOKUP(D6,product!$A:$A,product!$B:$B,,0))</f>
        <v>Secrets Forest</v>
      </c>
    </row>
    <row r="7" spans="1:14" x14ac:dyDescent="0.35">
      <c r="A7" t="s">
        <v>174</v>
      </c>
      <c r="B7" s="3">
        <v>45549</v>
      </c>
      <c r="C7" t="s">
        <v>1107</v>
      </c>
      <c r="D7" t="s">
        <v>5213</v>
      </c>
      <c r="E7">
        <v>1</v>
      </c>
      <c r="F7" t="str">
        <f>_xlfn.XLOOKUP(C7,customers!$A$1:$A$983,customers!$B$1:$B$983,,0)</f>
        <v>Emily Anderson</v>
      </c>
      <c r="G7" t="str">
        <f>_xlfn.XLOOKUP(C7,customers!$A:$A,customers!$C:$C,,0)</f>
        <v>emily.anderson18@gmail.com</v>
      </c>
      <c r="H7" t="str">
        <f>IF(_xlfn.XLOOKUP(C7,customers!$A:$A,customers!$G:$G,,0)=0,"",_xlfn.XLOOKUP(C7,customers!$A:$A,customers!$G:$G,,0))</f>
        <v>Germany</v>
      </c>
      <c r="I7" t="str">
        <f>IF(_xlfn.XLOOKUP(D7,product!$A:$A,product!$E:$E,,0)=0,"",_xlfn.XLOOKUP(D7,product!$A:$A,product!$E:$E,,0))</f>
        <v>FICTION</v>
      </c>
      <c r="J7" s="5">
        <f>IF(_xlfn.XLOOKUP(D7,product!$A:$A,product!$D:$D,,0)=0,"",_xlfn.XLOOKUP(D7,product!$A:$A,product!$D:$D,,0))</f>
        <v>17.41</v>
      </c>
      <c r="K7" s="7">
        <f t="shared" si="0"/>
        <v>17.41</v>
      </c>
      <c r="L7" s="10" t="str">
        <f>IF(_xlfn.XLOOKUP(D7,product!$A:$A,product!$F:$F,,0)=0,"",_xlfn.XLOOKUP(D7,product!$A:$A,product!$F:$F,,0))</f>
        <v>No</v>
      </c>
      <c r="M7" t="str">
        <f>IF(_xlfn.XLOOKUP(D7,product!$A:$A,product!G:G,,0)=0,"",_xlfn.XLOOKUP(D7,product!$A:$A,product!G:G,,0))</f>
        <v>None</v>
      </c>
      <c r="N7" t="str">
        <f>IF(_xlfn.XLOOKUP(D7,product!$A:$A,product!$B:$B,,0)=0,"",_xlfn.XLOOKUP(D7,product!$A:$A,product!$B:$B,,0))</f>
        <v>Forest Silent</v>
      </c>
    </row>
    <row r="8" spans="1:14" x14ac:dyDescent="0.35">
      <c r="A8" t="s">
        <v>191</v>
      </c>
      <c r="B8" s="3">
        <v>45255</v>
      </c>
      <c r="C8" t="s">
        <v>2433</v>
      </c>
      <c r="D8" t="s">
        <v>5216</v>
      </c>
      <c r="E8">
        <v>1</v>
      </c>
      <c r="F8" t="str">
        <f>_xlfn.XLOOKUP(C8,customers!$A$1:$A$983,customers!$B$1:$B$983,,0)</f>
        <v>James Allen</v>
      </c>
      <c r="G8" t="str">
        <f>_xlfn.XLOOKUP(C8,customers!$A:$A,customers!$C:$C,,0)</f>
        <v>james.allen440@outlook.com</v>
      </c>
      <c r="H8" t="str">
        <f>IF(_xlfn.XLOOKUP(C8,customers!$A:$A,customers!$G:$G,,0)=0,"",_xlfn.XLOOKUP(C8,customers!$A:$A,customers!$G:$G,,0))</f>
        <v>Spain</v>
      </c>
      <c r="I8" t="str">
        <f>IF(_xlfn.XLOOKUP(D8,product!$A:$A,product!$E:$E,,0)=0,"",_xlfn.XLOOKUP(D8,product!$A:$A,product!$E:$E,,0))</f>
        <v>TECH</v>
      </c>
      <c r="J8" s="5">
        <f>IF(_xlfn.XLOOKUP(D8,product!$A:$A,product!$D:$D,,0)=0,"",_xlfn.XLOOKUP(D8,product!$A:$A,product!$D:$D,,0))</f>
        <v>11.13</v>
      </c>
      <c r="K8" s="7">
        <f t="shared" si="0"/>
        <v>11.13</v>
      </c>
      <c r="L8" s="10" t="str">
        <f>IF(_xlfn.XLOOKUP(D8,product!$A:$A,product!$F:$F,,0)=0,"",_xlfn.XLOOKUP(D8,product!$A:$A,product!$F:$F,,0))</f>
        <v>Yes</v>
      </c>
      <c r="M8" t="str">
        <f>IF(_xlfn.XLOOKUP(D8,product!$A:$A,product!G:G,,0)=0,"",_xlfn.XLOOKUP(D8,product!$A:$A,product!G:G,,0))</f>
        <v>Silver</v>
      </c>
      <c r="N8" t="str">
        <f>IF(_xlfn.XLOOKUP(D8,product!$A:$A,product!$B:$B,,0)=0,"",_xlfn.XLOOKUP(D8,product!$A:$A,product!$B:$B,,0))</f>
        <v>Data Mind</v>
      </c>
    </row>
    <row r="9" spans="1:14" x14ac:dyDescent="0.35">
      <c r="A9" t="s">
        <v>208</v>
      </c>
      <c r="B9" s="3">
        <v>45350</v>
      </c>
      <c r="C9" t="s">
        <v>2345</v>
      </c>
      <c r="D9" t="s">
        <v>5218</v>
      </c>
      <c r="E9">
        <v>1</v>
      </c>
      <c r="F9" t="str">
        <f>_xlfn.XLOOKUP(C9,customers!$A$1:$A$983,customers!$B$1:$B$983,,0)</f>
        <v>Thomas Hill</v>
      </c>
      <c r="G9" t="str">
        <f>_xlfn.XLOOKUP(C9,customers!$A:$A,customers!$C:$C,,0)</f>
        <v>thomas.hill400@yahoo.com</v>
      </c>
      <c r="H9" t="str">
        <f>IF(_xlfn.XLOOKUP(C9,customers!$A:$A,customers!$G:$G,,0)=0,"",_xlfn.XLOOKUP(C9,customers!$A:$A,customers!$G:$G,,0))</f>
        <v>Sweden</v>
      </c>
      <c r="I9" t="str">
        <f>IF(_xlfn.XLOOKUP(D9,product!$A:$A,product!$E:$E,,0)=0,"",_xlfn.XLOOKUP(D9,product!$A:$A,product!$E:$E,,0))</f>
        <v>BUSINESS</v>
      </c>
      <c r="J9" s="5">
        <f>IF(_xlfn.XLOOKUP(D9,product!$A:$A,product!$D:$D,,0)=0,"",_xlfn.XLOOKUP(D9,product!$A:$A,product!$D:$D,,0))</f>
        <v>31.29</v>
      </c>
      <c r="K9" s="7">
        <f t="shared" si="0"/>
        <v>31.29</v>
      </c>
      <c r="L9" s="10" t="str">
        <f>IF(_xlfn.XLOOKUP(D9,product!$A:$A,product!$F:$F,,0)=0,"",_xlfn.XLOOKUP(D9,product!$A:$A,product!$F:$F,,0))</f>
        <v>Yes</v>
      </c>
      <c r="M9" t="str">
        <f>IF(_xlfn.XLOOKUP(D9,product!$A:$A,product!G:G,,0)=0,"",_xlfn.XLOOKUP(D9,product!$A:$A,product!G:G,,0))</f>
        <v>None</v>
      </c>
      <c r="N9" t="str">
        <f>IF(_xlfn.XLOOKUP(D9,product!$A:$A,product!$B:$B,,0)=0,"",_xlfn.XLOOKUP(D9,product!$A:$A,product!$B:$B,,0))</f>
        <v>Secrets Quantum</v>
      </c>
    </row>
    <row r="10" spans="1:14" x14ac:dyDescent="0.35">
      <c r="A10" t="s">
        <v>225</v>
      </c>
      <c r="B10" s="3">
        <v>45157</v>
      </c>
      <c r="C10" t="s">
        <v>2302</v>
      </c>
      <c r="D10" t="s">
        <v>5220</v>
      </c>
      <c r="E10">
        <v>1</v>
      </c>
      <c r="F10" t="str">
        <f>_xlfn.XLOOKUP(C10,customers!$A$1:$A$983,customers!$B$1:$B$983,,0)</f>
        <v>Peter Adams</v>
      </c>
      <c r="G10" t="str">
        <f>_xlfn.XLOOKUP(C10,customers!$A:$A,customers!$C:$C,,0)</f>
        <v>peter.adams380@gmail.com</v>
      </c>
      <c r="H10" t="str">
        <f>IF(_xlfn.XLOOKUP(C10,customers!$A:$A,customers!$G:$G,,0)=0,"",_xlfn.XLOOKUP(C10,customers!$A:$A,customers!$G:$G,,0))</f>
        <v>UAE</v>
      </c>
      <c r="I10" t="str">
        <f>IF(_xlfn.XLOOKUP(D10,product!$A:$A,product!$E:$E,,0)=0,"",_xlfn.XLOOKUP(D10,product!$A:$A,product!$E:$E,,0))</f>
        <v>BUSINESS</v>
      </c>
      <c r="J10" s="5">
        <f>IF(_xlfn.XLOOKUP(D10,product!$A:$A,product!$D:$D,,0)=0,"",_xlfn.XLOOKUP(D10,product!$A:$A,product!$D:$D,,0))</f>
        <v>10.51</v>
      </c>
      <c r="K10" s="7">
        <f t="shared" si="0"/>
        <v>10.51</v>
      </c>
      <c r="L10" s="10" t="str">
        <f>IF(_xlfn.XLOOKUP(D10,product!$A:$A,product!$F:$F,,0)=0,"",_xlfn.XLOOKUP(D10,product!$A:$A,product!$F:$F,,0))</f>
        <v>Yes</v>
      </c>
      <c r="M10" t="str">
        <f>IF(_xlfn.XLOOKUP(D10,product!$A:$A,product!G:G,,0)=0,"",_xlfn.XLOOKUP(D10,product!$A:$A,product!G:G,,0))</f>
        <v>None</v>
      </c>
      <c r="N10" t="str">
        <f>IF(_xlfn.XLOOKUP(D10,product!$A:$A,product!$B:$B,,0)=0,"",_xlfn.XLOOKUP(D10,product!$A:$A,product!$B:$B,,0))</f>
        <v>Secrets Data</v>
      </c>
    </row>
    <row r="11" spans="1:14" x14ac:dyDescent="0.35">
      <c r="A11" t="s">
        <v>242</v>
      </c>
      <c r="B11" s="3">
        <v>45387</v>
      </c>
      <c r="C11" t="s">
        <v>3004</v>
      </c>
      <c r="D11" t="s">
        <v>5223</v>
      </c>
      <c r="E11">
        <v>1</v>
      </c>
      <c r="F11" t="str">
        <f>_xlfn.XLOOKUP(C11,customers!$A$1:$A$983,customers!$B$1:$B$983,,0)</f>
        <v>Emily Young</v>
      </c>
      <c r="G11" t="str">
        <f>_xlfn.XLOOKUP(C11,customers!$A:$A,customers!$C:$C,,0)</f>
        <v>emily.young715@hotmail.com</v>
      </c>
      <c r="H11" t="str">
        <f>IF(_xlfn.XLOOKUP(C11,customers!$A:$A,customers!$G:$G,,0)=0,"",_xlfn.XLOOKUP(C11,customers!$A:$A,customers!$G:$G,,0))</f>
        <v>Sweden</v>
      </c>
      <c r="I11" t="str">
        <f>IF(_xlfn.XLOOKUP(D11,product!$A:$A,product!$E:$E,,0)=0,"",_xlfn.XLOOKUP(D11,product!$A:$A,product!$E:$E,,0))</f>
        <v>FICTION</v>
      </c>
      <c r="J11" s="5">
        <f>IF(_xlfn.XLOOKUP(D11,product!$A:$A,product!$D:$D,,0)=0,"",_xlfn.XLOOKUP(D11,product!$A:$A,product!$D:$D,,0))</f>
        <v>23.32</v>
      </c>
      <c r="K11" s="7">
        <f t="shared" si="0"/>
        <v>23.32</v>
      </c>
      <c r="L11" s="10" t="str">
        <f>IF(_xlfn.XLOOKUP(D11,product!$A:$A,product!$F:$F,,0)=0,"",_xlfn.XLOOKUP(D11,product!$A:$A,product!$F:$F,,0))</f>
        <v>Yes</v>
      </c>
      <c r="M11" t="str">
        <f>IF(_xlfn.XLOOKUP(D11,product!$A:$A,product!G:G,,0)=0,"",_xlfn.XLOOKUP(D11,product!$A:$A,product!G:G,,0))</f>
        <v>Silver</v>
      </c>
      <c r="N11" t="str">
        <f>IF(_xlfn.XLOOKUP(D11,product!$A:$A,product!$B:$B,,0)=0,"",_xlfn.XLOOKUP(D11,product!$A:$A,product!$B:$B,,0))</f>
        <v>Silent Future</v>
      </c>
    </row>
    <row r="12" spans="1:14" x14ac:dyDescent="0.35">
      <c r="A12" t="s">
        <v>259</v>
      </c>
      <c r="B12" s="3">
        <v>45268</v>
      </c>
      <c r="C12" t="s">
        <v>3477</v>
      </c>
      <c r="D12" t="s">
        <v>5226</v>
      </c>
      <c r="E12">
        <v>1</v>
      </c>
      <c r="F12" t="str">
        <f>_xlfn.XLOOKUP(C12,customers!$A$1:$A$983,customers!$B$1:$B$983,,0)</f>
        <v>George Allen</v>
      </c>
      <c r="G12" t="str">
        <f>_xlfn.XLOOKUP(C12,customers!$A:$A,customers!$C:$C,,0)</f>
        <v>george.allen953@hotmail.com</v>
      </c>
      <c r="H12" t="str">
        <f>IF(_xlfn.XLOOKUP(C12,customers!$A:$A,customers!$G:$G,,0)=0,"",_xlfn.XLOOKUP(C12,customers!$A:$A,customers!$G:$G,,0))</f>
        <v>Russia</v>
      </c>
      <c r="I12" t="str">
        <f>IF(_xlfn.XLOOKUP(D12,product!$A:$A,product!$E:$E,,0)=0,"",_xlfn.XLOOKUP(D12,product!$A:$A,product!$E:$E,,0))</f>
        <v>TECH</v>
      </c>
      <c r="J12" s="5">
        <f>IF(_xlfn.XLOOKUP(D12,product!$A:$A,product!$D:$D,,0)=0,"",_xlfn.XLOOKUP(D12,product!$A:$A,product!$D:$D,,0))</f>
        <v>39.22</v>
      </c>
      <c r="K12" s="7">
        <f t="shared" si="0"/>
        <v>39.22</v>
      </c>
      <c r="L12" s="10" t="str">
        <f>IF(_xlfn.XLOOKUP(D12,product!$A:$A,product!$F:$F,,0)=0,"",_xlfn.XLOOKUP(D12,product!$A:$A,product!$F:$F,,0))</f>
        <v>Yes</v>
      </c>
      <c r="M12" t="str">
        <f>IF(_xlfn.XLOOKUP(D12,product!$A:$A,product!G:G,,0)=0,"",_xlfn.XLOOKUP(D12,product!$A:$A,product!G:G,,0))</f>
        <v>Silver</v>
      </c>
      <c r="N12" t="str">
        <f>IF(_xlfn.XLOOKUP(D12,product!$A:$A,product!$B:$B,,0)=0,"",_xlfn.XLOOKUP(D12,product!$A:$A,product!$B:$B,,0))</f>
        <v>Science Future</v>
      </c>
    </row>
    <row r="13" spans="1:14" x14ac:dyDescent="0.35">
      <c r="A13" t="s">
        <v>276</v>
      </c>
      <c r="B13" s="3">
        <v>45464</v>
      </c>
      <c r="C13" t="s">
        <v>1916</v>
      </c>
      <c r="D13" t="s">
        <v>5229</v>
      </c>
      <c r="E13">
        <v>1</v>
      </c>
      <c r="F13" t="str">
        <f>_xlfn.XLOOKUP(C13,customers!$A$1:$A$983,customers!$B$1:$B$983,,0)</f>
        <v>Andrew Jackson</v>
      </c>
      <c r="G13" t="str">
        <f>_xlfn.XLOOKUP(C13,customers!$A:$A,customers!$C:$C,,0)</f>
        <v>andrew.jackson234@gmail.com</v>
      </c>
      <c r="H13" t="str">
        <f>IF(_xlfn.XLOOKUP(C13,customers!$A:$A,customers!$G:$G,,0)=0,"",_xlfn.XLOOKUP(C13,customers!$A:$A,customers!$G:$G,,0))</f>
        <v>Germany</v>
      </c>
      <c r="I13" t="str">
        <f>IF(_xlfn.XLOOKUP(D13,product!$A:$A,product!$E:$E,,0)=0,"",_xlfn.XLOOKUP(D13,product!$A:$A,product!$E:$E,,0))</f>
        <v>FICTION</v>
      </c>
      <c r="J13" s="5">
        <f>IF(_xlfn.XLOOKUP(D13,product!$A:$A,product!$D:$D,,0)=0,"",_xlfn.XLOOKUP(D13,product!$A:$A,product!$D:$D,,0))</f>
        <v>28.12</v>
      </c>
      <c r="K13" s="7">
        <f t="shared" si="0"/>
        <v>28.12</v>
      </c>
      <c r="L13" s="10" t="str">
        <f>IF(_xlfn.XLOOKUP(D13,product!$A:$A,product!$F:$F,,0)=0,"",_xlfn.XLOOKUP(D13,product!$A:$A,product!$F:$F,,0))</f>
        <v>No</v>
      </c>
      <c r="M13" t="str">
        <f>IF(_xlfn.XLOOKUP(D13,product!$A:$A,product!G:G,,0)=0,"",_xlfn.XLOOKUP(D13,product!$A:$A,product!G:G,,0))</f>
        <v>Gold</v>
      </c>
      <c r="N13" t="str">
        <f>IF(_xlfn.XLOOKUP(D13,product!$A:$A,product!$B:$B,,0)=0,"",_xlfn.XLOOKUP(D13,product!$A:$A,product!$B:$B,,0))</f>
        <v>Secrets Data</v>
      </c>
    </row>
    <row r="14" spans="1:14" x14ac:dyDescent="0.35">
      <c r="A14" t="s">
        <v>293</v>
      </c>
      <c r="B14" s="3">
        <v>45229</v>
      </c>
      <c r="C14" t="s">
        <v>3034</v>
      </c>
      <c r="D14" t="s">
        <v>5231</v>
      </c>
      <c r="E14">
        <v>1</v>
      </c>
      <c r="F14" t="str">
        <f>_xlfn.XLOOKUP(C14,customers!$A$1:$A$983,customers!$B$1:$B$983,,0)</f>
        <v>Emma Walker</v>
      </c>
      <c r="G14" t="str">
        <f>_xlfn.XLOOKUP(C14,customers!$A:$A,customers!$C:$C,,0)</f>
        <v>emma.walker730@yahoo.com</v>
      </c>
      <c r="H14" t="str">
        <f>IF(_xlfn.XLOOKUP(C14,customers!$A:$A,customers!$G:$G,,0)=0,"",_xlfn.XLOOKUP(C14,customers!$A:$A,customers!$G:$G,,0))</f>
        <v>USA</v>
      </c>
      <c r="I14" t="str">
        <f>IF(_xlfn.XLOOKUP(D14,product!$A:$A,product!$E:$E,,0)=0,"",_xlfn.XLOOKUP(D14,product!$A:$A,product!$E:$E,,0))</f>
        <v>TECH</v>
      </c>
      <c r="J14" s="5">
        <f>IF(_xlfn.XLOOKUP(D14,product!$A:$A,product!$D:$D,,0)=0,"",_xlfn.XLOOKUP(D14,product!$A:$A,product!$D:$D,,0))</f>
        <v>20.59</v>
      </c>
      <c r="K14" s="7">
        <f t="shared" si="0"/>
        <v>20.59</v>
      </c>
      <c r="L14" s="10" t="str">
        <f>IF(_xlfn.XLOOKUP(D14,product!$A:$A,product!$F:$F,,0)=0,"",_xlfn.XLOOKUP(D14,product!$A:$A,product!$F:$F,,0))</f>
        <v>Yes</v>
      </c>
      <c r="M14" t="str">
        <f>IF(_xlfn.XLOOKUP(D14,product!$A:$A,product!G:G,,0)=0,"",_xlfn.XLOOKUP(D14,product!$A:$A,product!G:G,,0))</f>
        <v>Silver</v>
      </c>
      <c r="N14" t="str">
        <f>IF(_xlfn.XLOOKUP(D14,product!$A:$A,product!$B:$B,,0)=0,"",_xlfn.XLOOKUP(D14,product!$A:$A,product!$B:$B,,0))</f>
        <v>Data Quantum</v>
      </c>
    </row>
    <row r="15" spans="1:14" x14ac:dyDescent="0.35">
      <c r="A15" t="s">
        <v>310</v>
      </c>
      <c r="B15" s="3">
        <v>45308</v>
      </c>
      <c r="C15" t="s">
        <v>3287</v>
      </c>
      <c r="D15" t="s">
        <v>5233</v>
      </c>
      <c r="E15">
        <v>1</v>
      </c>
      <c r="F15" t="str">
        <f>_xlfn.XLOOKUP(C15,customers!$A$1:$A$983,customers!$B$1:$B$983,,0)</f>
        <v>Lily Lewis</v>
      </c>
      <c r="G15" t="str">
        <f>_xlfn.XLOOKUP(C15,customers!$A:$A,customers!$C:$C,,0)</f>
        <v>lily.lewis857@outlook.com</v>
      </c>
      <c r="H15" t="str">
        <f>IF(_xlfn.XLOOKUP(C15,customers!$A:$A,customers!$G:$G,,0)=0,"",_xlfn.XLOOKUP(C15,customers!$A:$A,customers!$G:$G,,0))</f>
        <v>Japan</v>
      </c>
      <c r="I15" t="str">
        <f>IF(_xlfn.XLOOKUP(D15,product!$A:$A,product!$E:$E,,0)=0,"",_xlfn.XLOOKUP(D15,product!$A:$A,product!$E:$E,,0))</f>
        <v>HISTORY</v>
      </c>
      <c r="J15" s="5">
        <f>IF(_xlfn.XLOOKUP(D15,product!$A:$A,product!$D:$D,,0)=0,"",_xlfn.XLOOKUP(D15,product!$A:$A,product!$D:$D,,0))</f>
        <v>38.630000000000003</v>
      </c>
      <c r="K15" s="7">
        <f t="shared" si="0"/>
        <v>38.630000000000003</v>
      </c>
      <c r="L15" s="10" t="str">
        <f>IF(_xlfn.XLOOKUP(D15,product!$A:$A,product!$F:$F,,0)=0,"",_xlfn.XLOOKUP(D15,product!$A:$A,product!$F:$F,,0))</f>
        <v>No</v>
      </c>
      <c r="M15" t="str">
        <f>IF(_xlfn.XLOOKUP(D15,product!$A:$A,product!G:G,,0)=0,"",_xlfn.XLOOKUP(D15,product!$A:$A,product!G:G,,0))</f>
        <v>None</v>
      </c>
      <c r="N15" t="str">
        <f>IF(_xlfn.XLOOKUP(D15,product!$A:$A,product!$B:$B,,0)=0,"",_xlfn.XLOOKUP(D15,product!$A:$A,product!$B:$B,,0))</f>
        <v>Quantum Secrets</v>
      </c>
    </row>
    <row r="16" spans="1:14" x14ac:dyDescent="0.35">
      <c r="A16" t="s">
        <v>327</v>
      </c>
      <c r="B16" s="3">
        <v>45088</v>
      </c>
      <c r="C16" t="s">
        <v>2555</v>
      </c>
      <c r="D16" t="s">
        <v>5236</v>
      </c>
      <c r="E16">
        <v>1</v>
      </c>
      <c r="F16" t="str">
        <f>_xlfn.XLOOKUP(C16,customers!$A$1:$A$983,customers!$B$1:$B$983,,0)</f>
        <v>Laura Clark</v>
      </c>
      <c r="G16" t="str">
        <f>_xlfn.XLOOKUP(C16,customers!$A:$A,customers!$C:$C,,0)</f>
        <v>laura.clark498@outlook.com</v>
      </c>
      <c r="H16" t="str">
        <f>IF(_xlfn.XLOOKUP(C16,customers!$A:$A,customers!$G:$G,,0)=0,"",_xlfn.XLOOKUP(C16,customers!$A:$A,customers!$G:$G,,0))</f>
        <v>Japan</v>
      </c>
      <c r="I16" t="str">
        <f>IF(_xlfn.XLOOKUP(D16,product!$A:$A,product!$E:$E,,0)=0,"",_xlfn.XLOOKUP(D16,product!$A:$A,product!$E:$E,,0))</f>
        <v>BUSINESS</v>
      </c>
      <c r="J16" s="5">
        <f>IF(_xlfn.XLOOKUP(D16,product!$A:$A,product!$D:$D,,0)=0,"",_xlfn.XLOOKUP(D16,product!$A:$A,product!$D:$D,,0))</f>
        <v>33.54</v>
      </c>
      <c r="K16" s="7">
        <f t="shared" si="0"/>
        <v>33.54</v>
      </c>
      <c r="L16" s="10" t="str">
        <f>IF(_xlfn.XLOOKUP(D16,product!$A:$A,product!$F:$F,,0)=0,"",_xlfn.XLOOKUP(D16,product!$A:$A,product!$F:$F,,0))</f>
        <v>Yes</v>
      </c>
      <c r="M16" t="str">
        <f>IF(_xlfn.XLOOKUP(D16,product!$A:$A,product!G:G,,0)=0,"",_xlfn.XLOOKUP(D16,product!$A:$A,product!G:G,,0))</f>
        <v>None</v>
      </c>
      <c r="N16" t="str">
        <f>IF(_xlfn.XLOOKUP(D16,product!$A:$A,product!$B:$B,,0)=0,"",_xlfn.XLOOKUP(D16,product!$A:$A,product!$B:$B,,0))</f>
        <v>Power Data</v>
      </c>
    </row>
    <row r="17" spans="1:14" x14ac:dyDescent="0.35">
      <c r="A17" t="s">
        <v>344</v>
      </c>
      <c r="B17" s="3">
        <v>45502</v>
      </c>
      <c r="C17" t="s">
        <v>1805</v>
      </c>
      <c r="D17" t="s">
        <v>5238</v>
      </c>
      <c r="E17">
        <v>1</v>
      </c>
      <c r="F17" t="str">
        <f>_xlfn.XLOOKUP(C17,customers!$A$1:$A$983,customers!$B$1:$B$983,,0)</f>
        <v>Mia Thomas</v>
      </c>
      <c r="G17" t="str">
        <f>_xlfn.XLOOKUP(C17,customers!$A:$A,customers!$C:$C,,0)</f>
        <v>mia.thomas200@outlook.com</v>
      </c>
      <c r="H17" t="str">
        <f>IF(_xlfn.XLOOKUP(C17,customers!$A:$A,customers!$G:$G,,0)=0,"",_xlfn.XLOOKUP(C17,customers!$A:$A,customers!$G:$G,,0))</f>
        <v>Pakistan</v>
      </c>
      <c r="I17" t="str">
        <f>IF(_xlfn.XLOOKUP(D17,product!$A:$A,product!$E:$E,,0)=0,"",_xlfn.XLOOKUP(D17,product!$A:$A,product!$E:$E,,0))</f>
        <v>SCIENCE</v>
      </c>
      <c r="J17" s="5">
        <f>IF(_xlfn.XLOOKUP(D17,product!$A:$A,product!$D:$D,,0)=0,"",_xlfn.XLOOKUP(D17,product!$A:$A,product!$D:$D,,0))</f>
        <v>38.770000000000003</v>
      </c>
      <c r="K17" s="7">
        <f t="shared" si="0"/>
        <v>38.770000000000003</v>
      </c>
      <c r="L17" s="10" t="str">
        <f>IF(_xlfn.XLOOKUP(D17,product!$A:$A,product!$F:$F,,0)=0,"",_xlfn.XLOOKUP(D17,product!$A:$A,product!$F:$F,,0))</f>
        <v>Yes</v>
      </c>
      <c r="M17" t="str">
        <f>IF(_xlfn.XLOOKUP(D17,product!$A:$A,product!G:G,,0)=0,"",_xlfn.XLOOKUP(D17,product!$A:$A,product!G:G,,0))</f>
        <v>Silver</v>
      </c>
      <c r="N17" t="str">
        <f>IF(_xlfn.XLOOKUP(D17,product!$A:$A,product!$B:$B,,0)=0,"",_xlfn.XLOOKUP(D17,product!$A:$A,product!$B:$B,,0))</f>
        <v>Science Silent</v>
      </c>
    </row>
    <row r="18" spans="1:14" x14ac:dyDescent="0.35">
      <c r="A18" t="s">
        <v>361</v>
      </c>
      <c r="B18" s="3">
        <v>45018</v>
      </c>
      <c r="C18" t="s">
        <v>3147</v>
      </c>
      <c r="D18" t="s">
        <v>5241</v>
      </c>
      <c r="E18">
        <v>1</v>
      </c>
      <c r="F18" t="str">
        <f>_xlfn.XLOOKUP(C18,customers!$A$1:$A$983,customers!$B$1:$B$983,,0)</f>
        <v>Olivia Harris</v>
      </c>
      <c r="G18" t="str">
        <f>_xlfn.XLOOKUP(C18,customers!$A:$A,customers!$C:$C,,0)</f>
        <v>olivia.harris786@gmail.com</v>
      </c>
      <c r="H18" t="str">
        <f>IF(_xlfn.XLOOKUP(C18,customers!$A:$A,customers!$G:$G,,0)=0,"",_xlfn.XLOOKUP(C18,customers!$A:$A,customers!$G:$G,,0))</f>
        <v>Japan</v>
      </c>
      <c r="I18" t="str">
        <f>IF(_xlfn.XLOOKUP(D18,product!$A:$A,product!$E:$E,,0)=0,"",_xlfn.XLOOKUP(D18,product!$A:$A,product!$E:$E,,0))</f>
        <v>SCIENCE</v>
      </c>
      <c r="J18" s="5">
        <f>IF(_xlfn.XLOOKUP(D18,product!$A:$A,product!$D:$D,,0)=0,"",_xlfn.XLOOKUP(D18,product!$A:$A,product!$D:$D,,0))</f>
        <v>31.33</v>
      </c>
      <c r="K18" s="7">
        <f t="shared" si="0"/>
        <v>31.33</v>
      </c>
      <c r="L18" s="10" t="str">
        <f>IF(_xlfn.XLOOKUP(D18,product!$A:$A,product!$F:$F,,0)=0,"",_xlfn.XLOOKUP(D18,product!$A:$A,product!$F:$F,,0))</f>
        <v>Yes</v>
      </c>
      <c r="M18" t="str">
        <f>IF(_xlfn.XLOOKUP(D18,product!$A:$A,product!G:G,,0)=0,"",_xlfn.XLOOKUP(D18,product!$A:$A,product!G:G,,0))</f>
        <v>Silver</v>
      </c>
      <c r="N18" t="str">
        <f>IF(_xlfn.XLOOKUP(D18,product!$A:$A,product!$B:$B,,0)=0,"",_xlfn.XLOOKUP(D18,product!$A:$A,product!$B:$B,,0))</f>
        <v>Science Quantum</v>
      </c>
    </row>
    <row r="19" spans="1:14" x14ac:dyDescent="0.35">
      <c r="A19" t="s">
        <v>378</v>
      </c>
      <c r="B19" s="3">
        <v>45606</v>
      </c>
      <c r="C19" t="s">
        <v>3076</v>
      </c>
      <c r="D19" t="s">
        <v>5243</v>
      </c>
      <c r="E19">
        <v>1</v>
      </c>
      <c r="F19" t="str">
        <f>_xlfn.XLOOKUP(C19,customers!$A$1:$A$983,customers!$B$1:$B$983,,0)</f>
        <v>Emma Lopez</v>
      </c>
      <c r="G19" t="str">
        <f>_xlfn.XLOOKUP(C19,customers!$A:$A,customers!$C:$C,,0)</f>
        <v>emma.lopez750@gmail.com</v>
      </c>
      <c r="H19" t="str">
        <f>IF(_xlfn.XLOOKUP(C19,customers!$A:$A,customers!$G:$G,,0)=0,"",_xlfn.XLOOKUP(C19,customers!$A:$A,customers!$G:$G,,0))</f>
        <v>Japan</v>
      </c>
      <c r="I19" t="str">
        <f>IF(_xlfn.XLOOKUP(D19,product!$A:$A,product!$E:$E,,0)=0,"",_xlfn.XLOOKUP(D19,product!$A:$A,product!$E:$E,,0))</f>
        <v>TECH</v>
      </c>
      <c r="J19" s="5">
        <f>IF(_xlfn.XLOOKUP(D19,product!$A:$A,product!$D:$D,,0)=0,"",_xlfn.XLOOKUP(D19,product!$A:$A,product!$D:$D,,0))</f>
        <v>31.75</v>
      </c>
      <c r="K19" s="7">
        <f t="shared" si="0"/>
        <v>31.75</v>
      </c>
      <c r="L19" s="10" t="str">
        <f>IF(_xlfn.XLOOKUP(D19,product!$A:$A,product!$F:$F,,0)=0,"",_xlfn.XLOOKUP(D19,product!$A:$A,product!$F:$F,,0))</f>
        <v>Yes</v>
      </c>
      <c r="M19" t="str">
        <f>IF(_xlfn.XLOOKUP(D19,product!$A:$A,product!G:G,,0)=0,"",_xlfn.XLOOKUP(D19,product!$A:$A,product!G:G,,0))</f>
        <v>Gold</v>
      </c>
      <c r="N19" t="str">
        <f>IF(_xlfn.XLOOKUP(D19,product!$A:$A,product!$B:$B,,0)=0,"",_xlfn.XLOOKUP(D19,product!$A:$A,product!$B:$B,,0))</f>
        <v>Mind Quantum</v>
      </c>
    </row>
    <row r="20" spans="1:14" x14ac:dyDescent="0.35">
      <c r="A20" t="s">
        <v>395</v>
      </c>
      <c r="B20" s="3">
        <v>45176</v>
      </c>
      <c r="C20" t="s">
        <v>1558</v>
      </c>
      <c r="D20" t="s">
        <v>5246</v>
      </c>
      <c r="E20">
        <v>1</v>
      </c>
      <c r="F20" t="str">
        <f>_xlfn.XLOOKUP(C20,customers!$A$1:$A$983,customers!$B$1:$B$983,,0)</f>
        <v>Mark Garcia</v>
      </c>
      <c r="G20" t="str">
        <f>_xlfn.XLOOKUP(C20,customers!$A:$A,customers!$C:$C,,0)</f>
        <v>mark.garcia139@yahoo.com</v>
      </c>
      <c r="H20" t="str">
        <f>IF(_xlfn.XLOOKUP(C20,customers!$A:$A,customers!$G:$G,,0)=0,"",_xlfn.XLOOKUP(C20,customers!$A:$A,customers!$G:$G,,0))</f>
        <v>Sweden</v>
      </c>
      <c r="I20" t="str">
        <f>IF(_xlfn.XLOOKUP(D20,product!$A:$A,product!$E:$E,,0)=0,"",_xlfn.XLOOKUP(D20,product!$A:$A,product!$E:$E,,0))</f>
        <v>TECH</v>
      </c>
      <c r="J20" s="5">
        <f>IF(_xlfn.XLOOKUP(D20,product!$A:$A,product!$D:$D,,0)=0,"",_xlfn.XLOOKUP(D20,product!$A:$A,product!$D:$D,,0))</f>
        <v>28.67</v>
      </c>
      <c r="K20" s="7">
        <f t="shared" si="0"/>
        <v>28.67</v>
      </c>
      <c r="L20" s="10" t="str">
        <f>IF(_xlfn.XLOOKUP(D20,product!$A:$A,product!$F:$F,,0)=0,"",_xlfn.XLOOKUP(D20,product!$A:$A,product!$F:$F,,0))</f>
        <v>Yes</v>
      </c>
      <c r="M20" t="str">
        <f>IF(_xlfn.XLOOKUP(D20,product!$A:$A,product!G:G,,0)=0,"",_xlfn.XLOOKUP(D20,product!$A:$A,product!G:G,,0))</f>
        <v>None</v>
      </c>
      <c r="N20" t="str">
        <f>IF(_xlfn.XLOOKUP(D20,product!$A:$A,product!$B:$B,,0)=0,"",_xlfn.XLOOKUP(D20,product!$A:$A,product!$B:$B,,0))</f>
        <v>Mind Data</v>
      </c>
    </row>
    <row r="21" spans="1:14" x14ac:dyDescent="0.35">
      <c r="A21" t="s">
        <v>412</v>
      </c>
      <c r="B21" s="3">
        <v>45367</v>
      </c>
      <c r="C21" t="s">
        <v>3043</v>
      </c>
      <c r="D21" t="s">
        <v>5249</v>
      </c>
      <c r="E21">
        <v>1</v>
      </c>
      <c r="F21" t="str">
        <f>_xlfn.XLOOKUP(C21,customers!$A$1:$A$983,customers!$B$1:$B$983,,0)</f>
        <v>William Hill</v>
      </c>
      <c r="G21" t="str">
        <f>_xlfn.XLOOKUP(C21,customers!$A:$A,customers!$C:$C,,0)</f>
        <v>william.hill734@hotmail.com</v>
      </c>
      <c r="H21" t="str">
        <f>IF(_xlfn.XLOOKUP(C21,customers!$A:$A,customers!$G:$G,,0)=0,"",_xlfn.XLOOKUP(C21,customers!$A:$A,customers!$G:$G,,0))</f>
        <v>Egypt</v>
      </c>
      <c r="I21" t="str">
        <f>IF(_xlfn.XLOOKUP(D21,product!$A:$A,product!$E:$E,,0)=0,"",_xlfn.XLOOKUP(D21,product!$A:$A,product!$E:$E,,0))</f>
        <v>TECH</v>
      </c>
      <c r="J21" s="5">
        <f>IF(_xlfn.XLOOKUP(D21,product!$A:$A,product!$D:$D,,0)=0,"",_xlfn.XLOOKUP(D21,product!$A:$A,product!$D:$D,,0))</f>
        <v>12.77</v>
      </c>
      <c r="K21" s="7">
        <f t="shared" si="0"/>
        <v>12.77</v>
      </c>
      <c r="L21" s="10" t="str">
        <f>IF(_xlfn.XLOOKUP(D21,product!$A:$A,product!$F:$F,,0)=0,"",_xlfn.XLOOKUP(D21,product!$A:$A,product!$F:$F,,0))</f>
        <v>Yes</v>
      </c>
      <c r="M21" t="str">
        <f>IF(_xlfn.XLOOKUP(D21,product!$A:$A,product!G:G,,0)=0,"",_xlfn.XLOOKUP(D21,product!$A:$A,product!G:G,,0))</f>
        <v>None</v>
      </c>
      <c r="N21" t="str">
        <f>IF(_xlfn.XLOOKUP(D21,product!$A:$A,product!$B:$B,,0)=0,"",_xlfn.XLOOKUP(D21,product!$A:$A,product!$B:$B,,0))</f>
        <v>Silent Secrets</v>
      </c>
    </row>
    <row r="22" spans="1:14" x14ac:dyDescent="0.35">
      <c r="A22" t="s">
        <v>429</v>
      </c>
      <c r="B22" s="3">
        <v>44981</v>
      </c>
      <c r="C22" t="s">
        <v>3481</v>
      </c>
      <c r="D22" t="s">
        <v>5252</v>
      </c>
      <c r="E22">
        <v>1</v>
      </c>
      <c r="F22" t="str">
        <f>_xlfn.XLOOKUP(C22,customers!$A$1:$A$983,customers!$B$1:$B$983,,0)</f>
        <v>Isabella Thomas</v>
      </c>
      <c r="G22" t="str">
        <f>_xlfn.XLOOKUP(C22,customers!$A:$A,customers!$C:$C,,0)</f>
        <v>isabella.thomas955@yahoo.com</v>
      </c>
      <c r="H22" t="str">
        <f>IF(_xlfn.XLOOKUP(C22,customers!$A:$A,customers!$G:$G,,0)=0,"",_xlfn.XLOOKUP(C22,customers!$A:$A,customers!$G:$G,,0))</f>
        <v>Kenya</v>
      </c>
      <c r="I22" t="str">
        <f>IF(_xlfn.XLOOKUP(D22,product!$A:$A,product!$E:$E,,0)=0,"",_xlfn.XLOOKUP(D22,product!$A:$A,product!$E:$E,,0))</f>
        <v>FICTION</v>
      </c>
      <c r="J22" s="5">
        <f>IF(_xlfn.XLOOKUP(D22,product!$A:$A,product!$D:$D,,0)=0,"",_xlfn.XLOOKUP(D22,product!$A:$A,product!$D:$D,,0))</f>
        <v>28.36</v>
      </c>
      <c r="K22" s="7">
        <f t="shared" si="0"/>
        <v>28.36</v>
      </c>
      <c r="L22" s="10" t="str">
        <f>IF(_xlfn.XLOOKUP(D22,product!$A:$A,product!$F:$F,,0)=0,"",_xlfn.XLOOKUP(D22,product!$A:$A,product!$F:$F,,0))</f>
        <v>No</v>
      </c>
      <c r="M22" t="str">
        <f>IF(_xlfn.XLOOKUP(D22,product!$A:$A,product!G:G,,0)=0,"",_xlfn.XLOOKUP(D22,product!$A:$A,product!G:G,,0))</f>
        <v>None</v>
      </c>
      <c r="N22" t="str">
        <f>IF(_xlfn.XLOOKUP(D22,product!$A:$A,product!$B:$B,,0)=0,"",_xlfn.XLOOKUP(D22,product!$A:$A,product!$B:$B,,0))</f>
        <v>Future Power</v>
      </c>
    </row>
    <row r="23" spans="1:14" x14ac:dyDescent="0.35">
      <c r="A23" t="s">
        <v>446</v>
      </c>
      <c r="B23" s="3">
        <v>45516</v>
      </c>
      <c r="C23" t="s">
        <v>3473</v>
      </c>
      <c r="D23" t="s">
        <v>5255</v>
      </c>
      <c r="E23">
        <v>1</v>
      </c>
      <c r="F23" t="str">
        <f>_xlfn.XLOOKUP(C23,customers!$A$1:$A$983,customers!$B$1:$B$983,,0)</f>
        <v>Mark Johnson</v>
      </c>
      <c r="G23" t="str">
        <f>_xlfn.XLOOKUP(C23,customers!$A:$A,customers!$C:$C,,0)</f>
        <v>mark.johnson951@hotmail.com</v>
      </c>
      <c r="H23" t="str">
        <f>IF(_xlfn.XLOOKUP(C23,customers!$A:$A,customers!$G:$G,,0)=0,"",_xlfn.XLOOKUP(C23,customers!$A:$A,customers!$G:$G,,0))</f>
        <v>Japan</v>
      </c>
      <c r="I23" t="str">
        <f>IF(_xlfn.XLOOKUP(D23,product!$A:$A,product!$E:$E,,0)=0,"",_xlfn.XLOOKUP(D23,product!$A:$A,product!$E:$E,,0))</f>
        <v>BUSINESS</v>
      </c>
      <c r="J23" s="5">
        <f>IF(_xlfn.XLOOKUP(D23,product!$A:$A,product!$D:$D,,0)=0,"",_xlfn.XLOOKUP(D23,product!$A:$A,product!$D:$D,,0))</f>
        <v>27.33</v>
      </c>
      <c r="K23" s="7">
        <f t="shared" si="0"/>
        <v>27.33</v>
      </c>
      <c r="L23" s="10" t="str">
        <f>IF(_xlfn.XLOOKUP(D23,product!$A:$A,product!$F:$F,,0)=0,"",_xlfn.XLOOKUP(D23,product!$A:$A,product!$F:$F,,0))</f>
        <v>No</v>
      </c>
      <c r="M23" t="str">
        <f>IF(_xlfn.XLOOKUP(D23,product!$A:$A,product!G:G,,0)=0,"",_xlfn.XLOOKUP(D23,product!$A:$A,product!G:G,,0))</f>
        <v>Silver</v>
      </c>
      <c r="N23" t="str">
        <f>IF(_xlfn.XLOOKUP(D23,product!$A:$A,product!$B:$B,,0)=0,"",_xlfn.XLOOKUP(D23,product!$A:$A,product!$B:$B,,0))</f>
        <v>Science Future</v>
      </c>
    </row>
    <row r="24" spans="1:14" x14ac:dyDescent="0.35">
      <c r="A24" t="s">
        <v>463</v>
      </c>
      <c r="B24" s="3">
        <v>45051</v>
      </c>
      <c r="C24" t="s">
        <v>2702</v>
      </c>
      <c r="D24" t="s">
        <v>5257</v>
      </c>
      <c r="E24">
        <v>1</v>
      </c>
      <c r="F24" t="str">
        <f>_xlfn.XLOOKUP(C24,customers!$A$1:$A$983,customers!$B$1:$B$983,,0)</f>
        <v>Charlotte Brown</v>
      </c>
      <c r="G24" t="str">
        <f>_xlfn.XLOOKUP(C24,customers!$A:$A,customers!$C:$C,,0)</f>
        <v>charlotte.brown569@outlook.com</v>
      </c>
      <c r="H24" t="str">
        <f>IF(_xlfn.XLOOKUP(C24,customers!$A:$A,customers!$G:$G,,0)=0,"",_xlfn.XLOOKUP(C24,customers!$A:$A,customers!$G:$G,,0))</f>
        <v>UAE</v>
      </c>
      <c r="I24" t="str">
        <f>IF(_xlfn.XLOOKUP(D24,product!$A:$A,product!$E:$E,,0)=0,"",_xlfn.XLOOKUP(D24,product!$A:$A,product!$E:$E,,0))</f>
        <v>TECH</v>
      </c>
      <c r="J24" s="5">
        <f>IF(_xlfn.XLOOKUP(D24,product!$A:$A,product!$D:$D,,0)=0,"",_xlfn.XLOOKUP(D24,product!$A:$A,product!$D:$D,,0))</f>
        <v>18.55</v>
      </c>
      <c r="K24" s="7">
        <f t="shared" si="0"/>
        <v>18.55</v>
      </c>
      <c r="L24" s="10" t="str">
        <f>IF(_xlfn.XLOOKUP(D24,product!$A:$A,product!$F:$F,,0)=0,"",_xlfn.XLOOKUP(D24,product!$A:$A,product!$F:$F,,0))</f>
        <v>Yes</v>
      </c>
      <c r="M24" t="str">
        <f>IF(_xlfn.XLOOKUP(D24,product!$A:$A,product!G:G,,0)=0,"",_xlfn.XLOOKUP(D24,product!$A:$A,product!G:G,,0))</f>
        <v>Silver</v>
      </c>
      <c r="N24" t="str">
        <f>IF(_xlfn.XLOOKUP(D24,product!$A:$A,product!$B:$B,,0)=0,"",_xlfn.XLOOKUP(D24,product!$A:$A,product!$B:$B,,0))</f>
        <v>Secrets Power</v>
      </c>
    </row>
    <row r="25" spans="1:14" x14ac:dyDescent="0.35">
      <c r="A25" t="s">
        <v>480</v>
      </c>
      <c r="B25" s="3">
        <v>45588</v>
      </c>
      <c r="C25" t="s">
        <v>1990</v>
      </c>
      <c r="D25" t="s">
        <v>5259</v>
      </c>
      <c r="E25">
        <v>1</v>
      </c>
      <c r="F25" t="str">
        <f>_xlfn.XLOOKUP(C25,customers!$A$1:$A$983,customers!$B$1:$B$983,,0)</f>
        <v>Anthony Lopez</v>
      </c>
      <c r="G25" t="str">
        <f>_xlfn.XLOOKUP(C25,customers!$A:$A,customers!$C:$C,,0)</f>
        <v>anthony.lopez257@yahoo.com</v>
      </c>
      <c r="H25" t="str">
        <f>IF(_xlfn.XLOOKUP(C25,customers!$A:$A,customers!$G:$G,,0)=0,"",_xlfn.XLOOKUP(C25,customers!$A:$A,customers!$G:$G,,0))</f>
        <v>Egypt</v>
      </c>
      <c r="I25" t="str">
        <f>IF(_xlfn.XLOOKUP(D25,product!$A:$A,product!$E:$E,,0)=0,"",_xlfn.XLOOKUP(D25,product!$A:$A,product!$E:$E,,0))</f>
        <v>TECH</v>
      </c>
      <c r="J25" s="5">
        <f>IF(_xlfn.XLOOKUP(D25,product!$A:$A,product!$D:$D,,0)=0,"",_xlfn.XLOOKUP(D25,product!$A:$A,product!$D:$D,,0))</f>
        <v>19.25</v>
      </c>
      <c r="K25" s="7">
        <f t="shared" si="0"/>
        <v>19.25</v>
      </c>
      <c r="L25" s="10" t="str">
        <f>IF(_xlfn.XLOOKUP(D25,product!$A:$A,product!$F:$F,,0)=0,"",_xlfn.XLOOKUP(D25,product!$A:$A,product!$F:$F,,0))</f>
        <v>No</v>
      </c>
      <c r="M25" t="str">
        <f>IF(_xlfn.XLOOKUP(D25,product!$A:$A,product!G:G,,0)=0,"",_xlfn.XLOOKUP(D25,product!$A:$A,product!G:G,,0))</f>
        <v>None</v>
      </c>
      <c r="N25" t="str">
        <f>IF(_xlfn.XLOOKUP(D25,product!$A:$A,product!$B:$B,,0)=0,"",_xlfn.XLOOKUP(D25,product!$A:$A,product!$B:$B,,0))</f>
        <v>Data Journey</v>
      </c>
    </row>
    <row r="26" spans="1:14" x14ac:dyDescent="0.35">
      <c r="A26" t="s">
        <v>497</v>
      </c>
      <c r="B26" s="3">
        <v>45126</v>
      </c>
      <c r="C26" t="s">
        <v>1500</v>
      </c>
      <c r="D26" t="s">
        <v>5262</v>
      </c>
      <c r="E26">
        <v>1</v>
      </c>
      <c r="F26" t="str">
        <f>_xlfn.XLOOKUP(C26,customers!$A$1:$A$983,customers!$B$1:$B$983,,0)</f>
        <v>Andrew Hall</v>
      </c>
      <c r="G26" t="str">
        <f>_xlfn.XLOOKUP(C26,customers!$A:$A,customers!$C:$C,,0)</f>
        <v>andrew.hall123@yahoo.com</v>
      </c>
      <c r="H26" t="str">
        <f>IF(_xlfn.XLOOKUP(C26,customers!$A:$A,customers!$G:$G,,0)=0,"",_xlfn.XLOOKUP(C26,customers!$A:$A,customers!$G:$G,,0))</f>
        <v>Spain</v>
      </c>
      <c r="I26" t="str">
        <f>IF(_xlfn.XLOOKUP(D26,product!$A:$A,product!$E:$E,,0)=0,"",_xlfn.XLOOKUP(D26,product!$A:$A,product!$E:$E,,0))</f>
        <v>BUSINESS</v>
      </c>
      <c r="J26" s="5">
        <f>IF(_xlfn.XLOOKUP(D26,product!$A:$A,product!$D:$D,,0)=0,"",_xlfn.XLOOKUP(D26,product!$A:$A,product!$D:$D,,0))</f>
        <v>37.31</v>
      </c>
      <c r="K26" s="7">
        <f t="shared" si="0"/>
        <v>37.31</v>
      </c>
      <c r="L26" s="10" t="str">
        <f>IF(_xlfn.XLOOKUP(D26,product!$A:$A,product!$F:$F,,0)=0,"",_xlfn.XLOOKUP(D26,product!$A:$A,product!$F:$F,,0))</f>
        <v>Yes</v>
      </c>
      <c r="M26" t="str">
        <f>IF(_xlfn.XLOOKUP(D26,product!$A:$A,product!G:G,,0)=0,"",_xlfn.XLOOKUP(D26,product!$A:$A,product!G:G,,0))</f>
        <v>Silver</v>
      </c>
      <c r="N26" t="str">
        <f>IF(_xlfn.XLOOKUP(D26,product!$A:$A,product!$B:$B,,0)=0,"",_xlfn.XLOOKUP(D26,product!$A:$A,product!$B:$B,,0))</f>
        <v>Silent Secrets</v>
      </c>
    </row>
    <row r="27" spans="1:14" x14ac:dyDescent="0.35">
      <c r="A27" t="s">
        <v>514</v>
      </c>
      <c r="B27" s="3">
        <v>45657</v>
      </c>
      <c r="C27" t="s">
        <v>3253</v>
      </c>
      <c r="D27" t="s">
        <v>5263</v>
      </c>
      <c r="E27">
        <v>1</v>
      </c>
      <c r="F27" t="str">
        <f>_xlfn.XLOOKUP(C27,customers!$A$1:$A$983,customers!$B$1:$B$983,,0)</f>
        <v>Olivia Lee</v>
      </c>
      <c r="G27" t="str">
        <f>_xlfn.XLOOKUP(C27,customers!$A:$A,customers!$C:$C,,0)</f>
        <v>olivia.lee840@hotmail.com</v>
      </c>
      <c r="H27" t="str">
        <f>IF(_xlfn.XLOOKUP(C27,customers!$A:$A,customers!$G:$G,,0)=0,"",_xlfn.XLOOKUP(C27,customers!$A:$A,customers!$G:$G,,0))</f>
        <v>China</v>
      </c>
      <c r="I27" t="str">
        <f>IF(_xlfn.XLOOKUP(D27,product!$A:$A,product!$E:$E,,0)=0,"",_xlfn.XLOOKUP(D27,product!$A:$A,product!$E:$E,,0))</f>
        <v>TECH</v>
      </c>
      <c r="J27" s="5">
        <f>IF(_xlfn.XLOOKUP(D27,product!$A:$A,product!$D:$D,,0)=0,"",_xlfn.XLOOKUP(D27,product!$A:$A,product!$D:$D,,0))</f>
        <v>21.9</v>
      </c>
      <c r="K27" s="7">
        <f t="shared" si="0"/>
        <v>21.9</v>
      </c>
      <c r="L27" s="10" t="str">
        <f>IF(_xlfn.XLOOKUP(D27,product!$A:$A,product!$F:$F,,0)=0,"",_xlfn.XLOOKUP(D27,product!$A:$A,product!$F:$F,,0))</f>
        <v>Yes</v>
      </c>
      <c r="M27" t="str">
        <f>IF(_xlfn.XLOOKUP(D27,product!$A:$A,product!G:G,,0)=0,"",_xlfn.XLOOKUP(D27,product!$A:$A,product!G:G,,0))</f>
        <v>Platinum</v>
      </c>
      <c r="N27" t="str">
        <f>IF(_xlfn.XLOOKUP(D27,product!$A:$A,product!$B:$B,,0)=0,"",_xlfn.XLOOKUP(D27,product!$A:$A,product!$B:$B,,0))</f>
        <v>Science Secrets</v>
      </c>
    </row>
    <row r="28" spans="1:14" x14ac:dyDescent="0.35">
      <c r="A28" t="s">
        <v>531</v>
      </c>
      <c r="B28" s="3">
        <v>44999</v>
      </c>
      <c r="C28" t="s">
        <v>3188</v>
      </c>
      <c r="D28" t="s">
        <v>5265</v>
      </c>
      <c r="E28">
        <v>1</v>
      </c>
      <c r="F28" t="str">
        <f>_xlfn.XLOOKUP(C28,customers!$A$1:$A$983,customers!$B$1:$B$983,,0)</f>
        <v>James Harris</v>
      </c>
      <c r="G28" t="str">
        <f>_xlfn.XLOOKUP(C28,customers!$A:$A,customers!$C:$C,,0)</f>
        <v>james.harris807@gmail.com</v>
      </c>
      <c r="H28" t="str">
        <f>IF(_xlfn.XLOOKUP(C28,customers!$A:$A,customers!$G:$G,,0)=0,"",_xlfn.XLOOKUP(C28,customers!$A:$A,customers!$G:$G,,0))</f>
        <v>Spain</v>
      </c>
      <c r="I28" t="str">
        <f>IF(_xlfn.XLOOKUP(D28,product!$A:$A,product!$E:$E,,0)=0,"",_xlfn.XLOOKUP(D28,product!$A:$A,product!$E:$E,,0))</f>
        <v>TECH</v>
      </c>
      <c r="J28" s="5">
        <f>IF(_xlfn.XLOOKUP(D28,product!$A:$A,product!$D:$D,,0)=0,"",_xlfn.XLOOKUP(D28,product!$A:$A,product!$D:$D,,0))</f>
        <v>11.28</v>
      </c>
      <c r="K28" s="7">
        <f t="shared" si="0"/>
        <v>11.28</v>
      </c>
      <c r="L28" s="10" t="str">
        <f>IF(_xlfn.XLOOKUP(D28,product!$A:$A,product!$F:$F,,0)=0,"",_xlfn.XLOOKUP(D28,product!$A:$A,product!$F:$F,,0))</f>
        <v>No</v>
      </c>
      <c r="M28" t="str">
        <f>IF(_xlfn.XLOOKUP(D28,product!$A:$A,product!G:G,,0)=0,"",_xlfn.XLOOKUP(D28,product!$A:$A,product!G:G,,0))</f>
        <v>None</v>
      </c>
      <c r="N28" t="str">
        <f>IF(_xlfn.XLOOKUP(D28,product!$A:$A,product!$B:$B,,0)=0,"",_xlfn.XLOOKUP(D28,product!$A:$A,product!$B:$B,,0))</f>
        <v>Forest Data</v>
      </c>
    </row>
    <row r="29" spans="1:14" x14ac:dyDescent="0.35">
      <c r="A29" t="s">
        <v>548</v>
      </c>
      <c r="B29" s="3">
        <v>45325</v>
      </c>
      <c r="C29" t="s">
        <v>3279</v>
      </c>
      <c r="D29" t="s">
        <v>5266</v>
      </c>
      <c r="E29">
        <v>1</v>
      </c>
      <c r="F29" t="str">
        <f>_xlfn.XLOOKUP(C29,customers!$A$1:$A$983,customers!$B$1:$B$983,,0)</f>
        <v>Ava Johnson</v>
      </c>
      <c r="G29" t="str">
        <f>_xlfn.XLOOKUP(C29,customers!$A:$A,customers!$C:$C,,0)</f>
        <v>ava.johnson853@yahoo.com</v>
      </c>
      <c r="H29" t="str">
        <f>IF(_xlfn.XLOOKUP(C29,customers!$A:$A,customers!$G:$G,,0)=0,"",_xlfn.XLOOKUP(C29,customers!$A:$A,customers!$G:$G,,0))</f>
        <v>Denmark</v>
      </c>
      <c r="I29" t="str">
        <f>IF(_xlfn.XLOOKUP(D29,product!$A:$A,product!$E:$E,,0)=0,"",_xlfn.XLOOKUP(D29,product!$A:$A,product!$E:$E,,0))</f>
        <v>BUSINESS</v>
      </c>
      <c r="J29" s="5">
        <f>IF(_xlfn.XLOOKUP(D29,product!$A:$A,product!$D:$D,,0)=0,"",_xlfn.XLOOKUP(D29,product!$A:$A,product!$D:$D,,0))</f>
        <v>25.09</v>
      </c>
      <c r="K29" s="7">
        <f t="shared" si="0"/>
        <v>25.09</v>
      </c>
      <c r="L29" s="10" t="str">
        <f>IF(_xlfn.XLOOKUP(D29,product!$A:$A,product!$F:$F,,0)=0,"",_xlfn.XLOOKUP(D29,product!$A:$A,product!$F:$F,,0))</f>
        <v>Yes</v>
      </c>
      <c r="M29" t="str">
        <f>IF(_xlfn.XLOOKUP(D29,product!$A:$A,product!G:G,,0)=0,"",_xlfn.XLOOKUP(D29,product!$A:$A,product!G:G,,0))</f>
        <v>Silver</v>
      </c>
      <c r="N29" t="str">
        <f>IF(_xlfn.XLOOKUP(D29,product!$A:$A,product!$B:$B,,0)=0,"",_xlfn.XLOOKUP(D29,product!$A:$A,product!$B:$B,,0))</f>
        <v>Journey Science</v>
      </c>
    </row>
    <row r="30" spans="1:14" x14ac:dyDescent="0.35">
      <c r="A30" t="s">
        <v>565</v>
      </c>
      <c r="B30" s="3">
        <v>45164</v>
      </c>
      <c r="C30" t="s">
        <v>2758</v>
      </c>
      <c r="D30" t="s">
        <v>5269</v>
      </c>
      <c r="E30">
        <v>1</v>
      </c>
      <c r="F30" t="str">
        <f>_xlfn.XLOOKUP(C30,customers!$A$1:$A$983,customers!$B$1:$B$983,,0)</f>
        <v>Sophia Robinson</v>
      </c>
      <c r="G30" t="str">
        <f>_xlfn.XLOOKUP(C30,customers!$A:$A,customers!$C:$C,,0)</f>
        <v>sophia.robinson596@outlook.com</v>
      </c>
      <c r="H30" t="str">
        <f>IF(_xlfn.XLOOKUP(C30,customers!$A:$A,customers!$G:$G,,0)=0,"",_xlfn.XLOOKUP(C30,customers!$A:$A,customers!$G:$G,,0))</f>
        <v>UAE</v>
      </c>
      <c r="I30" t="str">
        <f>IF(_xlfn.XLOOKUP(D30,product!$A:$A,product!$E:$E,,0)=0,"",_xlfn.XLOOKUP(D30,product!$A:$A,product!$E:$E,,0))</f>
        <v>SCIENCE</v>
      </c>
      <c r="J30" s="5">
        <f>IF(_xlfn.XLOOKUP(D30,product!$A:$A,product!$D:$D,,0)=0,"",_xlfn.XLOOKUP(D30,product!$A:$A,product!$D:$D,,0))</f>
        <v>34.630000000000003</v>
      </c>
      <c r="K30" s="7">
        <f t="shared" si="0"/>
        <v>34.630000000000003</v>
      </c>
      <c r="L30" s="10" t="str">
        <f>IF(_xlfn.XLOOKUP(D30,product!$A:$A,product!$F:$F,,0)=0,"",_xlfn.XLOOKUP(D30,product!$A:$A,product!$F:$F,,0))</f>
        <v>No</v>
      </c>
      <c r="M30" t="str">
        <f>IF(_xlfn.XLOOKUP(D30,product!$A:$A,product!G:G,,0)=0,"",_xlfn.XLOOKUP(D30,product!$A:$A,product!G:G,,0))</f>
        <v>Silver</v>
      </c>
      <c r="N30" t="str">
        <f>IF(_xlfn.XLOOKUP(D30,product!$A:$A,product!$B:$B,,0)=0,"",_xlfn.XLOOKUP(D30,product!$A:$A,product!$B:$B,,0))</f>
        <v>Mind Journey</v>
      </c>
    </row>
    <row r="31" spans="1:14" x14ac:dyDescent="0.35">
      <c r="A31" t="s">
        <v>582</v>
      </c>
      <c r="B31" s="3">
        <v>45421</v>
      </c>
      <c r="C31" t="s">
        <v>3194</v>
      </c>
      <c r="D31" t="s">
        <v>5271</v>
      </c>
      <c r="E31">
        <v>1</v>
      </c>
      <c r="F31" t="str">
        <f>_xlfn.XLOOKUP(C31,customers!$A$1:$A$983,customers!$B$1:$B$983,,0)</f>
        <v>David Scott</v>
      </c>
      <c r="G31" t="str">
        <f>_xlfn.XLOOKUP(C31,customers!$A:$A,customers!$C:$C,,0)</f>
        <v>david.scott810@gmail.com</v>
      </c>
      <c r="H31" t="str">
        <f>IF(_xlfn.XLOOKUP(C31,customers!$A:$A,customers!$G:$G,,0)=0,"",_xlfn.XLOOKUP(C31,customers!$A:$A,customers!$G:$G,,0))</f>
        <v>Germany</v>
      </c>
      <c r="I31" t="str">
        <f>IF(_xlfn.XLOOKUP(D31,product!$A:$A,product!$E:$E,,0)=0,"",_xlfn.XLOOKUP(D31,product!$A:$A,product!$E:$E,,0))</f>
        <v>BUSINESS</v>
      </c>
      <c r="J31" s="5">
        <f>IF(_xlfn.XLOOKUP(D31,product!$A:$A,product!$D:$D,,0)=0,"",_xlfn.XLOOKUP(D31,product!$A:$A,product!$D:$D,,0))</f>
        <v>31.7</v>
      </c>
      <c r="K31" s="7">
        <f t="shared" si="0"/>
        <v>31.7</v>
      </c>
      <c r="L31" s="10" t="str">
        <f>IF(_xlfn.XLOOKUP(D31,product!$A:$A,product!$F:$F,,0)=0,"",_xlfn.XLOOKUP(D31,product!$A:$A,product!$F:$F,,0))</f>
        <v>Yes</v>
      </c>
      <c r="M31" t="str">
        <f>IF(_xlfn.XLOOKUP(D31,product!$A:$A,product!G:G,,0)=0,"",_xlfn.XLOOKUP(D31,product!$A:$A,product!G:G,,0))</f>
        <v>Silver</v>
      </c>
      <c r="N31" t="str">
        <f>IF(_xlfn.XLOOKUP(D31,product!$A:$A,product!$B:$B,,0)=0,"",_xlfn.XLOOKUP(D31,product!$A:$A,product!$B:$B,,0))</f>
        <v>Mind Power</v>
      </c>
    </row>
    <row r="32" spans="1:14" x14ac:dyDescent="0.35">
      <c r="A32" t="s">
        <v>599</v>
      </c>
      <c r="B32" s="3">
        <v>45242</v>
      </c>
      <c r="C32" t="s">
        <v>2411</v>
      </c>
      <c r="D32" t="s">
        <v>5274</v>
      </c>
      <c r="E32">
        <v>1</v>
      </c>
      <c r="F32" t="str">
        <f>_xlfn.XLOOKUP(C32,customers!$A$1:$A$983,customers!$B$1:$B$983,,0)</f>
        <v>Edward Rodriguez</v>
      </c>
      <c r="G32" t="str">
        <f>_xlfn.XLOOKUP(C32,customers!$A:$A,customers!$C:$C,,0)</f>
        <v>edward.rodriguez430@hotmail.com</v>
      </c>
      <c r="H32" t="str">
        <f>IF(_xlfn.XLOOKUP(C32,customers!$A:$A,customers!$G:$G,,0)=0,"",_xlfn.XLOOKUP(C32,customers!$A:$A,customers!$G:$G,,0))</f>
        <v>Japan</v>
      </c>
      <c r="I32" t="str">
        <f>IF(_xlfn.XLOOKUP(D32,product!$A:$A,product!$E:$E,,0)=0,"",_xlfn.XLOOKUP(D32,product!$A:$A,product!$E:$E,,0))</f>
        <v>SCIENCE</v>
      </c>
      <c r="J32" s="5">
        <f>IF(_xlfn.XLOOKUP(D32,product!$A:$A,product!$D:$D,,0)=0,"",_xlfn.XLOOKUP(D32,product!$A:$A,product!$D:$D,,0))</f>
        <v>30.09</v>
      </c>
      <c r="K32" s="7">
        <f t="shared" si="0"/>
        <v>30.09</v>
      </c>
      <c r="L32" s="10" t="str">
        <f>IF(_xlfn.XLOOKUP(D32,product!$A:$A,product!$F:$F,,0)=0,"",_xlfn.XLOOKUP(D32,product!$A:$A,product!$F:$F,,0))</f>
        <v>Yes</v>
      </c>
      <c r="M32" t="str">
        <f>IF(_xlfn.XLOOKUP(D32,product!$A:$A,product!G:G,,0)=0,"",_xlfn.XLOOKUP(D32,product!$A:$A,product!G:G,,0))</f>
        <v>Silver</v>
      </c>
      <c r="N32" t="str">
        <f>IF(_xlfn.XLOOKUP(D32,product!$A:$A,product!$B:$B,,0)=0,"",_xlfn.XLOOKUP(D32,product!$A:$A,product!$B:$B,,0))</f>
        <v>Science Quantum</v>
      </c>
    </row>
    <row r="33" spans="1:14" x14ac:dyDescent="0.35">
      <c r="A33" t="s">
        <v>616</v>
      </c>
      <c r="B33" s="3">
        <v>45475</v>
      </c>
      <c r="C33" t="s">
        <v>2575</v>
      </c>
      <c r="D33" t="s">
        <v>5275</v>
      </c>
      <c r="E33">
        <v>1</v>
      </c>
      <c r="F33" t="str">
        <f>_xlfn.XLOOKUP(C33,customers!$A$1:$A$983,customers!$B$1:$B$983,,0)</f>
        <v>Daniel Martinez</v>
      </c>
      <c r="G33" t="str">
        <f>_xlfn.XLOOKUP(C33,customers!$A:$A,customers!$C:$C,,0)</f>
        <v>daniel.martinez508@outlook.com</v>
      </c>
      <c r="H33" t="str">
        <f>IF(_xlfn.XLOOKUP(C33,customers!$A:$A,customers!$G:$G,,0)=0,"",_xlfn.XLOOKUP(C33,customers!$A:$A,customers!$G:$G,,0))</f>
        <v>Sweden</v>
      </c>
      <c r="I33" t="str">
        <f>IF(_xlfn.XLOOKUP(D33,product!$A:$A,product!$E:$E,,0)=0,"",_xlfn.XLOOKUP(D33,product!$A:$A,product!$E:$E,,0))</f>
        <v>HISTORY</v>
      </c>
      <c r="J33" s="5">
        <f>IF(_xlfn.XLOOKUP(D33,product!$A:$A,product!$D:$D,,0)=0,"",_xlfn.XLOOKUP(D33,product!$A:$A,product!$D:$D,,0))</f>
        <v>30.4</v>
      </c>
      <c r="K33" s="7">
        <f t="shared" si="0"/>
        <v>30.4</v>
      </c>
      <c r="L33" s="10" t="str">
        <f>IF(_xlfn.XLOOKUP(D33,product!$A:$A,product!$F:$F,,0)=0,"",_xlfn.XLOOKUP(D33,product!$A:$A,product!$F:$F,,0))</f>
        <v>Yes</v>
      </c>
      <c r="M33" t="str">
        <f>IF(_xlfn.XLOOKUP(D33,product!$A:$A,product!G:G,,0)=0,"",_xlfn.XLOOKUP(D33,product!$A:$A,product!G:G,,0))</f>
        <v>Silver</v>
      </c>
      <c r="N33" t="str">
        <f>IF(_xlfn.XLOOKUP(D33,product!$A:$A,product!$B:$B,,0)=0,"",_xlfn.XLOOKUP(D33,product!$A:$A,product!$B:$B,,0))</f>
        <v>Science Forest</v>
      </c>
    </row>
    <row r="34" spans="1:14" x14ac:dyDescent="0.35">
      <c r="A34" t="s">
        <v>633</v>
      </c>
      <c r="B34" s="3">
        <v>45105</v>
      </c>
      <c r="C34" t="s">
        <v>2381</v>
      </c>
      <c r="D34" t="s">
        <v>5277</v>
      </c>
      <c r="E34">
        <v>1</v>
      </c>
      <c r="F34" t="str">
        <f>_xlfn.XLOOKUP(C34,customers!$A$1:$A$983,customers!$B$1:$B$983,,0)</f>
        <v>Paul Jackson</v>
      </c>
      <c r="G34" t="str">
        <f>_xlfn.XLOOKUP(C34,customers!$A:$A,customers!$C:$C,,0)</f>
        <v>paul.jackson416@outlook.com</v>
      </c>
      <c r="H34" t="str">
        <f>IF(_xlfn.XLOOKUP(C34,customers!$A:$A,customers!$G:$G,,0)=0,"",_xlfn.XLOOKUP(C34,customers!$A:$A,customers!$G:$G,,0))</f>
        <v>Pakistan</v>
      </c>
      <c r="I34" t="str">
        <f>IF(_xlfn.XLOOKUP(D34,product!$A:$A,product!$E:$E,,0)=0,"",_xlfn.XLOOKUP(D34,product!$A:$A,product!$E:$E,,0))</f>
        <v>TECH</v>
      </c>
      <c r="J34" s="5">
        <f>IF(_xlfn.XLOOKUP(D34,product!$A:$A,product!$D:$D,,0)=0,"",_xlfn.XLOOKUP(D34,product!$A:$A,product!$D:$D,,0))</f>
        <v>24</v>
      </c>
      <c r="K34" s="7">
        <f t="shared" si="0"/>
        <v>24</v>
      </c>
      <c r="L34" s="10" t="str">
        <f>IF(_xlfn.XLOOKUP(D34,product!$A:$A,product!$F:$F,,0)=0,"",_xlfn.XLOOKUP(D34,product!$A:$A,product!$F:$F,,0))</f>
        <v>Yes</v>
      </c>
      <c r="M34" t="str">
        <f>IF(_xlfn.XLOOKUP(D34,product!$A:$A,product!G:G,,0)=0,"",_xlfn.XLOOKUP(D34,product!$A:$A,product!G:G,,0))</f>
        <v>Silver</v>
      </c>
      <c r="N34" t="str">
        <f>IF(_xlfn.XLOOKUP(D34,product!$A:$A,product!$B:$B,,0)=0,"",_xlfn.XLOOKUP(D34,product!$A:$A,product!$B:$B,,0))</f>
        <v>Forest Silent</v>
      </c>
    </row>
    <row r="35" spans="1:14" x14ac:dyDescent="0.35">
      <c r="A35" t="s">
        <v>650</v>
      </c>
      <c r="B35" s="3">
        <v>45553</v>
      </c>
      <c r="C35" t="s">
        <v>1260</v>
      </c>
      <c r="D35" t="s">
        <v>5279</v>
      </c>
      <c r="E35">
        <v>1</v>
      </c>
      <c r="F35" t="str">
        <f>_xlfn.XLOOKUP(C35,customers!$A$1:$A$983,customers!$B$1:$B$983,,0)</f>
        <v>Amelia Thomas</v>
      </c>
      <c r="G35" t="str">
        <f>_xlfn.XLOOKUP(C35,customers!$A:$A,customers!$C:$C,,0)</f>
        <v>amelia.thomas54@hotmail.com</v>
      </c>
      <c r="H35" t="str">
        <f>IF(_xlfn.XLOOKUP(C35,customers!$A:$A,customers!$G:$G,,0)=0,"",_xlfn.XLOOKUP(C35,customers!$A:$A,customers!$G:$G,,0))</f>
        <v>Germany</v>
      </c>
      <c r="I35" t="str">
        <f>IF(_xlfn.XLOOKUP(D35,product!$A:$A,product!$E:$E,,0)=0,"",_xlfn.XLOOKUP(D35,product!$A:$A,product!$E:$E,,0))</f>
        <v>FICTION</v>
      </c>
      <c r="J35" s="5">
        <f>IF(_xlfn.XLOOKUP(D35,product!$A:$A,product!$D:$D,,0)=0,"",_xlfn.XLOOKUP(D35,product!$A:$A,product!$D:$D,,0))</f>
        <v>31.61</v>
      </c>
      <c r="K35" s="7">
        <f t="shared" si="0"/>
        <v>31.61</v>
      </c>
      <c r="L35" s="10" t="str">
        <f>IF(_xlfn.XLOOKUP(D35,product!$A:$A,product!$F:$F,,0)=0,"",_xlfn.XLOOKUP(D35,product!$A:$A,product!$F:$F,,0))</f>
        <v>No</v>
      </c>
      <c r="M35" t="str">
        <f>IF(_xlfn.XLOOKUP(D35,product!$A:$A,product!G:G,,0)=0,"",_xlfn.XLOOKUP(D35,product!$A:$A,product!G:G,,0))</f>
        <v>Silver</v>
      </c>
      <c r="N35" t="str">
        <f>IF(_xlfn.XLOOKUP(D35,product!$A:$A,product!$B:$B,,0)=0,"",_xlfn.XLOOKUP(D35,product!$A:$A,product!$B:$B,,0))</f>
        <v>Mind Quantum</v>
      </c>
    </row>
    <row r="36" spans="1:14" x14ac:dyDescent="0.35">
      <c r="A36" t="s">
        <v>667</v>
      </c>
      <c r="B36" s="3">
        <v>45037</v>
      </c>
      <c r="C36" t="s">
        <v>2385</v>
      </c>
      <c r="D36" t="s">
        <v>5280</v>
      </c>
      <c r="E36">
        <v>1</v>
      </c>
      <c r="F36" t="str">
        <f>_xlfn.XLOOKUP(C36,customers!$A$1:$A$983,customers!$B$1:$B$983,,0)</f>
        <v>Ella Thomas</v>
      </c>
      <c r="G36" t="str">
        <f>_xlfn.XLOOKUP(C36,customers!$A:$A,customers!$C:$C,,0)</f>
        <v>ella.thomas418@outlook.com</v>
      </c>
      <c r="H36" t="str">
        <f>IF(_xlfn.XLOOKUP(C36,customers!$A:$A,customers!$G:$G,,0)=0,"",_xlfn.XLOOKUP(C36,customers!$A:$A,customers!$G:$G,,0))</f>
        <v>Sweden</v>
      </c>
      <c r="I36" t="str">
        <f>IF(_xlfn.XLOOKUP(D36,product!$A:$A,product!$E:$E,,0)=0,"",_xlfn.XLOOKUP(D36,product!$A:$A,product!$E:$E,,0))</f>
        <v>FICTION</v>
      </c>
      <c r="J36" s="5">
        <f>IF(_xlfn.XLOOKUP(D36,product!$A:$A,product!$D:$D,,0)=0,"",_xlfn.XLOOKUP(D36,product!$A:$A,product!$D:$D,,0))</f>
        <v>10.91</v>
      </c>
      <c r="K36" s="7">
        <f t="shared" si="0"/>
        <v>10.91</v>
      </c>
      <c r="L36" s="10" t="str">
        <f>IF(_xlfn.XLOOKUP(D36,product!$A:$A,product!$F:$F,,0)=0,"",_xlfn.XLOOKUP(D36,product!$A:$A,product!$F:$F,,0))</f>
        <v>No</v>
      </c>
      <c r="M36" t="str">
        <f>IF(_xlfn.XLOOKUP(D36,product!$A:$A,product!G:G,,0)=0,"",_xlfn.XLOOKUP(D36,product!$A:$A,product!G:G,,0))</f>
        <v>Gold</v>
      </c>
      <c r="N36" t="str">
        <f>IF(_xlfn.XLOOKUP(D36,product!$A:$A,product!$B:$B,,0)=0,"",_xlfn.XLOOKUP(D36,product!$A:$A,product!$B:$B,,0))</f>
        <v>Journey Power</v>
      </c>
    </row>
    <row r="37" spans="1:14" x14ac:dyDescent="0.35">
      <c r="A37" t="s">
        <v>684</v>
      </c>
      <c r="B37" s="3">
        <v>45296</v>
      </c>
      <c r="C37" t="s">
        <v>1370</v>
      </c>
      <c r="D37" t="s">
        <v>5282</v>
      </c>
      <c r="E37">
        <v>1</v>
      </c>
      <c r="F37" t="str">
        <f>_xlfn.XLOOKUP(C37,customers!$A$1:$A$983,customers!$B$1:$B$983,,0)</f>
        <v>William Anderson</v>
      </c>
      <c r="G37" t="str">
        <f>_xlfn.XLOOKUP(C37,customers!$A:$A,customers!$C:$C,,0)</f>
        <v>william.anderson83@yahoo.com</v>
      </c>
      <c r="H37" t="str">
        <f>IF(_xlfn.XLOOKUP(C37,customers!$A:$A,customers!$G:$G,,0)=0,"",_xlfn.XLOOKUP(C37,customers!$A:$A,customers!$G:$G,,0))</f>
        <v>UAE</v>
      </c>
      <c r="I37" t="str">
        <f>IF(_xlfn.XLOOKUP(D37,product!$A:$A,product!$E:$E,,0)=0,"",_xlfn.XLOOKUP(D37,product!$A:$A,product!$E:$E,,0))</f>
        <v>FICTION</v>
      </c>
      <c r="J37" s="5">
        <f>IF(_xlfn.XLOOKUP(D37,product!$A:$A,product!$D:$D,,0)=0,"",_xlfn.XLOOKUP(D37,product!$A:$A,product!$D:$D,,0))</f>
        <v>15.21</v>
      </c>
      <c r="K37" s="7">
        <f t="shared" si="0"/>
        <v>15.21</v>
      </c>
      <c r="L37" s="10" t="str">
        <f>IF(_xlfn.XLOOKUP(D37,product!$A:$A,product!$F:$F,,0)=0,"",_xlfn.XLOOKUP(D37,product!$A:$A,product!$F:$F,,0))</f>
        <v>No</v>
      </c>
      <c r="M37" t="str">
        <f>IF(_xlfn.XLOOKUP(D37,product!$A:$A,product!G:G,,0)=0,"",_xlfn.XLOOKUP(D37,product!$A:$A,product!G:G,,0))</f>
        <v>None</v>
      </c>
      <c r="N37" t="str">
        <f>IF(_xlfn.XLOOKUP(D37,product!$A:$A,product!$B:$B,,0)=0,"",_xlfn.XLOOKUP(D37,product!$A:$A,product!$B:$B,,0))</f>
        <v>Future Quantum</v>
      </c>
    </row>
    <row r="38" spans="1:14" x14ac:dyDescent="0.35">
      <c r="A38" t="s">
        <v>701</v>
      </c>
      <c r="B38" s="3">
        <v>45206</v>
      </c>
      <c r="C38" t="s">
        <v>2540</v>
      </c>
      <c r="D38" t="s">
        <v>5284</v>
      </c>
      <c r="E38">
        <v>1</v>
      </c>
      <c r="F38" t="str">
        <f>_xlfn.XLOOKUP(C38,customers!$A$1:$A$983,customers!$B$1:$B$983,,0)</f>
        <v>Sophia Brown</v>
      </c>
      <c r="G38" t="str">
        <f>_xlfn.XLOOKUP(C38,customers!$A:$A,customers!$C:$C,,0)</f>
        <v>sophia.brown491@outlook.com</v>
      </c>
      <c r="H38" t="str">
        <f>IF(_xlfn.XLOOKUP(C38,customers!$A:$A,customers!$G:$G,,0)=0,"",_xlfn.XLOOKUP(C38,customers!$A:$A,customers!$G:$G,,0))</f>
        <v>Egypt</v>
      </c>
      <c r="I38" t="str">
        <f>IF(_xlfn.XLOOKUP(D38,product!$A:$A,product!$E:$E,,0)=0,"",_xlfn.XLOOKUP(D38,product!$A:$A,product!$E:$E,,0))</f>
        <v>BUSINESS</v>
      </c>
      <c r="J38" s="5">
        <f>IF(_xlfn.XLOOKUP(D38,product!$A:$A,product!$D:$D,,0)=0,"",_xlfn.XLOOKUP(D38,product!$A:$A,product!$D:$D,,0))</f>
        <v>10.28</v>
      </c>
      <c r="K38" s="7">
        <f t="shared" si="0"/>
        <v>10.28</v>
      </c>
      <c r="L38" s="10" t="str">
        <f>IF(_xlfn.XLOOKUP(D38,product!$A:$A,product!$F:$F,,0)=0,"",_xlfn.XLOOKUP(D38,product!$A:$A,product!$F:$F,,0))</f>
        <v>Yes</v>
      </c>
      <c r="M38" t="str">
        <f>IF(_xlfn.XLOOKUP(D38,product!$A:$A,product!G:G,,0)=0,"",_xlfn.XLOOKUP(D38,product!$A:$A,product!G:G,,0))</f>
        <v>Silver</v>
      </c>
      <c r="N38" t="str">
        <f>IF(_xlfn.XLOOKUP(D38,product!$A:$A,product!$B:$B,,0)=0,"",_xlfn.XLOOKUP(D38,product!$A:$A,product!$B:$B,,0))</f>
        <v>Silent Science</v>
      </c>
    </row>
    <row r="39" spans="1:14" x14ac:dyDescent="0.35">
      <c r="A39" t="s">
        <v>718</v>
      </c>
      <c r="B39" s="3">
        <v>45624</v>
      </c>
      <c r="C39" t="s">
        <v>2995</v>
      </c>
      <c r="D39" t="s">
        <v>5287</v>
      </c>
      <c r="E39">
        <v>1</v>
      </c>
      <c r="F39" t="str">
        <f>_xlfn.XLOOKUP(C39,customers!$A$1:$A$983,customers!$B$1:$B$983,,0)</f>
        <v>Robert Lee</v>
      </c>
      <c r="G39" t="str">
        <f>_xlfn.XLOOKUP(C39,customers!$A:$A,customers!$C:$C,,0)</f>
        <v>robert.lee711@outlook.com</v>
      </c>
      <c r="H39" t="str">
        <f>IF(_xlfn.XLOOKUP(C39,customers!$A:$A,customers!$G:$G,,0)=0,"",_xlfn.XLOOKUP(C39,customers!$A:$A,customers!$G:$G,,0))</f>
        <v>Germany</v>
      </c>
      <c r="I39" t="str">
        <f>IF(_xlfn.XLOOKUP(D39,product!$A:$A,product!$E:$E,,0)=0,"",_xlfn.XLOOKUP(D39,product!$A:$A,product!$E:$E,,0))</f>
        <v>TECH</v>
      </c>
      <c r="J39" s="5">
        <f>IF(_xlfn.XLOOKUP(D39,product!$A:$A,product!$D:$D,,0)=0,"",_xlfn.XLOOKUP(D39,product!$A:$A,product!$D:$D,,0))</f>
        <v>33.81</v>
      </c>
      <c r="K39" s="7">
        <f t="shared" si="0"/>
        <v>33.81</v>
      </c>
      <c r="L39" s="10" t="str">
        <f>IF(_xlfn.XLOOKUP(D39,product!$A:$A,product!$F:$F,,0)=0,"",_xlfn.XLOOKUP(D39,product!$A:$A,product!$F:$F,,0))</f>
        <v>Yes</v>
      </c>
      <c r="M39" t="str">
        <f>IF(_xlfn.XLOOKUP(D39,product!$A:$A,product!G:G,,0)=0,"",_xlfn.XLOOKUP(D39,product!$A:$A,product!G:G,,0))</f>
        <v>None</v>
      </c>
      <c r="N39" t="str">
        <f>IF(_xlfn.XLOOKUP(D39,product!$A:$A,product!$B:$B,,0)=0,"",_xlfn.XLOOKUP(D39,product!$A:$A,product!$B:$B,,0))</f>
        <v>Data Silent</v>
      </c>
    </row>
    <row r="40" spans="1:14" x14ac:dyDescent="0.35">
      <c r="A40" t="s">
        <v>735</v>
      </c>
      <c r="B40" s="3">
        <v>45275</v>
      </c>
      <c r="C40" t="s">
        <v>1281</v>
      </c>
      <c r="D40" t="s">
        <v>5289</v>
      </c>
      <c r="E40">
        <v>1</v>
      </c>
      <c r="F40" t="str">
        <f>_xlfn.XLOOKUP(C40,customers!$A$1:$A$983,customers!$B$1:$B$983,,0)</f>
        <v>Mark Adams</v>
      </c>
      <c r="G40" t="str">
        <f>_xlfn.XLOOKUP(C40,customers!$A:$A,customers!$C:$C,,0)</f>
        <v>mark.adams60@gmail.com</v>
      </c>
      <c r="H40" t="str">
        <f>IF(_xlfn.XLOOKUP(C40,customers!$A:$A,customers!$G:$G,,0)=0,"",_xlfn.XLOOKUP(C40,customers!$A:$A,customers!$G:$G,,0))</f>
        <v>Spain</v>
      </c>
      <c r="I40" t="str">
        <f>IF(_xlfn.XLOOKUP(D40,product!$A:$A,product!$E:$E,,0)=0,"",_xlfn.XLOOKUP(D40,product!$A:$A,product!$E:$E,,0))</f>
        <v>FICTION</v>
      </c>
      <c r="J40" s="5">
        <f>IF(_xlfn.XLOOKUP(D40,product!$A:$A,product!$D:$D,,0)=0,"",_xlfn.XLOOKUP(D40,product!$A:$A,product!$D:$D,,0))</f>
        <v>15.65</v>
      </c>
      <c r="K40" s="7">
        <f t="shared" si="0"/>
        <v>15.65</v>
      </c>
      <c r="L40" s="10" t="str">
        <f>IF(_xlfn.XLOOKUP(D40,product!$A:$A,product!$F:$F,,0)=0,"",_xlfn.XLOOKUP(D40,product!$A:$A,product!$F:$F,,0))</f>
        <v>Yes</v>
      </c>
      <c r="M40" t="str">
        <f>IF(_xlfn.XLOOKUP(D40,product!$A:$A,product!G:G,,0)=0,"",_xlfn.XLOOKUP(D40,product!$A:$A,product!G:G,,0))</f>
        <v>Silver</v>
      </c>
      <c r="N40" t="str">
        <f>IF(_xlfn.XLOOKUP(D40,product!$A:$A,product!$B:$B,,0)=0,"",_xlfn.XLOOKUP(D40,product!$A:$A,product!$B:$B,,0))</f>
        <v>Data Mind</v>
      </c>
    </row>
    <row r="41" spans="1:14" x14ac:dyDescent="0.35">
      <c r="A41" t="s">
        <v>752</v>
      </c>
      <c r="B41" s="3">
        <v>45375</v>
      </c>
      <c r="C41" t="s">
        <v>1641</v>
      </c>
      <c r="D41" t="s">
        <v>5290</v>
      </c>
      <c r="E41">
        <v>1</v>
      </c>
      <c r="F41" t="str">
        <f>_xlfn.XLOOKUP(C41,customers!$A$1:$A$983,customers!$B$1:$B$983,,0)</f>
        <v>Emma Brown</v>
      </c>
      <c r="G41" t="str">
        <f>_xlfn.XLOOKUP(C41,customers!$A:$A,customers!$C:$C,,0)</f>
        <v>emma.brown158@gmail.com</v>
      </c>
      <c r="H41" t="str">
        <f>IF(_xlfn.XLOOKUP(C41,customers!$A:$A,customers!$G:$G,,0)=0,"",_xlfn.XLOOKUP(C41,customers!$A:$A,customers!$G:$G,,0))</f>
        <v>Egypt</v>
      </c>
      <c r="I41" t="str">
        <f>IF(_xlfn.XLOOKUP(D41,product!$A:$A,product!$E:$E,,0)=0,"",_xlfn.XLOOKUP(D41,product!$A:$A,product!$E:$E,,0))</f>
        <v>FICTION</v>
      </c>
      <c r="J41" s="5">
        <f>IF(_xlfn.XLOOKUP(D41,product!$A:$A,product!$D:$D,,0)=0,"",_xlfn.XLOOKUP(D41,product!$A:$A,product!$D:$D,,0))</f>
        <v>30.01</v>
      </c>
      <c r="K41" s="7">
        <f t="shared" si="0"/>
        <v>30.01</v>
      </c>
      <c r="L41" s="10" t="str">
        <f>IF(_xlfn.XLOOKUP(D41,product!$A:$A,product!$F:$F,,0)=0,"",_xlfn.XLOOKUP(D41,product!$A:$A,product!$F:$F,,0))</f>
        <v>No</v>
      </c>
      <c r="M41" t="str">
        <f>IF(_xlfn.XLOOKUP(D41,product!$A:$A,product!G:G,,0)=0,"",_xlfn.XLOOKUP(D41,product!$A:$A,product!G:G,,0))</f>
        <v>Silver</v>
      </c>
      <c r="N41" t="str">
        <f>IF(_xlfn.XLOOKUP(D41,product!$A:$A,product!$B:$B,,0)=0,"",_xlfn.XLOOKUP(D41,product!$A:$A,product!$B:$B,,0))</f>
        <v>Secrets Mind</v>
      </c>
    </row>
    <row r="42" spans="1:14" x14ac:dyDescent="0.35">
      <c r="A42" t="s">
        <v>769</v>
      </c>
      <c r="B42" s="3">
        <v>44975</v>
      </c>
      <c r="C42" t="s">
        <v>3337</v>
      </c>
      <c r="D42" t="s">
        <v>5292</v>
      </c>
      <c r="E42">
        <v>1</v>
      </c>
      <c r="F42" t="str">
        <f>_xlfn.XLOOKUP(C42,customers!$A$1:$A$983,customers!$B$1:$B$983,,0)</f>
        <v>Isabella Thomas</v>
      </c>
      <c r="G42" t="str">
        <f>_xlfn.XLOOKUP(C42,customers!$A:$A,customers!$C:$C,,0)</f>
        <v>isabella.thomas882@yahoo.com</v>
      </c>
      <c r="H42" t="str">
        <f>IF(_xlfn.XLOOKUP(C42,customers!$A:$A,customers!$G:$G,,0)=0,"",_xlfn.XLOOKUP(C42,customers!$A:$A,customers!$G:$G,,0))</f>
        <v>Germany</v>
      </c>
      <c r="I42" t="str">
        <f>IF(_xlfn.XLOOKUP(D42,product!$A:$A,product!$E:$E,,0)=0,"",_xlfn.XLOOKUP(D42,product!$A:$A,product!$E:$E,,0))</f>
        <v>BUSINESS</v>
      </c>
      <c r="J42" s="5">
        <f>IF(_xlfn.XLOOKUP(D42,product!$A:$A,product!$D:$D,,0)=0,"",_xlfn.XLOOKUP(D42,product!$A:$A,product!$D:$D,,0))</f>
        <v>17.059999999999999</v>
      </c>
      <c r="K42" s="7">
        <f t="shared" si="0"/>
        <v>17.059999999999999</v>
      </c>
      <c r="L42" s="10" t="str">
        <f>IF(_xlfn.XLOOKUP(D42,product!$A:$A,product!$F:$F,,0)=0,"",_xlfn.XLOOKUP(D42,product!$A:$A,product!$F:$F,,0))</f>
        <v>No</v>
      </c>
      <c r="M42" t="str">
        <f>IF(_xlfn.XLOOKUP(D42,product!$A:$A,product!G:G,,0)=0,"",_xlfn.XLOOKUP(D42,product!$A:$A,product!G:G,,0))</f>
        <v>Gold</v>
      </c>
      <c r="N42" t="str">
        <f>IF(_xlfn.XLOOKUP(D42,product!$A:$A,product!$B:$B,,0)=0,"",_xlfn.XLOOKUP(D42,product!$A:$A,product!$B:$B,,0))</f>
        <v>Future Journey</v>
      </c>
    </row>
    <row r="43" spans="1:14" x14ac:dyDescent="0.35">
      <c r="A43" t="s">
        <v>786</v>
      </c>
      <c r="B43" s="3">
        <v>45450</v>
      </c>
      <c r="C43" t="s">
        <v>2092</v>
      </c>
      <c r="D43" t="s">
        <v>5294</v>
      </c>
      <c r="E43">
        <v>1</v>
      </c>
      <c r="F43" t="str">
        <f>_xlfn.XLOOKUP(C43,customers!$A$1:$A$983,customers!$B$1:$B$983,,0)</f>
        <v>Robert Hill</v>
      </c>
      <c r="G43" t="str">
        <f>_xlfn.XLOOKUP(C43,customers!$A:$A,customers!$C:$C,,0)</f>
        <v>robert.hill293@hotmail.com</v>
      </c>
      <c r="H43" t="str">
        <f>IF(_xlfn.XLOOKUP(C43,customers!$A:$A,customers!$G:$G,,0)=0,"",_xlfn.XLOOKUP(C43,customers!$A:$A,customers!$G:$G,,0))</f>
        <v>Egypt</v>
      </c>
      <c r="I43" t="str">
        <f>IF(_xlfn.XLOOKUP(D43,product!$A:$A,product!$E:$E,,0)=0,"",_xlfn.XLOOKUP(D43,product!$A:$A,product!$E:$E,,0))</f>
        <v>HISTORY</v>
      </c>
      <c r="J43" s="5">
        <f>IF(_xlfn.XLOOKUP(D43,product!$A:$A,product!$D:$D,,0)=0,"",_xlfn.XLOOKUP(D43,product!$A:$A,product!$D:$D,,0))</f>
        <v>19.899999999999999</v>
      </c>
      <c r="K43" s="7">
        <f t="shared" si="0"/>
        <v>19.899999999999999</v>
      </c>
      <c r="L43" s="10" t="str">
        <f>IF(_xlfn.XLOOKUP(D43,product!$A:$A,product!$F:$F,,0)=0,"",_xlfn.XLOOKUP(D43,product!$A:$A,product!$F:$F,,0))</f>
        <v>No</v>
      </c>
      <c r="M43" t="str">
        <f>IF(_xlfn.XLOOKUP(D43,product!$A:$A,product!G:G,,0)=0,"",_xlfn.XLOOKUP(D43,product!$A:$A,product!G:G,,0))</f>
        <v>Silver</v>
      </c>
      <c r="N43" t="str">
        <f>IF(_xlfn.XLOOKUP(D43,product!$A:$A,product!$B:$B,,0)=0,"",_xlfn.XLOOKUP(D43,product!$A:$A,product!$B:$B,,0))</f>
        <v>Science Journey</v>
      </c>
    </row>
    <row r="44" spans="1:14" x14ac:dyDescent="0.35">
      <c r="A44" t="s">
        <v>803</v>
      </c>
      <c r="B44" s="3">
        <v>45075</v>
      </c>
      <c r="C44" t="s">
        <v>3101</v>
      </c>
      <c r="D44" t="s">
        <v>5297</v>
      </c>
      <c r="E44">
        <v>1</v>
      </c>
      <c r="F44" t="str">
        <f>_xlfn.XLOOKUP(C44,customers!$A$1:$A$983,customers!$B$1:$B$983,,0)</f>
        <v>Mia Brown</v>
      </c>
      <c r="G44" t="str">
        <f>_xlfn.XLOOKUP(C44,customers!$A:$A,customers!$C:$C,,0)</f>
        <v>mia.brown763@yahoo.com</v>
      </c>
      <c r="H44" t="str">
        <f>IF(_xlfn.XLOOKUP(C44,customers!$A:$A,customers!$G:$G,,0)=0,"",_xlfn.XLOOKUP(C44,customers!$A:$A,customers!$G:$G,,0))</f>
        <v>Japan</v>
      </c>
      <c r="I44" t="str">
        <f>IF(_xlfn.XLOOKUP(D44,product!$A:$A,product!$E:$E,,0)=0,"",_xlfn.XLOOKUP(D44,product!$A:$A,product!$E:$E,,0))</f>
        <v>HISTORY</v>
      </c>
      <c r="J44" s="5">
        <f>IF(_xlfn.XLOOKUP(D44,product!$A:$A,product!$D:$D,,0)=0,"",_xlfn.XLOOKUP(D44,product!$A:$A,product!$D:$D,,0))</f>
        <v>19.149999999999999</v>
      </c>
      <c r="K44" s="7">
        <f t="shared" si="0"/>
        <v>19.149999999999999</v>
      </c>
      <c r="L44" s="10" t="str">
        <f>IF(_xlfn.XLOOKUP(D44,product!$A:$A,product!$F:$F,,0)=0,"",_xlfn.XLOOKUP(D44,product!$A:$A,product!$F:$F,,0))</f>
        <v>Yes</v>
      </c>
      <c r="M44" t="str">
        <f>IF(_xlfn.XLOOKUP(D44,product!$A:$A,product!G:G,,0)=0,"",_xlfn.XLOOKUP(D44,product!$A:$A,product!G:G,,0))</f>
        <v>None</v>
      </c>
      <c r="N44" t="str">
        <f>IF(_xlfn.XLOOKUP(D44,product!$A:$A,product!$B:$B,,0)=0,"",_xlfn.XLOOKUP(D44,product!$A:$A,product!$B:$B,,0))</f>
        <v>Journey Silent</v>
      </c>
    </row>
    <row r="45" spans="1:14" x14ac:dyDescent="0.35">
      <c r="A45" t="s">
        <v>820</v>
      </c>
      <c r="B45" s="3">
        <v>45579</v>
      </c>
      <c r="C45" t="s">
        <v>2053</v>
      </c>
      <c r="D45" t="s">
        <v>5299</v>
      </c>
      <c r="E45">
        <v>1</v>
      </c>
      <c r="F45" t="str">
        <f>_xlfn.XLOOKUP(C45,customers!$A$1:$A$983,customers!$B$1:$B$983,,0)</f>
        <v>Sarah Clark</v>
      </c>
      <c r="G45" t="str">
        <f>_xlfn.XLOOKUP(C45,customers!$A:$A,customers!$C:$C,,0)</f>
        <v>sarah.clark279@gmail.com</v>
      </c>
      <c r="H45" t="str">
        <f>IF(_xlfn.XLOOKUP(C45,customers!$A:$A,customers!$G:$G,,0)=0,"",_xlfn.XLOOKUP(C45,customers!$A:$A,customers!$G:$G,,0))</f>
        <v>Germany</v>
      </c>
      <c r="I45" t="str">
        <f>IF(_xlfn.XLOOKUP(D45,product!$A:$A,product!$E:$E,,0)=0,"",_xlfn.XLOOKUP(D45,product!$A:$A,product!$E:$E,,0))</f>
        <v>SCIENCE</v>
      </c>
      <c r="J45" s="5">
        <f>IF(_xlfn.XLOOKUP(D45,product!$A:$A,product!$D:$D,,0)=0,"",_xlfn.XLOOKUP(D45,product!$A:$A,product!$D:$D,,0))</f>
        <v>16.09</v>
      </c>
      <c r="K45" s="7">
        <f t="shared" si="0"/>
        <v>16.09</v>
      </c>
      <c r="L45" s="10" t="str">
        <f>IF(_xlfn.XLOOKUP(D45,product!$A:$A,product!$F:$F,,0)=0,"",_xlfn.XLOOKUP(D45,product!$A:$A,product!$F:$F,,0))</f>
        <v>Yes</v>
      </c>
      <c r="M45" t="str">
        <f>IF(_xlfn.XLOOKUP(D45,product!$A:$A,product!G:G,,0)=0,"",_xlfn.XLOOKUP(D45,product!$A:$A,product!G:G,,0))</f>
        <v>None</v>
      </c>
      <c r="N45" t="str">
        <f>IF(_xlfn.XLOOKUP(D45,product!$A:$A,product!$B:$B,,0)=0,"",_xlfn.XLOOKUP(D45,product!$A:$A,product!$B:$B,,0))</f>
        <v>Mind Secrets</v>
      </c>
    </row>
    <row r="46" spans="1:14" x14ac:dyDescent="0.35">
      <c r="A46" t="s">
        <v>837</v>
      </c>
      <c r="B46" s="3">
        <v>45129</v>
      </c>
      <c r="C46" t="s">
        <v>1996</v>
      </c>
      <c r="D46" t="s">
        <v>5301</v>
      </c>
      <c r="E46">
        <v>1</v>
      </c>
      <c r="F46" t="str">
        <f>_xlfn.XLOOKUP(C46,customers!$A$1:$A$983,customers!$B$1:$B$983,,0)</f>
        <v>Ella Clark</v>
      </c>
      <c r="G46" t="str">
        <f>_xlfn.XLOOKUP(C46,customers!$A:$A,customers!$C:$C,,0)</f>
        <v>ella.clark259@outlook.com</v>
      </c>
      <c r="H46" t="str">
        <f>IF(_xlfn.XLOOKUP(C46,customers!$A:$A,customers!$G:$G,,0)=0,"",_xlfn.XLOOKUP(C46,customers!$A:$A,customers!$G:$G,,0))</f>
        <v>Japan</v>
      </c>
      <c r="I46" t="str">
        <f>IF(_xlfn.XLOOKUP(D46,product!$A:$A,product!$E:$E,,0)=0,"",_xlfn.XLOOKUP(D46,product!$A:$A,product!$E:$E,,0))</f>
        <v>BUSINESS</v>
      </c>
      <c r="J46" s="5">
        <f>IF(_xlfn.XLOOKUP(D46,product!$A:$A,product!$D:$D,,0)=0,"",_xlfn.XLOOKUP(D46,product!$A:$A,product!$D:$D,,0))</f>
        <v>20.73</v>
      </c>
      <c r="K46" s="7">
        <f t="shared" si="0"/>
        <v>20.73</v>
      </c>
      <c r="L46" s="10" t="str">
        <f>IF(_xlfn.XLOOKUP(D46,product!$A:$A,product!$F:$F,,0)=0,"",_xlfn.XLOOKUP(D46,product!$A:$A,product!$F:$F,,0))</f>
        <v>No</v>
      </c>
      <c r="M46" t="str">
        <f>IF(_xlfn.XLOOKUP(D46,product!$A:$A,product!G:G,,0)=0,"",_xlfn.XLOOKUP(D46,product!$A:$A,product!G:G,,0))</f>
        <v>Silver</v>
      </c>
      <c r="N46" t="str">
        <f>IF(_xlfn.XLOOKUP(D46,product!$A:$A,product!$B:$B,,0)=0,"",_xlfn.XLOOKUP(D46,product!$A:$A,product!$B:$B,,0))</f>
        <v>Future Silent</v>
      </c>
    </row>
    <row r="47" spans="1:14" x14ac:dyDescent="0.35">
      <c r="A47" t="s">
        <v>854</v>
      </c>
      <c r="B47" s="3">
        <v>45535</v>
      </c>
      <c r="C47" t="s">
        <v>2622</v>
      </c>
      <c r="D47" t="s">
        <v>5303</v>
      </c>
      <c r="E47">
        <v>1</v>
      </c>
      <c r="F47" t="str">
        <f>_xlfn.XLOOKUP(C47,customers!$A$1:$A$983,customers!$B$1:$B$983,,0)</f>
        <v>Chloe Johnson</v>
      </c>
      <c r="G47" t="str">
        <f>_xlfn.XLOOKUP(C47,customers!$A:$A,customers!$C:$C,,0)</f>
        <v>chloe.johnson531@hotmail.com</v>
      </c>
      <c r="H47" t="str">
        <f>IF(_xlfn.XLOOKUP(C47,customers!$A:$A,customers!$G:$G,,0)=0,"",_xlfn.XLOOKUP(C47,customers!$A:$A,customers!$G:$G,,0))</f>
        <v>Germany</v>
      </c>
      <c r="I47" t="str">
        <f>IF(_xlfn.XLOOKUP(D47,product!$A:$A,product!$E:$E,,0)=0,"",_xlfn.XLOOKUP(D47,product!$A:$A,product!$E:$E,,0))</f>
        <v>SCIENCE</v>
      </c>
      <c r="J47" s="5">
        <f>IF(_xlfn.XLOOKUP(D47,product!$A:$A,product!$D:$D,,0)=0,"",_xlfn.XLOOKUP(D47,product!$A:$A,product!$D:$D,,0))</f>
        <v>18.78</v>
      </c>
      <c r="K47" s="7">
        <f t="shared" si="0"/>
        <v>18.78</v>
      </c>
      <c r="L47" s="10" t="str">
        <f>IF(_xlfn.XLOOKUP(D47,product!$A:$A,product!$F:$F,,0)=0,"",_xlfn.XLOOKUP(D47,product!$A:$A,product!$F:$F,,0))</f>
        <v>Yes</v>
      </c>
      <c r="M47" t="str">
        <f>IF(_xlfn.XLOOKUP(D47,product!$A:$A,product!G:G,,0)=0,"",_xlfn.XLOOKUP(D47,product!$A:$A,product!G:G,,0))</f>
        <v>None</v>
      </c>
      <c r="N47" t="str">
        <f>IF(_xlfn.XLOOKUP(D47,product!$A:$A,product!$B:$B,,0)=0,"",_xlfn.XLOOKUP(D47,product!$A:$A,product!$B:$B,,0))</f>
        <v>Quantum Forest</v>
      </c>
    </row>
    <row r="48" spans="1:14" x14ac:dyDescent="0.35">
      <c r="A48" t="s">
        <v>871</v>
      </c>
      <c r="B48" s="3">
        <v>44954</v>
      </c>
      <c r="C48" t="s">
        <v>1243</v>
      </c>
      <c r="D48" t="s">
        <v>5306</v>
      </c>
      <c r="E48">
        <v>1</v>
      </c>
      <c r="F48" t="str">
        <f>_xlfn.XLOOKUP(C48,customers!$A$1:$A$983,customers!$B$1:$B$983,,0)</f>
        <v>Paul Brown</v>
      </c>
      <c r="G48" t="str">
        <f>_xlfn.XLOOKUP(C48,customers!$A:$A,customers!$C:$C,,0)</f>
        <v>paul.brown50@hotmail.com</v>
      </c>
      <c r="H48" t="str">
        <f>IF(_xlfn.XLOOKUP(C48,customers!$A:$A,customers!$G:$G,,0)=0,"",_xlfn.XLOOKUP(C48,customers!$A:$A,customers!$G:$G,,0))</f>
        <v>Egypt</v>
      </c>
      <c r="I48" t="str">
        <f>IF(_xlfn.XLOOKUP(D48,product!$A:$A,product!$E:$E,,0)=0,"",_xlfn.XLOOKUP(D48,product!$A:$A,product!$E:$E,,0))</f>
        <v>TECH</v>
      </c>
      <c r="J48" s="5">
        <f>IF(_xlfn.XLOOKUP(D48,product!$A:$A,product!$D:$D,,0)=0,"",_xlfn.XLOOKUP(D48,product!$A:$A,product!$D:$D,,0))</f>
        <v>12</v>
      </c>
      <c r="K48" s="7">
        <f t="shared" si="0"/>
        <v>12</v>
      </c>
      <c r="L48" s="10" t="str">
        <f>IF(_xlfn.XLOOKUP(D48,product!$A:$A,product!$F:$F,,0)=0,"",_xlfn.XLOOKUP(D48,product!$A:$A,product!$F:$F,,0))</f>
        <v>Yes</v>
      </c>
      <c r="M48" t="str">
        <f>IF(_xlfn.XLOOKUP(D48,product!$A:$A,product!G:G,,0)=0,"",_xlfn.XLOOKUP(D48,product!$A:$A,product!G:G,,0))</f>
        <v>None</v>
      </c>
      <c r="N48" t="str">
        <f>IF(_xlfn.XLOOKUP(D48,product!$A:$A,product!$B:$B,,0)=0,"",_xlfn.XLOOKUP(D48,product!$A:$A,product!$B:$B,,0))</f>
        <v>Data Secrets</v>
      </c>
    </row>
    <row r="49" spans="1:14" x14ac:dyDescent="0.35">
      <c r="A49" t="s">
        <v>888</v>
      </c>
      <c r="B49" s="3">
        <v>45401</v>
      </c>
      <c r="C49" t="s">
        <v>3394</v>
      </c>
      <c r="D49" t="s">
        <v>5309</v>
      </c>
      <c r="E49">
        <v>1</v>
      </c>
      <c r="F49" t="str">
        <f>_xlfn.XLOOKUP(C49,customers!$A$1:$A$983,customers!$B$1:$B$983,,0)</f>
        <v>Mia Green</v>
      </c>
      <c r="G49" t="str">
        <f>_xlfn.XLOOKUP(C49,customers!$A:$A,customers!$C:$C,,0)</f>
        <v>mia.green911@gmail.com</v>
      </c>
      <c r="H49" t="str">
        <f>IF(_xlfn.XLOOKUP(C49,customers!$A:$A,customers!$G:$G,,0)=0,"",_xlfn.XLOOKUP(C49,customers!$A:$A,customers!$G:$G,,0))</f>
        <v>Portugal</v>
      </c>
      <c r="I49" t="str">
        <f>IF(_xlfn.XLOOKUP(D49,product!$A:$A,product!$E:$E,,0)=0,"",_xlfn.XLOOKUP(D49,product!$A:$A,product!$E:$E,,0))</f>
        <v>SCIENCE</v>
      </c>
      <c r="J49" s="5">
        <f>IF(_xlfn.XLOOKUP(D49,product!$A:$A,product!$D:$D,,0)=0,"",_xlfn.XLOOKUP(D49,product!$A:$A,product!$D:$D,,0))</f>
        <v>27.41</v>
      </c>
      <c r="K49" s="7">
        <f t="shared" si="0"/>
        <v>27.41</v>
      </c>
      <c r="L49" s="10" t="str">
        <f>IF(_xlfn.XLOOKUP(D49,product!$A:$A,product!$F:$F,,0)=0,"",_xlfn.XLOOKUP(D49,product!$A:$A,product!$F:$F,,0))</f>
        <v>No</v>
      </c>
      <c r="M49" t="str">
        <f>IF(_xlfn.XLOOKUP(D49,product!$A:$A,product!G:G,,0)=0,"",_xlfn.XLOOKUP(D49,product!$A:$A,product!G:G,,0))</f>
        <v>Gold</v>
      </c>
      <c r="N49" t="str">
        <f>IF(_xlfn.XLOOKUP(D49,product!$A:$A,product!$B:$B,,0)=0,"",_xlfn.XLOOKUP(D49,product!$A:$A,product!$B:$B,,0))</f>
        <v>Science Forest</v>
      </c>
    </row>
    <row r="50" spans="1:14" x14ac:dyDescent="0.35">
      <c r="A50" t="s">
        <v>905</v>
      </c>
      <c r="B50" s="3">
        <v>45183</v>
      </c>
      <c r="C50" t="s">
        <v>2322</v>
      </c>
      <c r="D50" t="s">
        <v>5310</v>
      </c>
      <c r="E50">
        <v>1</v>
      </c>
      <c r="F50" t="str">
        <f>_xlfn.XLOOKUP(C50,customers!$A$1:$A$983,customers!$B$1:$B$983,,0)</f>
        <v>David Rodriguez</v>
      </c>
      <c r="G50" t="str">
        <f>_xlfn.XLOOKUP(C50,customers!$A:$A,customers!$C:$C,,0)</f>
        <v>david.rodriguez389@yahoo.com</v>
      </c>
      <c r="H50" t="str">
        <f>IF(_xlfn.XLOOKUP(C50,customers!$A:$A,customers!$G:$G,,0)=0,"",_xlfn.XLOOKUP(C50,customers!$A:$A,customers!$G:$G,,0))</f>
        <v>Pakistan</v>
      </c>
      <c r="I50" t="str">
        <f>IF(_xlfn.XLOOKUP(D50,product!$A:$A,product!$E:$E,,0)=0,"",_xlfn.XLOOKUP(D50,product!$A:$A,product!$E:$E,,0))</f>
        <v>HISTORY</v>
      </c>
      <c r="J50" s="5">
        <f>IF(_xlfn.XLOOKUP(D50,product!$A:$A,product!$D:$D,,0)=0,"",_xlfn.XLOOKUP(D50,product!$A:$A,product!$D:$D,,0))</f>
        <v>24.91</v>
      </c>
      <c r="K50" s="7">
        <f t="shared" si="0"/>
        <v>24.91</v>
      </c>
      <c r="L50" s="10" t="str">
        <f>IF(_xlfn.XLOOKUP(D50,product!$A:$A,product!$F:$F,,0)=0,"",_xlfn.XLOOKUP(D50,product!$A:$A,product!$F:$F,,0))</f>
        <v>No</v>
      </c>
      <c r="M50" t="str">
        <f>IF(_xlfn.XLOOKUP(D50,product!$A:$A,product!G:G,,0)=0,"",_xlfn.XLOOKUP(D50,product!$A:$A,product!G:G,,0))</f>
        <v>None</v>
      </c>
      <c r="N50" t="str">
        <f>IF(_xlfn.XLOOKUP(D50,product!$A:$A,product!$B:$B,,0)=0,"",_xlfn.XLOOKUP(D50,product!$A:$A,product!$B:$B,,0))</f>
        <v>Data Forest</v>
      </c>
    </row>
    <row r="51" spans="1:14" x14ac:dyDescent="0.35">
      <c r="A51" t="s">
        <v>922</v>
      </c>
      <c r="B51" s="3">
        <v>45634</v>
      </c>
      <c r="C51" t="s">
        <v>2130</v>
      </c>
      <c r="D51" t="s">
        <v>5313</v>
      </c>
      <c r="E51">
        <v>1</v>
      </c>
      <c r="F51" t="str">
        <f>_xlfn.XLOOKUP(C51,customers!$A$1:$A$983,customers!$B$1:$B$983,,0)</f>
        <v>Sophia Thompson</v>
      </c>
      <c r="G51" t="str">
        <f>_xlfn.XLOOKUP(C51,customers!$A:$A,customers!$C:$C,,0)</f>
        <v>sophia.thompson307@gmail.com</v>
      </c>
      <c r="H51" t="str">
        <f>IF(_xlfn.XLOOKUP(C51,customers!$A:$A,customers!$G:$G,,0)=0,"",_xlfn.XLOOKUP(C51,customers!$A:$A,customers!$G:$G,,0))</f>
        <v>USA</v>
      </c>
      <c r="I51" t="str">
        <f>IF(_xlfn.XLOOKUP(D51,product!$A:$A,product!$E:$E,,0)=0,"",_xlfn.XLOOKUP(D51,product!$A:$A,product!$E:$E,,0))</f>
        <v>HISTORY</v>
      </c>
      <c r="J51" s="5">
        <f>IF(_xlfn.XLOOKUP(D51,product!$A:$A,product!$D:$D,,0)=0,"",_xlfn.XLOOKUP(D51,product!$A:$A,product!$D:$D,,0))</f>
        <v>15.13</v>
      </c>
      <c r="K51" s="7">
        <f t="shared" si="0"/>
        <v>15.13</v>
      </c>
      <c r="L51" s="10" t="str">
        <f>IF(_xlfn.XLOOKUP(D51,product!$A:$A,product!$F:$F,,0)=0,"",_xlfn.XLOOKUP(D51,product!$A:$A,product!$F:$F,,0))</f>
        <v>Yes</v>
      </c>
      <c r="M51" t="str">
        <f>IF(_xlfn.XLOOKUP(D51,product!$A:$A,product!G:G,,0)=0,"",_xlfn.XLOOKUP(D51,product!$A:$A,product!G:G,,0))</f>
        <v>Silver</v>
      </c>
      <c r="N51" t="str">
        <f>IF(_xlfn.XLOOKUP(D51,product!$A:$A,product!$B:$B,,0)=0,"",_xlfn.XLOOKUP(D51,product!$A:$A,product!$B:$B,,0))</f>
        <v>Journey Science</v>
      </c>
    </row>
    <row r="52" spans="1:14" x14ac:dyDescent="0.35">
      <c r="A52" t="s">
        <v>939</v>
      </c>
      <c r="B52" s="3">
        <v>44990</v>
      </c>
      <c r="C52" t="s">
        <v>2846</v>
      </c>
      <c r="D52" t="s">
        <v>5314</v>
      </c>
      <c r="E52">
        <v>1</v>
      </c>
      <c r="F52" t="str">
        <f>_xlfn.XLOOKUP(C52,customers!$A$1:$A$983,customers!$B$1:$B$983,,0)</f>
        <v>Ava Anderson</v>
      </c>
      <c r="G52" t="str">
        <f>_xlfn.XLOOKUP(C52,customers!$A:$A,customers!$C:$C,,0)</f>
        <v>ava.anderson638@hotmail.com</v>
      </c>
      <c r="H52" t="str">
        <f>IF(_xlfn.XLOOKUP(C52,customers!$A:$A,customers!$G:$G,,0)=0,"",_xlfn.XLOOKUP(C52,customers!$A:$A,customers!$G:$G,,0))</f>
        <v>Spain</v>
      </c>
      <c r="I52" t="str">
        <f>IF(_xlfn.XLOOKUP(D52,product!$A:$A,product!$E:$E,,0)=0,"",_xlfn.XLOOKUP(D52,product!$A:$A,product!$E:$E,,0))</f>
        <v>FICTION</v>
      </c>
      <c r="J52" s="5">
        <f>IF(_xlfn.XLOOKUP(D52,product!$A:$A,product!$D:$D,,0)=0,"",_xlfn.XLOOKUP(D52,product!$A:$A,product!$D:$D,,0))</f>
        <v>38.03</v>
      </c>
      <c r="K52" s="7">
        <f t="shared" si="0"/>
        <v>38.03</v>
      </c>
      <c r="L52" s="10" t="str">
        <f>IF(_xlfn.XLOOKUP(D52,product!$A:$A,product!$F:$F,,0)=0,"",_xlfn.XLOOKUP(D52,product!$A:$A,product!$F:$F,,0))</f>
        <v>Yes</v>
      </c>
      <c r="M52" t="str">
        <f>IF(_xlfn.XLOOKUP(D52,product!$A:$A,product!G:G,,0)=0,"",_xlfn.XLOOKUP(D52,product!$A:$A,product!G:G,,0))</f>
        <v>None</v>
      </c>
      <c r="N52" t="str">
        <f>IF(_xlfn.XLOOKUP(D52,product!$A:$A,product!$B:$B,,0)=0,"",_xlfn.XLOOKUP(D52,product!$A:$A,product!$B:$B,,0))</f>
        <v>Data Science</v>
      </c>
    </row>
    <row r="53" spans="1:14" x14ac:dyDescent="0.35">
      <c r="A53" t="s">
        <v>956</v>
      </c>
      <c r="B53" s="3">
        <v>45336</v>
      </c>
      <c r="C53" t="s">
        <v>2756</v>
      </c>
      <c r="D53" t="s">
        <v>5317</v>
      </c>
      <c r="E53">
        <v>1</v>
      </c>
      <c r="F53" t="str">
        <f>_xlfn.XLOOKUP(C53,customers!$A$1:$A$983,customers!$B$1:$B$983,,0)</f>
        <v>Paul Brown</v>
      </c>
      <c r="G53" t="str">
        <f>_xlfn.XLOOKUP(C53,customers!$A:$A,customers!$C:$C,,0)</f>
        <v>paul.brown595@hotmail.com</v>
      </c>
      <c r="H53" t="str">
        <f>IF(_xlfn.XLOOKUP(C53,customers!$A:$A,customers!$G:$G,,0)=0,"",_xlfn.XLOOKUP(C53,customers!$A:$A,customers!$G:$G,,0))</f>
        <v>USA</v>
      </c>
      <c r="I53" t="str">
        <f>IF(_xlfn.XLOOKUP(D53,product!$A:$A,product!$E:$E,,0)=0,"",_xlfn.XLOOKUP(D53,product!$A:$A,product!$E:$E,,0))</f>
        <v>HISTORY</v>
      </c>
      <c r="J53" s="5">
        <f>IF(_xlfn.XLOOKUP(D53,product!$A:$A,product!$D:$D,,0)=0,"",_xlfn.XLOOKUP(D53,product!$A:$A,product!$D:$D,,0))</f>
        <v>21.29</v>
      </c>
      <c r="K53" s="7">
        <f t="shared" si="0"/>
        <v>21.29</v>
      </c>
      <c r="L53" s="10" t="str">
        <f>IF(_xlfn.XLOOKUP(D53,product!$A:$A,product!$F:$F,,0)=0,"",_xlfn.XLOOKUP(D53,product!$A:$A,product!$F:$F,,0))</f>
        <v>Yes</v>
      </c>
      <c r="M53" t="str">
        <f>IF(_xlfn.XLOOKUP(D53,product!$A:$A,product!G:G,,0)=0,"",_xlfn.XLOOKUP(D53,product!$A:$A,product!G:G,,0))</f>
        <v>Silver</v>
      </c>
      <c r="N53" t="str">
        <f>IF(_xlfn.XLOOKUP(D53,product!$A:$A,product!$B:$B,,0)=0,"",_xlfn.XLOOKUP(D53,product!$A:$A,product!$B:$B,,0))</f>
        <v>Journey Mind</v>
      </c>
    </row>
    <row r="54" spans="1:14" x14ac:dyDescent="0.35">
      <c r="A54" t="s">
        <v>973</v>
      </c>
      <c r="B54" s="3">
        <v>45141</v>
      </c>
      <c r="C54" t="s">
        <v>1091</v>
      </c>
      <c r="D54" t="s">
        <v>5320</v>
      </c>
      <c r="E54">
        <v>1</v>
      </c>
      <c r="F54" t="str">
        <f>_xlfn.XLOOKUP(C54,customers!$A$1:$A$983,customers!$B$1:$B$983,,0)</f>
        <v>Mia Jackson</v>
      </c>
      <c r="G54" t="str">
        <f>_xlfn.XLOOKUP(C54,customers!$A:$A,customers!$C:$C,,0)</f>
        <v>mia.jackson14@yahoo.com</v>
      </c>
      <c r="H54" t="str">
        <f>IF(_xlfn.XLOOKUP(C54,customers!$A:$A,customers!$G:$G,,0)=0,"",_xlfn.XLOOKUP(C54,customers!$A:$A,customers!$G:$G,,0))</f>
        <v>Egypt</v>
      </c>
      <c r="I54" t="str">
        <f>IF(_xlfn.XLOOKUP(D54,product!$A:$A,product!$E:$E,,0)=0,"",_xlfn.XLOOKUP(D54,product!$A:$A,product!$E:$E,,0))</f>
        <v>TECH</v>
      </c>
      <c r="J54" s="5">
        <f>IF(_xlfn.XLOOKUP(D54,product!$A:$A,product!$D:$D,,0)=0,"",_xlfn.XLOOKUP(D54,product!$A:$A,product!$D:$D,,0))</f>
        <v>33.49</v>
      </c>
      <c r="K54" s="7">
        <f t="shared" si="0"/>
        <v>33.49</v>
      </c>
      <c r="L54" s="10" t="str">
        <f>IF(_xlfn.XLOOKUP(D54,product!$A:$A,product!$F:$F,,0)=0,"",_xlfn.XLOOKUP(D54,product!$A:$A,product!$F:$F,,0))</f>
        <v>Yes</v>
      </c>
      <c r="M54" t="str">
        <f>IF(_xlfn.XLOOKUP(D54,product!$A:$A,product!G:G,,0)=0,"",_xlfn.XLOOKUP(D54,product!$A:$A,product!G:G,,0))</f>
        <v>Silver</v>
      </c>
      <c r="N54" t="str">
        <f>IF(_xlfn.XLOOKUP(D54,product!$A:$A,product!$B:$B,,0)=0,"",_xlfn.XLOOKUP(D54,product!$A:$A,product!$B:$B,,0))</f>
        <v>Quantum Silent</v>
      </c>
    </row>
    <row r="55" spans="1:14" x14ac:dyDescent="0.35">
      <c r="A55" t="s">
        <v>990</v>
      </c>
      <c r="B55" s="3">
        <v>45438</v>
      </c>
      <c r="C55" t="s">
        <v>2829</v>
      </c>
      <c r="D55" t="s">
        <v>5322</v>
      </c>
      <c r="E55">
        <v>1</v>
      </c>
      <c r="F55" t="str">
        <f>_xlfn.XLOOKUP(C55,customers!$A$1:$A$983,customers!$B$1:$B$983,,0)</f>
        <v>Emily White</v>
      </c>
      <c r="G55" t="str">
        <f>_xlfn.XLOOKUP(C55,customers!$A:$A,customers!$C:$C,,0)</f>
        <v>emily.white630@yahoo.com</v>
      </c>
      <c r="H55" t="str">
        <f>IF(_xlfn.XLOOKUP(C55,customers!$A:$A,customers!$G:$G,,0)=0,"",_xlfn.XLOOKUP(C55,customers!$A:$A,customers!$G:$G,,0))</f>
        <v>Germany</v>
      </c>
      <c r="I55" t="str">
        <f>IF(_xlfn.XLOOKUP(D55,product!$A:$A,product!$E:$E,,0)=0,"",_xlfn.XLOOKUP(D55,product!$A:$A,product!$E:$E,,0))</f>
        <v>BUSINESS</v>
      </c>
      <c r="J55" s="5">
        <f>IF(_xlfn.XLOOKUP(D55,product!$A:$A,product!$D:$D,,0)=0,"",_xlfn.XLOOKUP(D55,product!$A:$A,product!$D:$D,,0))</f>
        <v>29.21</v>
      </c>
      <c r="K55" s="7">
        <f t="shared" si="0"/>
        <v>29.21</v>
      </c>
      <c r="L55" s="10" t="str">
        <f>IF(_xlfn.XLOOKUP(D55,product!$A:$A,product!$F:$F,,0)=0,"",_xlfn.XLOOKUP(D55,product!$A:$A,product!$F:$F,,0))</f>
        <v>No</v>
      </c>
      <c r="M55" t="str">
        <f>IF(_xlfn.XLOOKUP(D55,product!$A:$A,product!G:G,,0)=0,"",_xlfn.XLOOKUP(D55,product!$A:$A,product!G:G,,0))</f>
        <v>Gold</v>
      </c>
      <c r="N55" t="str">
        <f>IF(_xlfn.XLOOKUP(D55,product!$A:$A,product!$B:$B,,0)=0,"",_xlfn.XLOOKUP(D55,product!$A:$A,product!$B:$B,,0))</f>
        <v>Secrets Silent</v>
      </c>
    </row>
    <row r="56" spans="1:14" x14ac:dyDescent="0.35">
      <c r="A56" t="s">
        <v>1007</v>
      </c>
      <c r="B56" s="3">
        <v>45248</v>
      </c>
      <c r="C56" t="s">
        <v>2683</v>
      </c>
      <c r="D56" t="s">
        <v>5325</v>
      </c>
      <c r="E56">
        <v>1</v>
      </c>
      <c r="F56" t="str">
        <f>_xlfn.XLOOKUP(C56,customers!$A$1:$A$983,customers!$B$1:$B$983,,0)</f>
        <v>Chloe Robinson</v>
      </c>
      <c r="G56" t="str">
        <f>_xlfn.XLOOKUP(C56,customers!$A:$A,customers!$C:$C,,0)</f>
        <v>chloe.robinson560@gmail.com</v>
      </c>
      <c r="H56" t="str">
        <f>IF(_xlfn.XLOOKUP(C56,customers!$A:$A,customers!$G:$G,,0)=0,"",_xlfn.XLOOKUP(C56,customers!$A:$A,customers!$G:$G,,0))</f>
        <v>Pakistan</v>
      </c>
      <c r="I56" t="str">
        <f>IF(_xlfn.XLOOKUP(D56,product!$A:$A,product!$E:$E,,0)=0,"",_xlfn.XLOOKUP(D56,product!$A:$A,product!$E:$E,,0))</f>
        <v>HISTORY</v>
      </c>
      <c r="J56" s="5">
        <f>IF(_xlfn.XLOOKUP(D56,product!$A:$A,product!$D:$D,,0)=0,"",_xlfn.XLOOKUP(D56,product!$A:$A,product!$D:$D,,0))</f>
        <v>31.76</v>
      </c>
      <c r="K56" s="7">
        <f t="shared" si="0"/>
        <v>31.76</v>
      </c>
      <c r="L56" s="10" t="str">
        <f>IF(_xlfn.XLOOKUP(D56,product!$A:$A,product!$F:$F,,0)=0,"",_xlfn.XLOOKUP(D56,product!$A:$A,product!$F:$F,,0))</f>
        <v>Yes</v>
      </c>
      <c r="M56" t="str">
        <f>IF(_xlfn.XLOOKUP(D56,product!$A:$A,product!G:G,,0)=0,"",_xlfn.XLOOKUP(D56,product!$A:$A,product!G:G,,0))</f>
        <v>Silver</v>
      </c>
      <c r="N56" t="str">
        <f>IF(_xlfn.XLOOKUP(D56,product!$A:$A,product!$B:$B,,0)=0,"",_xlfn.XLOOKUP(D56,product!$A:$A,product!$B:$B,,0))</f>
        <v>Science Mind</v>
      </c>
    </row>
    <row r="57" spans="1:14" x14ac:dyDescent="0.35">
      <c r="A57" t="s">
        <v>1024</v>
      </c>
      <c r="B57" s="3">
        <v>45488</v>
      </c>
      <c r="C57" t="s">
        <v>2538</v>
      </c>
      <c r="D57" t="s">
        <v>5327</v>
      </c>
      <c r="E57">
        <v>1</v>
      </c>
      <c r="F57" t="str">
        <f>_xlfn.XLOOKUP(C57,customers!$A$1:$A$983,customers!$B$1:$B$983,,0)</f>
        <v>Lily Lewis</v>
      </c>
      <c r="G57" t="str">
        <f>_xlfn.XLOOKUP(C57,customers!$A:$A,customers!$C:$C,,0)</f>
        <v>lily.lewis490@hotmail.com</v>
      </c>
      <c r="H57" t="str">
        <f>IF(_xlfn.XLOOKUP(C57,customers!$A:$A,customers!$G:$G,,0)=0,"",_xlfn.XLOOKUP(C57,customers!$A:$A,customers!$G:$G,,0))</f>
        <v>Sweden</v>
      </c>
      <c r="I57" t="str">
        <f>IF(_xlfn.XLOOKUP(D57,product!$A:$A,product!$E:$E,,0)=0,"",_xlfn.XLOOKUP(D57,product!$A:$A,product!$E:$E,,0))</f>
        <v>FICTION</v>
      </c>
      <c r="J57" s="5">
        <f>IF(_xlfn.XLOOKUP(D57,product!$A:$A,product!$D:$D,,0)=0,"",_xlfn.XLOOKUP(D57,product!$A:$A,product!$D:$D,,0))</f>
        <v>32.29</v>
      </c>
      <c r="K57" s="7">
        <f t="shared" si="0"/>
        <v>32.29</v>
      </c>
      <c r="L57" s="10" t="str">
        <f>IF(_xlfn.XLOOKUP(D57,product!$A:$A,product!$F:$F,,0)=0,"",_xlfn.XLOOKUP(D57,product!$A:$A,product!$F:$F,,0))</f>
        <v>No</v>
      </c>
      <c r="M57" t="str">
        <f>IF(_xlfn.XLOOKUP(D57,product!$A:$A,product!G:G,,0)=0,"",_xlfn.XLOOKUP(D57,product!$A:$A,product!G:G,,0))</f>
        <v>None</v>
      </c>
      <c r="N57" t="str">
        <f>IF(_xlfn.XLOOKUP(D57,product!$A:$A,product!$B:$B,,0)=0,"",_xlfn.XLOOKUP(D57,product!$A:$A,product!$B:$B,,0))</f>
        <v>Power Mind</v>
      </c>
    </row>
    <row r="58" spans="1:14" x14ac:dyDescent="0.35">
      <c r="A58" t="s">
        <v>1041</v>
      </c>
      <c r="B58" s="3">
        <v>45081</v>
      </c>
      <c r="C58" t="s">
        <v>1122</v>
      </c>
      <c r="D58" t="s">
        <v>5329</v>
      </c>
      <c r="E58">
        <v>1</v>
      </c>
      <c r="F58" t="str">
        <f>_xlfn.XLOOKUP(C58,customers!$A$1:$A$983,customers!$B$1:$B$983,,0)</f>
        <v>Grace Johnson</v>
      </c>
      <c r="G58" t="str">
        <f>_xlfn.XLOOKUP(C58,customers!$A:$A,customers!$C:$C,,0)</f>
        <v>grace.johnson21@yahoo.com</v>
      </c>
      <c r="H58" t="str">
        <f>IF(_xlfn.XLOOKUP(C58,customers!$A:$A,customers!$G:$G,,0)=0,"",_xlfn.XLOOKUP(C58,customers!$A:$A,customers!$G:$G,,0))</f>
        <v>Japan</v>
      </c>
      <c r="I58" t="str">
        <f>IF(_xlfn.XLOOKUP(D58,product!$A:$A,product!$E:$E,,0)=0,"",_xlfn.XLOOKUP(D58,product!$A:$A,product!$E:$E,,0))</f>
        <v>FICTION</v>
      </c>
      <c r="J58" s="5">
        <f>IF(_xlfn.XLOOKUP(D58,product!$A:$A,product!$D:$D,,0)=0,"",_xlfn.XLOOKUP(D58,product!$A:$A,product!$D:$D,,0))</f>
        <v>23.85</v>
      </c>
      <c r="K58" s="7">
        <f t="shared" si="0"/>
        <v>23.85</v>
      </c>
      <c r="L58" s="10" t="str">
        <f>IF(_xlfn.XLOOKUP(D58,product!$A:$A,product!$F:$F,,0)=0,"",_xlfn.XLOOKUP(D58,product!$A:$A,product!$F:$F,,0))</f>
        <v>Yes</v>
      </c>
      <c r="M58" t="str">
        <f>IF(_xlfn.XLOOKUP(D58,product!$A:$A,product!G:G,,0)=0,"",_xlfn.XLOOKUP(D58,product!$A:$A,product!G:G,,0))</f>
        <v>Gold</v>
      </c>
      <c r="N58" t="str">
        <f>IF(_xlfn.XLOOKUP(D58,product!$A:$A,product!$B:$B,,0)=0,"",_xlfn.XLOOKUP(D58,product!$A:$A,product!$B:$B,,0))</f>
        <v>Journey Forest</v>
      </c>
    </row>
    <row r="59" spans="1:14" x14ac:dyDescent="0.35">
      <c r="A59" t="s">
        <v>1058</v>
      </c>
      <c r="B59" s="3">
        <v>45562</v>
      </c>
      <c r="C59" t="s">
        <v>3453</v>
      </c>
      <c r="D59" t="s">
        <v>5330</v>
      </c>
      <c r="E59">
        <v>1</v>
      </c>
      <c r="F59" t="str">
        <f>_xlfn.XLOOKUP(C59,customers!$A$1:$A$983,customers!$B$1:$B$983,,0)</f>
        <v>Sophia Smith</v>
      </c>
      <c r="G59" t="str">
        <f>_xlfn.XLOOKUP(C59,customers!$A:$A,customers!$C:$C,,0)</f>
        <v>sophia.smith941@hotmail.com</v>
      </c>
      <c r="H59" t="str">
        <f>IF(_xlfn.XLOOKUP(C59,customers!$A:$A,customers!$G:$G,,0)=0,"",_xlfn.XLOOKUP(C59,customers!$A:$A,customers!$G:$G,,0))</f>
        <v>Austria</v>
      </c>
      <c r="I59" t="str">
        <f>IF(_xlfn.XLOOKUP(D59,product!$A:$A,product!$E:$E,,0)=0,"",_xlfn.XLOOKUP(D59,product!$A:$A,product!$E:$E,,0))</f>
        <v>TECH</v>
      </c>
      <c r="J59" s="5">
        <f>IF(_xlfn.XLOOKUP(D59,product!$A:$A,product!$D:$D,,0)=0,"",_xlfn.XLOOKUP(D59,product!$A:$A,product!$D:$D,,0))</f>
        <v>25.21</v>
      </c>
      <c r="K59" s="7">
        <f t="shared" si="0"/>
        <v>25.21</v>
      </c>
      <c r="L59" s="10" t="str">
        <f>IF(_xlfn.XLOOKUP(D59,product!$A:$A,product!$F:$F,,0)=0,"",_xlfn.XLOOKUP(D59,product!$A:$A,product!$F:$F,,0))</f>
        <v>Yes</v>
      </c>
      <c r="M59" t="str">
        <f>IF(_xlfn.XLOOKUP(D59,product!$A:$A,product!G:G,,0)=0,"",_xlfn.XLOOKUP(D59,product!$A:$A,product!G:G,,0))</f>
        <v>Gold</v>
      </c>
      <c r="N59" t="str">
        <f>IF(_xlfn.XLOOKUP(D59,product!$A:$A,product!$B:$B,,0)=0,"",_xlfn.XLOOKUP(D59,product!$A:$A,product!$B:$B,,0))</f>
        <v>Mind Data</v>
      </c>
    </row>
    <row r="60" spans="1:14" x14ac:dyDescent="0.35">
      <c r="A60" t="s">
        <v>24</v>
      </c>
      <c r="B60" s="3">
        <v>45032</v>
      </c>
      <c r="C60" t="s">
        <v>2233</v>
      </c>
      <c r="D60" t="s">
        <v>5332</v>
      </c>
      <c r="E60">
        <v>2</v>
      </c>
      <c r="F60" t="str">
        <f>_xlfn.XLOOKUP(C60,customers!$A$1:$A$983,customers!$B$1:$B$983,,0)</f>
        <v>David Baker</v>
      </c>
      <c r="G60" t="str">
        <f>_xlfn.XLOOKUP(C60,customers!$A:$A,customers!$C:$C,,0)</f>
        <v>david.baker351@yahoo.com</v>
      </c>
      <c r="H60" t="str">
        <f>IF(_xlfn.XLOOKUP(C60,customers!$A:$A,customers!$G:$G,,0)=0,"",_xlfn.XLOOKUP(C60,customers!$A:$A,customers!$G:$G,,0))</f>
        <v>Germany</v>
      </c>
      <c r="I60" t="str">
        <f>IF(_xlfn.XLOOKUP(D60,product!$A:$A,product!$E:$E,,0)=0,"",_xlfn.XLOOKUP(D60,product!$A:$A,product!$E:$E,,0))</f>
        <v>BUSINESS</v>
      </c>
      <c r="J60" s="5">
        <f>IF(_xlfn.XLOOKUP(D60,product!$A:$A,product!$D:$D,,0)=0,"",_xlfn.XLOOKUP(D60,product!$A:$A,product!$D:$D,,0))</f>
        <v>38.049999999999997</v>
      </c>
      <c r="K60" s="7">
        <f t="shared" si="0"/>
        <v>76.099999999999994</v>
      </c>
      <c r="L60" s="10" t="str">
        <f>IF(_xlfn.XLOOKUP(D60,product!$A:$A,product!$F:$F,,0)=0,"",_xlfn.XLOOKUP(D60,product!$A:$A,product!$F:$F,,0))</f>
        <v>No</v>
      </c>
      <c r="M60" t="str">
        <f>IF(_xlfn.XLOOKUP(D60,product!$A:$A,product!G:G,,0)=0,"",_xlfn.XLOOKUP(D60,product!$A:$A,product!G:G,,0))</f>
        <v>Silver</v>
      </c>
      <c r="N60" t="str">
        <f>IF(_xlfn.XLOOKUP(D60,product!$A:$A,product!$B:$B,,0)=0,"",_xlfn.XLOOKUP(D60,product!$A:$A,product!$B:$B,,0))</f>
        <v>Quantum Mind</v>
      </c>
    </row>
    <row r="61" spans="1:14" x14ac:dyDescent="0.35">
      <c r="A61" t="s">
        <v>41</v>
      </c>
      <c r="B61" s="3">
        <v>45313</v>
      </c>
      <c r="C61" t="s">
        <v>2289</v>
      </c>
      <c r="D61" t="s">
        <v>5335</v>
      </c>
      <c r="E61">
        <v>4</v>
      </c>
      <c r="F61" t="str">
        <f>_xlfn.XLOOKUP(C61,customers!$A$1:$A$983,customers!$B$1:$B$983,,0)</f>
        <v>Mark Lopez</v>
      </c>
      <c r="G61" t="str">
        <f>_xlfn.XLOOKUP(C61,customers!$A:$A,customers!$C:$C,,0)</f>
        <v>mark.lopez375@hotmail.com</v>
      </c>
      <c r="H61" t="str">
        <f>IF(_xlfn.XLOOKUP(C61,customers!$A:$A,customers!$G:$G,,0)=0,"",_xlfn.XLOOKUP(C61,customers!$A:$A,customers!$G:$G,,0))</f>
        <v>Spain</v>
      </c>
      <c r="I61" t="str">
        <f>IF(_xlfn.XLOOKUP(D61,product!$A:$A,product!$E:$E,,0)=0,"",_xlfn.XLOOKUP(D61,product!$A:$A,product!$E:$E,,0))</f>
        <v>HISTORY</v>
      </c>
      <c r="J61" s="5">
        <f>IF(_xlfn.XLOOKUP(D61,product!$A:$A,product!$D:$D,,0)=0,"",_xlfn.XLOOKUP(D61,product!$A:$A,product!$D:$D,,0))</f>
        <v>24.06</v>
      </c>
      <c r="K61" s="7">
        <f t="shared" si="0"/>
        <v>96.24</v>
      </c>
      <c r="L61" s="10" t="str">
        <f>IF(_xlfn.XLOOKUP(D61,product!$A:$A,product!$F:$F,,0)=0,"",_xlfn.XLOOKUP(D61,product!$A:$A,product!$F:$F,,0))</f>
        <v>No</v>
      </c>
      <c r="M61" t="str">
        <f>IF(_xlfn.XLOOKUP(D61,product!$A:$A,product!G:G,,0)=0,"",_xlfn.XLOOKUP(D61,product!$A:$A,product!G:G,,0))</f>
        <v>Silver</v>
      </c>
      <c r="N61" t="str">
        <f>IF(_xlfn.XLOOKUP(D61,product!$A:$A,product!$B:$B,,0)=0,"",_xlfn.XLOOKUP(D61,product!$A:$A,product!$B:$B,,0))</f>
        <v>Forest Science</v>
      </c>
    </row>
    <row r="62" spans="1:14" x14ac:dyDescent="0.35">
      <c r="A62" t="s">
        <v>58</v>
      </c>
      <c r="B62" s="3">
        <v>45224</v>
      </c>
      <c r="C62" t="s">
        <v>3119</v>
      </c>
      <c r="D62" t="s">
        <v>5337</v>
      </c>
      <c r="E62">
        <v>1</v>
      </c>
      <c r="F62" t="str">
        <f>_xlfn.XLOOKUP(C62,customers!$A$1:$A$983,customers!$B$1:$B$983,,0)</f>
        <v>Emily Robinson</v>
      </c>
      <c r="G62" t="str">
        <f>_xlfn.XLOOKUP(C62,customers!$A:$A,customers!$C:$C,,0)</f>
        <v>emily.robinson772@yahoo.com</v>
      </c>
      <c r="H62" t="str">
        <f>IF(_xlfn.XLOOKUP(C62,customers!$A:$A,customers!$G:$G,,0)=0,"",_xlfn.XLOOKUP(C62,customers!$A:$A,customers!$G:$G,,0))</f>
        <v>Japan</v>
      </c>
      <c r="I62" t="str">
        <f>IF(_xlfn.XLOOKUP(D62,product!$A:$A,product!$E:$E,,0)=0,"",_xlfn.XLOOKUP(D62,product!$A:$A,product!$E:$E,,0))</f>
        <v>HISTORY</v>
      </c>
      <c r="J62" s="5">
        <f>IF(_xlfn.XLOOKUP(D62,product!$A:$A,product!$D:$D,,0)=0,"",_xlfn.XLOOKUP(D62,product!$A:$A,product!$D:$D,,0))</f>
        <v>13.84</v>
      </c>
      <c r="K62" s="7">
        <f t="shared" si="0"/>
        <v>13.84</v>
      </c>
      <c r="L62" s="10" t="str">
        <f>IF(_xlfn.XLOOKUP(D62,product!$A:$A,product!$F:$F,,0)=0,"",_xlfn.XLOOKUP(D62,product!$A:$A,product!$F:$F,,0))</f>
        <v>No</v>
      </c>
      <c r="M62" t="str">
        <f>IF(_xlfn.XLOOKUP(D62,product!$A:$A,product!G:G,,0)=0,"",_xlfn.XLOOKUP(D62,product!$A:$A,product!G:G,,0))</f>
        <v>None</v>
      </c>
      <c r="N62" t="str">
        <f>IF(_xlfn.XLOOKUP(D62,product!$A:$A,product!$B:$B,,0)=0,"",_xlfn.XLOOKUP(D62,product!$A:$A,product!$B:$B,,0))</f>
        <v>Power Secrets</v>
      </c>
    </row>
    <row r="63" spans="1:14" x14ac:dyDescent="0.35">
      <c r="A63" t="s">
        <v>145</v>
      </c>
      <c r="B63" s="3">
        <v>45601</v>
      </c>
      <c r="C63" t="s">
        <v>3169</v>
      </c>
      <c r="D63" t="s">
        <v>5339</v>
      </c>
      <c r="E63">
        <v>1</v>
      </c>
      <c r="F63" t="str">
        <f>_xlfn.XLOOKUP(C63,customers!$A$1:$A$983,customers!$B$1:$B$983,,0)</f>
        <v>Kevin Baker</v>
      </c>
      <c r="G63" t="str">
        <f>_xlfn.XLOOKUP(C63,customers!$A:$A,customers!$C:$C,,0)</f>
        <v>kevin.baker797@yahoo.com</v>
      </c>
      <c r="H63" t="str">
        <f>IF(_xlfn.XLOOKUP(C63,customers!$A:$A,customers!$G:$G,,0)=0,"",_xlfn.XLOOKUP(C63,customers!$A:$A,customers!$G:$G,,0))</f>
        <v>Egypt</v>
      </c>
      <c r="I63" t="str">
        <f>IF(_xlfn.XLOOKUP(D63,product!$A:$A,product!$E:$E,,0)=0,"",_xlfn.XLOOKUP(D63,product!$A:$A,product!$E:$E,,0))</f>
        <v>SCIENCE</v>
      </c>
      <c r="J63" s="5">
        <f>IF(_xlfn.XLOOKUP(D63,product!$A:$A,product!$D:$D,,0)=0,"",_xlfn.XLOOKUP(D63,product!$A:$A,product!$D:$D,,0))</f>
        <v>24.72</v>
      </c>
      <c r="K63" s="7">
        <f t="shared" si="0"/>
        <v>24.72</v>
      </c>
      <c r="L63" s="10" t="str">
        <f>IF(_xlfn.XLOOKUP(D63,product!$A:$A,product!$F:$F,,0)=0,"",_xlfn.XLOOKUP(D63,product!$A:$A,product!$F:$F,,0))</f>
        <v>Yes</v>
      </c>
      <c r="M63" t="str">
        <f>IF(_xlfn.XLOOKUP(D63,product!$A:$A,product!G:G,,0)=0,"",_xlfn.XLOOKUP(D63,product!$A:$A,product!G:G,,0))</f>
        <v>Silver</v>
      </c>
      <c r="N63" t="str">
        <f>IF(_xlfn.XLOOKUP(D63,product!$A:$A,product!$B:$B,,0)=0,"",_xlfn.XLOOKUP(D63,product!$A:$A,product!$B:$B,,0))</f>
        <v>Power Mind</v>
      </c>
    </row>
    <row r="64" spans="1:14" x14ac:dyDescent="0.35">
      <c r="A64" t="s">
        <v>162</v>
      </c>
      <c r="B64" s="3">
        <v>45290</v>
      </c>
      <c r="C64" t="s">
        <v>3149</v>
      </c>
      <c r="D64" t="s">
        <v>5341</v>
      </c>
      <c r="E64">
        <v>4</v>
      </c>
      <c r="F64" t="str">
        <f>_xlfn.XLOOKUP(C64,customers!$A$1:$A$983,customers!$B$1:$B$983,,0)</f>
        <v>Anna Thomas</v>
      </c>
      <c r="G64" t="str">
        <f>_xlfn.XLOOKUP(C64,customers!$A:$A,customers!$C:$C,,0)</f>
        <v>anna.thomas787@outlook.com</v>
      </c>
      <c r="H64" t="str">
        <f>IF(_xlfn.XLOOKUP(C64,customers!$A:$A,customers!$G:$G,,0)=0,"",_xlfn.XLOOKUP(C64,customers!$A:$A,customers!$G:$G,,0))</f>
        <v>Sweden</v>
      </c>
      <c r="I64" t="str">
        <f>IF(_xlfn.XLOOKUP(D64,product!$A:$A,product!$E:$E,,0)=0,"",_xlfn.XLOOKUP(D64,product!$A:$A,product!$E:$E,,0))</f>
        <v>FICTION</v>
      </c>
      <c r="J64" s="5">
        <f>IF(_xlfn.XLOOKUP(D64,product!$A:$A,product!$D:$D,,0)=0,"",_xlfn.XLOOKUP(D64,product!$A:$A,product!$D:$D,,0))</f>
        <v>29.23</v>
      </c>
      <c r="K64" s="7">
        <f t="shared" si="0"/>
        <v>116.92</v>
      </c>
      <c r="L64" s="10" t="str">
        <f>IF(_xlfn.XLOOKUP(D64,product!$A:$A,product!$F:$F,,0)=0,"",_xlfn.XLOOKUP(D64,product!$A:$A,product!$F:$F,,0))</f>
        <v>Yes</v>
      </c>
      <c r="M64" t="str">
        <f>IF(_xlfn.XLOOKUP(D64,product!$A:$A,product!G:G,,0)=0,"",_xlfn.XLOOKUP(D64,product!$A:$A,product!G:G,,0))</f>
        <v>Gold</v>
      </c>
      <c r="N64" t="str">
        <f>IF(_xlfn.XLOOKUP(D64,product!$A:$A,product!$B:$B,,0)=0,"",_xlfn.XLOOKUP(D64,product!$A:$A,product!$B:$B,,0))</f>
        <v>Journey Science</v>
      </c>
    </row>
    <row r="65" spans="1:14" x14ac:dyDescent="0.35">
      <c r="A65" t="s">
        <v>179</v>
      </c>
      <c r="B65" s="3">
        <v>45360</v>
      </c>
      <c r="C65" t="s">
        <v>2343</v>
      </c>
      <c r="D65" t="s">
        <v>5342</v>
      </c>
      <c r="E65">
        <v>4</v>
      </c>
      <c r="F65" t="str">
        <f>_xlfn.XLOOKUP(C65,customers!$A$1:$A$983,customers!$B$1:$B$983,,0)</f>
        <v>Thomas Garcia</v>
      </c>
      <c r="G65" t="str">
        <f>_xlfn.XLOOKUP(C65,customers!$A:$A,customers!$C:$C,,0)</f>
        <v>thomas.garcia399@gmail.com</v>
      </c>
      <c r="H65" t="str">
        <f>IF(_xlfn.XLOOKUP(C65,customers!$A:$A,customers!$G:$G,,0)=0,"",_xlfn.XLOOKUP(C65,customers!$A:$A,customers!$G:$G,,0))</f>
        <v>Japan</v>
      </c>
      <c r="I65" t="str">
        <f>IF(_xlfn.XLOOKUP(D65,product!$A:$A,product!$E:$E,,0)=0,"",_xlfn.XLOOKUP(D65,product!$A:$A,product!$E:$E,,0))</f>
        <v>FICTION</v>
      </c>
      <c r="J65" s="5">
        <f>IF(_xlfn.XLOOKUP(D65,product!$A:$A,product!$D:$D,,0)=0,"",_xlfn.XLOOKUP(D65,product!$A:$A,product!$D:$D,,0))</f>
        <v>31.71</v>
      </c>
      <c r="K65" s="7">
        <f t="shared" si="0"/>
        <v>126.84</v>
      </c>
      <c r="L65" s="10" t="str">
        <f>IF(_xlfn.XLOOKUP(D65,product!$A:$A,product!$F:$F,,0)=0,"",_xlfn.XLOOKUP(D65,product!$A:$A,product!$F:$F,,0))</f>
        <v>Yes</v>
      </c>
      <c r="M65" t="str">
        <f>IF(_xlfn.XLOOKUP(D65,product!$A:$A,product!G:G,,0)=0,"",_xlfn.XLOOKUP(D65,product!$A:$A,product!G:G,,0))</f>
        <v>Silver</v>
      </c>
      <c r="N65" t="str">
        <f>IF(_xlfn.XLOOKUP(D65,product!$A:$A,product!$B:$B,,0)=0,"",_xlfn.XLOOKUP(D65,product!$A:$A,product!$B:$B,,0))</f>
        <v>Mind Power</v>
      </c>
    </row>
    <row r="66" spans="1:14" x14ac:dyDescent="0.35">
      <c r="A66" t="s">
        <v>196</v>
      </c>
      <c r="B66" s="3">
        <v>44958</v>
      </c>
      <c r="C66" t="s">
        <v>2375</v>
      </c>
      <c r="D66" t="s">
        <v>5343</v>
      </c>
      <c r="E66">
        <v>4</v>
      </c>
      <c r="F66" t="str">
        <f>_xlfn.XLOOKUP(C66,customers!$A$1:$A$983,customers!$B$1:$B$983,,0)</f>
        <v>Robert Baker</v>
      </c>
      <c r="G66" t="str">
        <f>_xlfn.XLOOKUP(C66,customers!$A:$A,customers!$C:$C,,0)</f>
        <v>robert.baker414@yahoo.com</v>
      </c>
      <c r="H66" t="str">
        <f>IF(_xlfn.XLOOKUP(C66,customers!$A:$A,customers!$G:$G,,0)=0,"",_xlfn.XLOOKUP(C66,customers!$A:$A,customers!$G:$G,,0))</f>
        <v>Germany</v>
      </c>
      <c r="I66" t="str">
        <f>IF(_xlfn.XLOOKUP(D66,product!$A:$A,product!$E:$E,,0)=0,"",_xlfn.XLOOKUP(D66,product!$A:$A,product!$E:$E,,0))</f>
        <v>HISTORY</v>
      </c>
      <c r="J66" s="5">
        <f>IF(_xlfn.XLOOKUP(D66,product!$A:$A,product!$D:$D,,0)=0,"",_xlfn.XLOOKUP(D66,product!$A:$A,product!$D:$D,,0))</f>
        <v>11.19</v>
      </c>
      <c r="K66" s="7">
        <f t="shared" si="0"/>
        <v>44.76</v>
      </c>
      <c r="L66" s="10" t="str">
        <f>IF(_xlfn.XLOOKUP(D66,product!$A:$A,product!$F:$F,,0)=0,"",_xlfn.XLOOKUP(D66,product!$A:$A,product!$F:$F,,0))</f>
        <v>No</v>
      </c>
      <c r="M66" t="str">
        <f>IF(_xlfn.XLOOKUP(D66,product!$A:$A,product!G:G,,0)=0,"",_xlfn.XLOOKUP(D66,product!$A:$A,product!G:G,,0))</f>
        <v>None</v>
      </c>
      <c r="N66" t="str">
        <f>IF(_xlfn.XLOOKUP(D66,product!$A:$A,product!$B:$B,,0)=0,"",_xlfn.XLOOKUP(D66,product!$A:$A,product!$B:$B,,0))</f>
        <v>Journey Science</v>
      </c>
    </row>
    <row r="67" spans="1:14" x14ac:dyDescent="0.35">
      <c r="A67" t="s">
        <v>213</v>
      </c>
      <c r="B67" s="3">
        <v>45457</v>
      </c>
      <c r="C67" t="s">
        <v>2744</v>
      </c>
      <c r="D67" t="s">
        <v>5344</v>
      </c>
      <c r="E67">
        <v>4</v>
      </c>
      <c r="F67" t="str">
        <f>_xlfn.XLOOKUP(C67,customers!$A$1:$A$983,customers!$B$1:$B$983,,0)</f>
        <v>Daniel Harris</v>
      </c>
      <c r="G67" t="str">
        <f>_xlfn.XLOOKUP(C67,customers!$A:$A,customers!$C:$C,,0)</f>
        <v>daniel.harris589@yahoo.com</v>
      </c>
      <c r="H67" t="str">
        <f>IF(_xlfn.XLOOKUP(C67,customers!$A:$A,customers!$G:$G,,0)=0,"",_xlfn.XLOOKUP(C67,customers!$A:$A,customers!$G:$G,,0))</f>
        <v>Sweden</v>
      </c>
      <c r="I67" t="str">
        <f>IF(_xlfn.XLOOKUP(D67,product!$A:$A,product!$E:$E,,0)=0,"",_xlfn.XLOOKUP(D67,product!$A:$A,product!$E:$E,,0))</f>
        <v>HISTORY</v>
      </c>
      <c r="J67" s="5">
        <f>IF(_xlfn.XLOOKUP(D67,product!$A:$A,product!$D:$D,,0)=0,"",_xlfn.XLOOKUP(D67,product!$A:$A,product!$D:$D,,0))</f>
        <v>13.58</v>
      </c>
      <c r="K67" s="7">
        <f t="shared" ref="K67:K130" si="1">J67*E67</f>
        <v>54.32</v>
      </c>
      <c r="L67" s="10" t="str">
        <f>IF(_xlfn.XLOOKUP(D67,product!$A:$A,product!$F:$F,,0)=0,"",_xlfn.XLOOKUP(D67,product!$A:$A,product!$F:$F,,0))</f>
        <v>Yes</v>
      </c>
      <c r="M67" t="str">
        <f>IF(_xlfn.XLOOKUP(D67,product!$A:$A,product!G:G,,0)=0,"",_xlfn.XLOOKUP(D67,product!$A:$A,product!G:G,,0))</f>
        <v>Silver</v>
      </c>
      <c r="N67" t="str">
        <f>IF(_xlfn.XLOOKUP(D67,product!$A:$A,product!$B:$B,,0)=0,"",_xlfn.XLOOKUP(D67,product!$A:$A,product!$B:$B,,0))</f>
        <v>Future Science</v>
      </c>
    </row>
    <row r="68" spans="1:14" x14ac:dyDescent="0.35">
      <c r="A68" t="s">
        <v>230</v>
      </c>
      <c r="B68" s="3">
        <v>45058</v>
      </c>
      <c r="C68" t="s">
        <v>1749</v>
      </c>
      <c r="D68" t="s">
        <v>5346</v>
      </c>
      <c r="E68">
        <v>4</v>
      </c>
      <c r="F68" t="str">
        <f>_xlfn.XLOOKUP(C68,customers!$A$1:$A$983,customers!$B$1:$B$983,,0)</f>
        <v>Mia Anderson</v>
      </c>
      <c r="G68" t="str">
        <f>_xlfn.XLOOKUP(C68,customers!$A:$A,customers!$C:$C,,0)</f>
        <v>mia.anderson183@gmail.com</v>
      </c>
      <c r="H68" t="str">
        <f>IF(_xlfn.XLOOKUP(C68,customers!$A:$A,customers!$G:$G,,0)=0,"",_xlfn.XLOOKUP(C68,customers!$A:$A,customers!$G:$G,,0))</f>
        <v>Japan</v>
      </c>
      <c r="I68" t="str">
        <f>IF(_xlfn.XLOOKUP(D68,product!$A:$A,product!$E:$E,,0)=0,"",_xlfn.XLOOKUP(D68,product!$A:$A,product!$E:$E,,0))</f>
        <v>SCIENCE</v>
      </c>
      <c r="J68" s="5">
        <f>IF(_xlfn.XLOOKUP(D68,product!$A:$A,product!$D:$D,,0)=0,"",_xlfn.XLOOKUP(D68,product!$A:$A,product!$D:$D,,0))</f>
        <v>26.45</v>
      </c>
      <c r="K68" s="7">
        <f t="shared" si="1"/>
        <v>105.8</v>
      </c>
      <c r="L68" s="10" t="str">
        <f>IF(_xlfn.XLOOKUP(D68,product!$A:$A,product!$F:$F,,0)=0,"",_xlfn.XLOOKUP(D68,product!$A:$A,product!$F:$F,,0))</f>
        <v>No</v>
      </c>
      <c r="M68" t="str">
        <f>IF(_xlfn.XLOOKUP(D68,product!$A:$A,product!G:G,,0)=0,"",_xlfn.XLOOKUP(D68,product!$A:$A,product!G:G,,0))</f>
        <v>None</v>
      </c>
      <c r="N68" t="str">
        <f>IF(_xlfn.XLOOKUP(D68,product!$A:$A,product!$B:$B,,0)=0,"",_xlfn.XLOOKUP(D68,product!$A:$A,product!$B:$B,,0))</f>
        <v>Science Data</v>
      </c>
    </row>
    <row r="69" spans="1:14" x14ac:dyDescent="0.35">
      <c r="A69" t="s">
        <v>247</v>
      </c>
      <c r="B69" s="3">
        <v>45572</v>
      </c>
      <c r="C69" t="s">
        <v>1255</v>
      </c>
      <c r="D69" t="s">
        <v>5348</v>
      </c>
      <c r="E69">
        <v>4</v>
      </c>
      <c r="F69" t="str">
        <f>_xlfn.XLOOKUP(C69,customers!$A$1:$A$983,customers!$B$1:$B$983,,0)</f>
        <v>Amelia Jackson</v>
      </c>
      <c r="G69" t="str">
        <f>_xlfn.XLOOKUP(C69,customers!$A:$A,customers!$C:$C,,0)</f>
        <v>amelia.jackson53@gmail.com</v>
      </c>
      <c r="H69" t="str">
        <f>IF(_xlfn.XLOOKUP(C69,customers!$A:$A,customers!$G:$G,,0)=0,"",_xlfn.XLOOKUP(C69,customers!$A:$A,customers!$G:$G,,0))</f>
        <v>Spain</v>
      </c>
      <c r="I69" t="str">
        <f>IF(_xlfn.XLOOKUP(D69,product!$A:$A,product!$E:$E,,0)=0,"",_xlfn.XLOOKUP(D69,product!$A:$A,product!$E:$E,,0))</f>
        <v>HISTORY</v>
      </c>
      <c r="J69" s="5">
        <f>IF(_xlfn.XLOOKUP(D69,product!$A:$A,product!$D:$D,,0)=0,"",_xlfn.XLOOKUP(D69,product!$A:$A,product!$D:$D,,0))</f>
        <v>14.34</v>
      </c>
      <c r="K69" s="7">
        <f t="shared" si="1"/>
        <v>57.36</v>
      </c>
      <c r="L69" s="10" t="str">
        <f>IF(_xlfn.XLOOKUP(D69,product!$A:$A,product!$F:$F,,0)=0,"",_xlfn.XLOOKUP(D69,product!$A:$A,product!$F:$F,,0))</f>
        <v>Yes</v>
      </c>
      <c r="M69" t="str">
        <f>IF(_xlfn.XLOOKUP(D69,product!$A:$A,product!G:G,,0)=0,"",_xlfn.XLOOKUP(D69,product!$A:$A,product!G:G,,0))</f>
        <v>Silver</v>
      </c>
      <c r="N69" t="str">
        <f>IF(_xlfn.XLOOKUP(D69,product!$A:$A,product!$B:$B,,0)=0,"",_xlfn.XLOOKUP(D69,product!$A:$A,product!$B:$B,,0))</f>
        <v>Science Quantum</v>
      </c>
    </row>
    <row r="70" spans="1:14" x14ac:dyDescent="0.35">
      <c r="A70" t="s">
        <v>264</v>
      </c>
      <c r="B70" s="3">
        <v>45135</v>
      </c>
      <c r="C70" t="s">
        <v>1711</v>
      </c>
      <c r="D70" t="s">
        <v>5349</v>
      </c>
      <c r="E70">
        <v>4</v>
      </c>
      <c r="F70" t="str">
        <f>_xlfn.XLOOKUP(C70,customers!$A$1:$A$983,customers!$B$1:$B$983,,0)</f>
        <v>Steven Lewis</v>
      </c>
      <c r="G70" t="str">
        <f>_xlfn.XLOOKUP(C70,customers!$A:$A,customers!$C:$C,,0)</f>
        <v>steven.lewis174@yahoo.com</v>
      </c>
      <c r="H70" t="str">
        <f>IF(_xlfn.XLOOKUP(C70,customers!$A:$A,customers!$G:$G,,0)=0,"",_xlfn.XLOOKUP(C70,customers!$A:$A,customers!$G:$G,,0))</f>
        <v>Japan</v>
      </c>
      <c r="I70" t="str">
        <f>IF(_xlfn.XLOOKUP(D70,product!$A:$A,product!$E:$E,,0)=0,"",_xlfn.XLOOKUP(D70,product!$A:$A,product!$E:$E,,0))</f>
        <v>SCIENCE</v>
      </c>
      <c r="J70" s="5">
        <f>IF(_xlfn.XLOOKUP(D70,product!$A:$A,product!$D:$D,,0)=0,"",_xlfn.XLOOKUP(D70,product!$A:$A,product!$D:$D,,0))</f>
        <v>24.83</v>
      </c>
      <c r="K70" s="7">
        <f t="shared" si="1"/>
        <v>99.32</v>
      </c>
      <c r="L70" s="10" t="str">
        <f>IF(_xlfn.XLOOKUP(D70,product!$A:$A,product!$F:$F,,0)=0,"",_xlfn.XLOOKUP(D70,product!$A:$A,product!$F:$F,,0))</f>
        <v>No</v>
      </c>
      <c r="M70" t="str">
        <f>IF(_xlfn.XLOOKUP(D70,product!$A:$A,product!G:G,,0)=0,"",_xlfn.XLOOKUP(D70,product!$A:$A,product!G:G,,0))</f>
        <v>None</v>
      </c>
      <c r="N70" t="str">
        <f>IF(_xlfn.XLOOKUP(D70,product!$A:$A,product!$B:$B,,0)=0,"",_xlfn.XLOOKUP(D70,product!$A:$A,product!$B:$B,,0))</f>
        <v>Data Science</v>
      </c>
    </row>
    <row r="71" spans="1:14" x14ac:dyDescent="0.35">
      <c r="A71" t="s">
        <v>281</v>
      </c>
      <c r="B71" s="3">
        <v>45525</v>
      </c>
      <c r="C71" t="s">
        <v>2076</v>
      </c>
      <c r="D71" t="s">
        <v>5350</v>
      </c>
      <c r="E71">
        <v>4</v>
      </c>
      <c r="F71" t="str">
        <f>_xlfn.XLOOKUP(C71,customers!$A$1:$A$983,customers!$B$1:$B$983,,0)</f>
        <v>Anthony Smith</v>
      </c>
      <c r="G71" t="str">
        <f>_xlfn.XLOOKUP(C71,customers!$A:$A,customers!$C:$C,,0)</f>
        <v>anthony.smith287@gmail.com</v>
      </c>
      <c r="H71" t="str">
        <f>IF(_xlfn.XLOOKUP(C71,customers!$A:$A,customers!$G:$G,,0)=0,"",_xlfn.XLOOKUP(C71,customers!$A:$A,customers!$G:$G,,0))</f>
        <v>Spain</v>
      </c>
      <c r="I71" t="str">
        <f>IF(_xlfn.XLOOKUP(D71,product!$A:$A,product!$E:$E,,0)=0,"",_xlfn.XLOOKUP(D71,product!$A:$A,product!$E:$E,,0))</f>
        <v>SCIENCE</v>
      </c>
      <c r="J71" s="5">
        <f>IF(_xlfn.XLOOKUP(D71,product!$A:$A,product!$D:$D,,0)=0,"",_xlfn.XLOOKUP(D71,product!$A:$A,product!$D:$D,,0))</f>
        <v>13.23</v>
      </c>
      <c r="K71" s="7">
        <f t="shared" si="1"/>
        <v>52.92</v>
      </c>
      <c r="L71" s="10" t="str">
        <f>IF(_xlfn.XLOOKUP(D71,product!$A:$A,product!$F:$F,,0)=0,"",_xlfn.XLOOKUP(D71,product!$A:$A,product!$F:$F,,0))</f>
        <v>Yes</v>
      </c>
      <c r="M71" t="str">
        <f>IF(_xlfn.XLOOKUP(D71,product!$A:$A,product!G:G,,0)=0,"",_xlfn.XLOOKUP(D71,product!$A:$A,product!G:G,,0))</f>
        <v>None</v>
      </c>
      <c r="N71" t="str">
        <f>IF(_xlfn.XLOOKUP(D71,product!$A:$A,product!$B:$B,,0)=0,"",_xlfn.XLOOKUP(D71,product!$A:$A,product!$B:$B,,0))</f>
        <v>Quantum Silent</v>
      </c>
    </row>
    <row r="72" spans="1:14" x14ac:dyDescent="0.35">
      <c r="A72" t="s">
        <v>298</v>
      </c>
      <c r="B72" s="3">
        <v>44946</v>
      </c>
      <c r="C72" t="s">
        <v>2587</v>
      </c>
      <c r="D72" t="s">
        <v>5352</v>
      </c>
      <c r="E72">
        <v>4</v>
      </c>
      <c r="F72" t="str">
        <f>_xlfn.XLOOKUP(C72,customers!$A$1:$A$983,customers!$B$1:$B$983,,0)</f>
        <v>Zoe Baker</v>
      </c>
      <c r="G72" t="str">
        <f>_xlfn.XLOOKUP(C72,customers!$A:$A,customers!$C:$C,,0)</f>
        <v>zoe.baker514@hotmail.com</v>
      </c>
      <c r="H72" t="str">
        <f>IF(_xlfn.XLOOKUP(C72,customers!$A:$A,customers!$G:$G,,0)=0,"",_xlfn.XLOOKUP(C72,customers!$A:$A,customers!$G:$G,,0))</f>
        <v>USA</v>
      </c>
      <c r="I72" t="str">
        <f>IF(_xlfn.XLOOKUP(D72,product!$A:$A,product!$E:$E,,0)=0,"",_xlfn.XLOOKUP(D72,product!$A:$A,product!$E:$E,,0))</f>
        <v>HISTORY</v>
      </c>
      <c r="J72" s="5">
        <f>IF(_xlfn.XLOOKUP(D72,product!$A:$A,product!$D:$D,,0)=0,"",_xlfn.XLOOKUP(D72,product!$A:$A,product!$D:$D,,0))</f>
        <v>13.58</v>
      </c>
      <c r="K72" s="7">
        <f t="shared" si="1"/>
        <v>54.32</v>
      </c>
      <c r="L72" s="10" t="str">
        <f>IF(_xlfn.XLOOKUP(D72,product!$A:$A,product!$F:$F,,0)=0,"",_xlfn.XLOOKUP(D72,product!$A:$A,product!$F:$F,,0))</f>
        <v>Yes</v>
      </c>
      <c r="M72" t="str">
        <f>IF(_xlfn.XLOOKUP(D72,product!$A:$A,product!G:G,,0)=0,"",_xlfn.XLOOKUP(D72,product!$A:$A,product!G:G,,0))</f>
        <v>None</v>
      </c>
      <c r="N72" t="str">
        <f>IF(_xlfn.XLOOKUP(D72,product!$A:$A,product!$B:$B,,0)=0,"",_xlfn.XLOOKUP(D72,product!$A:$A,product!$B:$B,,0))</f>
        <v>Forest Science</v>
      </c>
    </row>
    <row r="73" spans="1:14" x14ac:dyDescent="0.35">
      <c r="A73" t="s">
        <v>315</v>
      </c>
      <c r="B73" s="3">
        <v>45412</v>
      </c>
      <c r="C73" t="s">
        <v>3214</v>
      </c>
      <c r="D73" t="s">
        <v>5354</v>
      </c>
      <c r="E73">
        <v>4</v>
      </c>
      <c r="F73" t="str">
        <f>_xlfn.XLOOKUP(C73,customers!$A$1:$A$983,customers!$B$1:$B$983,,0)</f>
        <v>Lily Lopez</v>
      </c>
      <c r="G73" t="str">
        <f>_xlfn.XLOOKUP(C73,customers!$A:$A,customers!$C:$C,,0)</f>
        <v>lily.lopez820@gmail.com</v>
      </c>
      <c r="H73" t="str">
        <f>IF(_xlfn.XLOOKUP(C73,customers!$A:$A,customers!$G:$G,,0)=0,"",_xlfn.XLOOKUP(C73,customers!$A:$A,customers!$G:$G,,0))</f>
        <v>South Korea</v>
      </c>
      <c r="I73" t="str">
        <f>IF(_xlfn.XLOOKUP(D73,product!$A:$A,product!$E:$E,,0)=0,"",_xlfn.XLOOKUP(D73,product!$A:$A,product!$E:$E,,0))</f>
        <v>BUSINESS</v>
      </c>
      <c r="J73" s="5">
        <f>IF(_xlfn.XLOOKUP(D73,product!$A:$A,product!$D:$D,,0)=0,"",_xlfn.XLOOKUP(D73,product!$A:$A,product!$D:$D,,0))</f>
        <v>13.11</v>
      </c>
      <c r="K73" s="7">
        <f t="shared" si="1"/>
        <v>52.44</v>
      </c>
      <c r="L73" s="10" t="str">
        <f>IF(_xlfn.XLOOKUP(D73,product!$A:$A,product!$F:$F,,0)=0,"",_xlfn.XLOOKUP(D73,product!$A:$A,product!$F:$F,,0))</f>
        <v>No</v>
      </c>
      <c r="M73" t="str">
        <f>IF(_xlfn.XLOOKUP(D73,product!$A:$A,product!G:G,,0)=0,"",_xlfn.XLOOKUP(D73,product!$A:$A,product!G:G,,0))</f>
        <v>Gold</v>
      </c>
      <c r="N73" t="str">
        <f>IF(_xlfn.XLOOKUP(D73,product!$A:$A,product!$B:$B,,0)=0,"",_xlfn.XLOOKUP(D73,product!$A:$A,product!$B:$B,,0))</f>
        <v>Data Quantum</v>
      </c>
    </row>
    <row r="74" spans="1:14" x14ac:dyDescent="0.35">
      <c r="A74" t="s">
        <v>332</v>
      </c>
      <c r="B74" s="3">
        <v>45171</v>
      </c>
      <c r="C74" t="s">
        <v>1386</v>
      </c>
      <c r="D74" t="s">
        <v>5355</v>
      </c>
      <c r="E74">
        <v>4</v>
      </c>
      <c r="F74" t="str">
        <f>_xlfn.XLOOKUP(C74,customers!$A$1:$A$983,customers!$B$1:$B$983,,0)</f>
        <v>John Rodriguez</v>
      </c>
      <c r="G74" t="str">
        <f>_xlfn.XLOOKUP(C74,customers!$A:$A,customers!$C:$C,,0)</f>
        <v>john.rodriguez88@hotmail.com</v>
      </c>
      <c r="H74" t="str">
        <f>IF(_xlfn.XLOOKUP(C74,customers!$A:$A,customers!$G:$G,,0)=0,"",_xlfn.XLOOKUP(C74,customers!$A:$A,customers!$G:$G,,0))</f>
        <v>Japan</v>
      </c>
      <c r="I74" t="str">
        <f>IF(_xlfn.XLOOKUP(D74,product!$A:$A,product!$E:$E,,0)=0,"",_xlfn.XLOOKUP(D74,product!$A:$A,product!$E:$E,,0))</f>
        <v>FICTION</v>
      </c>
      <c r="J74" s="5">
        <f>IF(_xlfn.XLOOKUP(D74,product!$A:$A,product!$D:$D,,0)=0,"",_xlfn.XLOOKUP(D74,product!$A:$A,product!$D:$D,,0))</f>
        <v>14.67</v>
      </c>
      <c r="K74" s="7">
        <f t="shared" si="1"/>
        <v>58.68</v>
      </c>
      <c r="L74" s="10" t="str">
        <f>IF(_xlfn.XLOOKUP(D74,product!$A:$A,product!$F:$F,,0)=0,"",_xlfn.XLOOKUP(D74,product!$A:$A,product!$F:$F,,0))</f>
        <v>No</v>
      </c>
      <c r="M74" t="str">
        <f>IF(_xlfn.XLOOKUP(D74,product!$A:$A,product!G:G,,0)=0,"",_xlfn.XLOOKUP(D74,product!$A:$A,product!G:G,,0))</f>
        <v>None</v>
      </c>
      <c r="N74" t="str">
        <f>IF(_xlfn.XLOOKUP(D74,product!$A:$A,product!$B:$B,,0)=0,"",_xlfn.XLOOKUP(D74,product!$A:$A,product!$B:$B,,0))</f>
        <v>Forest Silent</v>
      </c>
    </row>
    <row r="75" spans="1:14" x14ac:dyDescent="0.35">
      <c r="A75" t="s">
        <v>349</v>
      </c>
      <c r="B75" s="3">
        <v>45645</v>
      </c>
      <c r="C75" t="s">
        <v>2916</v>
      </c>
      <c r="D75" t="s">
        <v>5356</v>
      </c>
      <c r="E75">
        <v>4</v>
      </c>
      <c r="F75" t="str">
        <f>_xlfn.XLOOKUP(C75,customers!$A$1:$A$983,customers!$B$1:$B$983,,0)</f>
        <v>Laura Thomas</v>
      </c>
      <c r="G75" t="str">
        <f>_xlfn.XLOOKUP(C75,customers!$A:$A,customers!$C:$C,,0)</f>
        <v>laura.thomas673@yahoo.com</v>
      </c>
      <c r="H75" t="str">
        <f>IF(_xlfn.XLOOKUP(C75,customers!$A:$A,customers!$G:$G,,0)=0,"",_xlfn.XLOOKUP(C75,customers!$A:$A,customers!$G:$G,,0))</f>
        <v>Japan</v>
      </c>
      <c r="I75" t="str">
        <f>IF(_xlfn.XLOOKUP(D75,product!$A:$A,product!$E:$E,,0)=0,"",_xlfn.XLOOKUP(D75,product!$A:$A,product!$E:$E,,0))</f>
        <v>FICTION</v>
      </c>
      <c r="J75" s="5">
        <f>IF(_xlfn.XLOOKUP(D75,product!$A:$A,product!$D:$D,,0)=0,"",_xlfn.XLOOKUP(D75,product!$A:$A,product!$D:$D,,0))</f>
        <v>35.17</v>
      </c>
      <c r="K75" s="7">
        <f t="shared" si="1"/>
        <v>140.68</v>
      </c>
      <c r="L75" s="10" t="str">
        <f>IF(_xlfn.XLOOKUP(D75,product!$A:$A,product!$F:$F,,0)=0,"",_xlfn.XLOOKUP(D75,product!$A:$A,product!$F:$F,,0))</f>
        <v>No</v>
      </c>
      <c r="M75" t="str">
        <f>IF(_xlfn.XLOOKUP(D75,product!$A:$A,product!G:G,,0)=0,"",_xlfn.XLOOKUP(D75,product!$A:$A,product!G:G,,0))</f>
        <v>Silver</v>
      </c>
      <c r="N75" t="str">
        <f>IF(_xlfn.XLOOKUP(D75,product!$A:$A,product!$B:$B,,0)=0,"",_xlfn.XLOOKUP(D75,product!$A:$A,product!$B:$B,,0))</f>
        <v>Science Journey</v>
      </c>
    </row>
    <row r="76" spans="1:14" x14ac:dyDescent="0.35">
      <c r="A76" t="s">
        <v>366</v>
      </c>
      <c r="B76" s="3">
        <v>45014</v>
      </c>
      <c r="C76" t="s">
        <v>3182</v>
      </c>
      <c r="D76" t="s">
        <v>5357</v>
      </c>
      <c r="E76">
        <v>4</v>
      </c>
      <c r="F76" t="str">
        <f>_xlfn.XLOOKUP(C76,customers!$A$1:$A$983,customers!$B$1:$B$983,,0)</f>
        <v>Daniel Adams</v>
      </c>
      <c r="G76" t="str">
        <f>_xlfn.XLOOKUP(C76,customers!$A:$A,customers!$C:$C,,0)</f>
        <v>daniel.adams804@outlook.com</v>
      </c>
      <c r="H76" t="str">
        <f>IF(_xlfn.XLOOKUP(C76,customers!$A:$A,customers!$G:$G,,0)=0,"",_xlfn.XLOOKUP(C76,customers!$A:$A,customers!$G:$G,,0))</f>
        <v>Japan</v>
      </c>
      <c r="I76" t="str">
        <f>IF(_xlfn.XLOOKUP(D76,product!$A:$A,product!$E:$E,,0)=0,"",_xlfn.XLOOKUP(D76,product!$A:$A,product!$E:$E,,0))</f>
        <v>FICTION</v>
      </c>
      <c r="J76" s="5">
        <f>IF(_xlfn.XLOOKUP(D76,product!$A:$A,product!$D:$D,,0)=0,"",_xlfn.XLOOKUP(D76,product!$A:$A,product!$D:$D,,0))</f>
        <v>21.89</v>
      </c>
      <c r="K76" s="7">
        <f t="shared" si="1"/>
        <v>87.56</v>
      </c>
      <c r="L76" s="10" t="str">
        <f>IF(_xlfn.XLOOKUP(D76,product!$A:$A,product!$F:$F,,0)=0,"",_xlfn.XLOOKUP(D76,product!$A:$A,product!$F:$F,,0))</f>
        <v>No</v>
      </c>
      <c r="M76" t="str">
        <f>IF(_xlfn.XLOOKUP(D76,product!$A:$A,product!G:G,,0)=0,"",_xlfn.XLOOKUP(D76,product!$A:$A,product!G:G,,0))</f>
        <v>Gold</v>
      </c>
      <c r="N76" t="str">
        <f>IF(_xlfn.XLOOKUP(D76,product!$A:$A,product!$B:$B,,0)=0,"",_xlfn.XLOOKUP(D76,product!$A:$A,product!$B:$B,,0))</f>
        <v>Quantum Journey</v>
      </c>
    </row>
    <row r="77" spans="1:14" x14ac:dyDescent="0.35">
      <c r="A77" t="s">
        <v>383</v>
      </c>
      <c r="B77" s="3">
        <v>45343</v>
      </c>
      <c r="C77" t="s">
        <v>1575</v>
      </c>
      <c r="D77" t="s">
        <v>5360</v>
      </c>
      <c r="E77">
        <v>4</v>
      </c>
      <c r="F77" t="str">
        <f>_xlfn.XLOOKUP(C77,customers!$A$1:$A$983,customers!$B$1:$B$983,,0)</f>
        <v>Grace Lopez</v>
      </c>
      <c r="G77" t="str">
        <f>_xlfn.XLOOKUP(C77,customers!$A:$A,customers!$C:$C,,0)</f>
        <v>grace.lopez143@outlook.com</v>
      </c>
      <c r="H77" t="str">
        <f>IF(_xlfn.XLOOKUP(C77,customers!$A:$A,customers!$G:$G,,0)=0,"",_xlfn.XLOOKUP(C77,customers!$A:$A,customers!$G:$G,,0))</f>
        <v>Spain</v>
      </c>
      <c r="I77" t="str">
        <f>IF(_xlfn.XLOOKUP(D77,product!$A:$A,product!$E:$E,,0)=0,"",_xlfn.XLOOKUP(D77,product!$A:$A,product!$E:$E,,0))</f>
        <v>HISTORY</v>
      </c>
      <c r="J77" s="5">
        <f>IF(_xlfn.XLOOKUP(D77,product!$A:$A,product!$D:$D,,0)=0,"",_xlfn.XLOOKUP(D77,product!$A:$A,product!$D:$D,,0))</f>
        <v>13.31</v>
      </c>
      <c r="K77" s="7">
        <f t="shared" si="1"/>
        <v>53.24</v>
      </c>
      <c r="L77" s="10" t="str">
        <f>IF(_xlfn.XLOOKUP(D77,product!$A:$A,product!$F:$F,,0)=0,"",_xlfn.XLOOKUP(D77,product!$A:$A,product!$F:$F,,0))</f>
        <v>Yes</v>
      </c>
      <c r="M77" t="str">
        <f>IF(_xlfn.XLOOKUP(D77,product!$A:$A,product!G:G,,0)=0,"",_xlfn.XLOOKUP(D77,product!$A:$A,product!G:G,,0))</f>
        <v>Silver</v>
      </c>
      <c r="N77" t="str">
        <f>IF(_xlfn.XLOOKUP(D77,product!$A:$A,product!$B:$B,,0)=0,"",_xlfn.XLOOKUP(D77,product!$A:$A,product!$B:$B,,0))</f>
        <v>Journey Science</v>
      </c>
    </row>
    <row r="78" spans="1:14" x14ac:dyDescent="0.35">
      <c r="A78" t="s">
        <v>400</v>
      </c>
      <c r="B78" s="3">
        <v>45149</v>
      </c>
      <c r="C78" t="s">
        <v>2062</v>
      </c>
      <c r="D78" t="s">
        <v>5361</v>
      </c>
      <c r="E78">
        <v>4</v>
      </c>
      <c r="F78" t="str">
        <f>_xlfn.XLOOKUP(C78,customers!$A$1:$A$983,customers!$B$1:$B$983,,0)</f>
        <v>Chloe Hall</v>
      </c>
      <c r="G78" t="str">
        <f>_xlfn.XLOOKUP(C78,customers!$A:$A,customers!$C:$C,,0)</f>
        <v>chloe.hall282@yahoo.com</v>
      </c>
      <c r="H78" t="str">
        <f>IF(_xlfn.XLOOKUP(C78,customers!$A:$A,customers!$G:$G,,0)=0,"",_xlfn.XLOOKUP(C78,customers!$A:$A,customers!$G:$G,,0))</f>
        <v>Japan</v>
      </c>
      <c r="I78" t="str">
        <f>IF(_xlfn.XLOOKUP(D78,product!$A:$A,product!$E:$E,,0)=0,"",_xlfn.XLOOKUP(D78,product!$A:$A,product!$E:$E,,0))</f>
        <v>FICTION</v>
      </c>
      <c r="J78" s="5">
        <f>IF(_xlfn.XLOOKUP(D78,product!$A:$A,product!$D:$D,,0)=0,"",_xlfn.XLOOKUP(D78,product!$A:$A,product!$D:$D,,0))</f>
        <v>39.44</v>
      </c>
      <c r="K78" s="7">
        <f t="shared" si="1"/>
        <v>157.76</v>
      </c>
      <c r="L78" s="10" t="str">
        <f>IF(_xlfn.XLOOKUP(D78,product!$A:$A,product!$F:$F,,0)=0,"",_xlfn.XLOOKUP(D78,product!$A:$A,product!$F:$F,,0))</f>
        <v>Yes</v>
      </c>
      <c r="M78" t="str">
        <f>IF(_xlfn.XLOOKUP(D78,product!$A:$A,product!G:G,,0)=0,"",_xlfn.XLOOKUP(D78,product!$A:$A,product!G:G,,0))</f>
        <v>None</v>
      </c>
      <c r="N78" t="str">
        <f>IF(_xlfn.XLOOKUP(D78,product!$A:$A,product!$B:$B,,0)=0,"",_xlfn.XLOOKUP(D78,product!$A:$A,product!$B:$B,,0))</f>
        <v>Silent Future</v>
      </c>
    </row>
    <row r="79" spans="1:14" x14ac:dyDescent="0.35">
      <c r="A79" t="s">
        <v>417</v>
      </c>
      <c r="B79" s="3">
        <v>45427</v>
      </c>
      <c r="C79" t="s">
        <v>2427</v>
      </c>
      <c r="D79" t="s">
        <v>5363</v>
      </c>
      <c r="E79">
        <v>4</v>
      </c>
      <c r="F79" t="str">
        <f>_xlfn.XLOOKUP(C79,customers!$A$1:$A$983,customers!$B$1:$B$983,,0)</f>
        <v>James Harris</v>
      </c>
      <c r="G79" t="str">
        <f>_xlfn.XLOOKUP(C79,customers!$A:$A,customers!$C:$C,,0)</f>
        <v>james.harris437@gmail.com</v>
      </c>
      <c r="H79" t="str">
        <f>IF(_xlfn.XLOOKUP(C79,customers!$A:$A,customers!$G:$G,,0)=0,"",_xlfn.XLOOKUP(C79,customers!$A:$A,customers!$G:$G,,0))</f>
        <v>Egypt</v>
      </c>
      <c r="I79" t="str">
        <f>IF(_xlfn.XLOOKUP(D79,product!$A:$A,product!$E:$E,,0)=0,"",_xlfn.XLOOKUP(D79,product!$A:$A,product!$E:$E,,0))</f>
        <v>BUSINESS</v>
      </c>
      <c r="J79" s="5">
        <f>IF(_xlfn.XLOOKUP(D79,product!$A:$A,product!$D:$D,,0)=0,"",_xlfn.XLOOKUP(D79,product!$A:$A,product!$D:$D,,0))</f>
        <v>20.3</v>
      </c>
      <c r="K79" s="7">
        <f t="shared" si="1"/>
        <v>81.2</v>
      </c>
      <c r="L79" s="10" t="str">
        <f>IF(_xlfn.XLOOKUP(D79,product!$A:$A,product!$F:$F,,0)=0,"",_xlfn.XLOOKUP(D79,product!$A:$A,product!$F:$F,,0))</f>
        <v>No</v>
      </c>
      <c r="M79" t="str">
        <f>IF(_xlfn.XLOOKUP(D79,product!$A:$A,product!G:G,,0)=0,"",_xlfn.XLOOKUP(D79,product!$A:$A,product!G:G,,0))</f>
        <v>None</v>
      </c>
      <c r="N79" t="str">
        <f>IF(_xlfn.XLOOKUP(D79,product!$A:$A,product!$B:$B,,0)=0,"",_xlfn.XLOOKUP(D79,product!$A:$A,product!$B:$B,,0))</f>
        <v>Secrets Journey</v>
      </c>
    </row>
    <row r="80" spans="1:14" x14ac:dyDescent="0.35">
      <c r="A80" t="s">
        <v>434</v>
      </c>
      <c r="B80" s="3">
        <v>45232</v>
      </c>
      <c r="C80" t="s">
        <v>2470</v>
      </c>
      <c r="D80" t="s">
        <v>5366</v>
      </c>
      <c r="E80">
        <v>4</v>
      </c>
      <c r="F80" t="str">
        <f>_xlfn.XLOOKUP(C80,customers!$A$1:$A$983,customers!$B$1:$B$983,,0)</f>
        <v>Mark Rodriguez</v>
      </c>
      <c r="G80" t="str">
        <f>_xlfn.XLOOKUP(C80,customers!$A:$A,customers!$C:$C,,0)</f>
        <v>mark.rodriguez457@hotmail.com</v>
      </c>
      <c r="H80" t="str">
        <f>IF(_xlfn.XLOOKUP(C80,customers!$A:$A,customers!$G:$G,,0)=0,"",_xlfn.XLOOKUP(C80,customers!$A:$A,customers!$G:$G,,0))</f>
        <v>Japan</v>
      </c>
      <c r="I80" t="str">
        <f>IF(_xlfn.XLOOKUP(D80,product!$A:$A,product!$E:$E,,0)=0,"",_xlfn.XLOOKUP(D80,product!$A:$A,product!$E:$E,,0))</f>
        <v>SCIENCE</v>
      </c>
      <c r="J80" s="5">
        <f>IF(_xlfn.XLOOKUP(D80,product!$A:$A,product!$D:$D,,0)=0,"",_xlfn.XLOOKUP(D80,product!$A:$A,product!$D:$D,,0))</f>
        <v>38.880000000000003</v>
      </c>
      <c r="K80" s="7">
        <f t="shared" si="1"/>
        <v>155.52000000000001</v>
      </c>
      <c r="L80" s="10" t="str">
        <f>IF(_xlfn.XLOOKUP(D80,product!$A:$A,product!$F:$F,,0)=0,"",_xlfn.XLOOKUP(D80,product!$A:$A,product!$F:$F,,0))</f>
        <v>No</v>
      </c>
      <c r="M80" t="str">
        <f>IF(_xlfn.XLOOKUP(D80,product!$A:$A,product!G:G,,0)=0,"",_xlfn.XLOOKUP(D80,product!$A:$A,product!G:G,,0))</f>
        <v>Gold</v>
      </c>
      <c r="N80" t="str">
        <f>IF(_xlfn.XLOOKUP(D80,product!$A:$A,product!$B:$B,,0)=0,"",_xlfn.XLOOKUP(D80,product!$A:$A,product!$B:$B,,0))</f>
        <v>Secrets Future</v>
      </c>
    </row>
    <row r="81" spans="1:14" x14ac:dyDescent="0.35">
      <c r="A81" t="s">
        <v>451</v>
      </c>
      <c r="B81" s="3">
        <v>45481</v>
      </c>
      <c r="C81" t="s">
        <v>2464</v>
      </c>
      <c r="D81" t="s">
        <v>5368</v>
      </c>
      <c r="E81">
        <v>4</v>
      </c>
      <c r="F81" t="str">
        <f>_xlfn.XLOOKUP(C81,customers!$A$1:$A$983,customers!$B$1:$B$983,,0)</f>
        <v>Sarah Taylor</v>
      </c>
      <c r="G81" t="str">
        <f>_xlfn.XLOOKUP(C81,customers!$A:$A,customers!$C:$C,,0)</f>
        <v>sarah.taylor454@yahoo.com</v>
      </c>
      <c r="H81" t="str">
        <f>IF(_xlfn.XLOOKUP(C81,customers!$A:$A,customers!$G:$G,,0)=0,"",_xlfn.XLOOKUP(C81,customers!$A:$A,customers!$G:$G,,0))</f>
        <v>Sweden</v>
      </c>
      <c r="I81" t="str">
        <f>IF(_xlfn.XLOOKUP(D81,product!$A:$A,product!$E:$E,,0)=0,"",_xlfn.XLOOKUP(D81,product!$A:$A,product!$E:$E,,0))</f>
        <v>BUSINESS</v>
      </c>
      <c r="J81" s="5">
        <f>IF(_xlfn.XLOOKUP(D81,product!$A:$A,product!$D:$D,,0)=0,"",_xlfn.XLOOKUP(D81,product!$A:$A,product!$D:$D,,0))</f>
        <v>24.56</v>
      </c>
      <c r="K81" s="7">
        <f t="shared" si="1"/>
        <v>98.24</v>
      </c>
      <c r="L81" s="10" t="str">
        <f>IF(_xlfn.XLOOKUP(D81,product!$A:$A,product!$F:$F,,0)=0,"",_xlfn.XLOOKUP(D81,product!$A:$A,product!$F:$F,,0))</f>
        <v>Yes</v>
      </c>
      <c r="M81" t="str">
        <f>IF(_xlfn.XLOOKUP(D81,product!$A:$A,product!G:G,,0)=0,"",_xlfn.XLOOKUP(D81,product!$A:$A,product!G:G,,0))</f>
        <v>None</v>
      </c>
      <c r="N81" t="str">
        <f>IF(_xlfn.XLOOKUP(D81,product!$A:$A,product!$B:$B,,0)=0,"",_xlfn.XLOOKUP(D81,product!$A:$A,product!$B:$B,,0))</f>
        <v>Quantum Forest</v>
      </c>
    </row>
    <row r="82" spans="1:14" x14ac:dyDescent="0.35">
      <c r="A82" t="s">
        <v>468</v>
      </c>
      <c r="B82" s="3">
        <v>45096</v>
      </c>
      <c r="C82" t="s">
        <v>1632</v>
      </c>
      <c r="D82" t="s">
        <v>5369</v>
      </c>
      <c r="E82">
        <v>4</v>
      </c>
      <c r="F82" t="str">
        <f>_xlfn.XLOOKUP(C82,customers!$A$1:$A$983,customers!$B$1:$B$983,,0)</f>
        <v>John Anderson</v>
      </c>
      <c r="G82" t="str">
        <f>_xlfn.XLOOKUP(C82,customers!$A:$A,customers!$C:$C,,0)</f>
        <v>john.anderson156@yahoo.com</v>
      </c>
      <c r="H82" t="str">
        <f>IF(_xlfn.XLOOKUP(C82,customers!$A:$A,customers!$G:$G,,0)=0,"",_xlfn.XLOOKUP(C82,customers!$A:$A,customers!$G:$G,,0))</f>
        <v>Japan</v>
      </c>
      <c r="I82" t="str">
        <f>IF(_xlfn.XLOOKUP(D82,product!$A:$A,product!$E:$E,,0)=0,"",_xlfn.XLOOKUP(D82,product!$A:$A,product!$E:$E,,0))</f>
        <v>BUSINESS</v>
      </c>
      <c r="J82" s="5">
        <f>IF(_xlfn.XLOOKUP(D82,product!$A:$A,product!$D:$D,,0)=0,"",_xlfn.XLOOKUP(D82,product!$A:$A,product!$D:$D,,0))</f>
        <v>14.98</v>
      </c>
      <c r="K82" s="7">
        <f t="shared" si="1"/>
        <v>59.92</v>
      </c>
      <c r="L82" s="10" t="str">
        <f>IF(_xlfn.XLOOKUP(D82,product!$A:$A,product!$F:$F,,0)=0,"",_xlfn.XLOOKUP(D82,product!$A:$A,product!$F:$F,,0))</f>
        <v>No</v>
      </c>
      <c r="M82" t="str">
        <f>IF(_xlfn.XLOOKUP(D82,product!$A:$A,product!G:G,,0)=0,"",_xlfn.XLOOKUP(D82,product!$A:$A,product!G:G,,0))</f>
        <v>None</v>
      </c>
      <c r="N82" t="str">
        <f>IF(_xlfn.XLOOKUP(D82,product!$A:$A,product!$B:$B,,0)=0,"",_xlfn.XLOOKUP(D82,product!$A:$A,product!$B:$B,,0))</f>
        <v>Future Quantum</v>
      </c>
    </row>
    <row r="83" spans="1:14" x14ac:dyDescent="0.35">
      <c r="A83" t="s">
        <v>485</v>
      </c>
      <c r="B83" s="3">
        <v>45538</v>
      </c>
      <c r="C83" t="s">
        <v>1172</v>
      </c>
      <c r="D83" t="s">
        <v>5370</v>
      </c>
      <c r="E83">
        <v>4</v>
      </c>
      <c r="F83" t="str">
        <f>_xlfn.XLOOKUP(C83,customers!$A$1:$A$983,customers!$B$1:$B$983,,0)</f>
        <v>James Smith</v>
      </c>
      <c r="G83" t="str">
        <f>_xlfn.XLOOKUP(C83,customers!$A:$A,customers!$C:$C,,0)</f>
        <v>james.smith33@outlook.com</v>
      </c>
      <c r="H83" t="str">
        <f>IF(_xlfn.XLOOKUP(C83,customers!$A:$A,customers!$G:$G,,0)=0,"",_xlfn.XLOOKUP(C83,customers!$A:$A,customers!$G:$G,,0))</f>
        <v>Spain</v>
      </c>
      <c r="I83" t="str">
        <f>IF(_xlfn.XLOOKUP(D83,product!$A:$A,product!$E:$E,,0)=0,"",_xlfn.XLOOKUP(D83,product!$A:$A,product!$E:$E,,0))</f>
        <v>SCIENCE</v>
      </c>
      <c r="J83" s="5">
        <f>IF(_xlfn.XLOOKUP(D83,product!$A:$A,product!$D:$D,,0)=0,"",_xlfn.XLOOKUP(D83,product!$A:$A,product!$D:$D,,0))</f>
        <v>24.36</v>
      </c>
      <c r="K83" s="7">
        <f t="shared" si="1"/>
        <v>97.44</v>
      </c>
      <c r="L83" s="10" t="str">
        <f>IF(_xlfn.XLOOKUP(D83,product!$A:$A,product!$F:$F,,0)=0,"",_xlfn.XLOOKUP(D83,product!$A:$A,product!$F:$F,,0))</f>
        <v>No</v>
      </c>
      <c r="M83" t="str">
        <f>IF(_xlfn.XLOOKUP(D83,product!$A:$A,product!G:G,,0)=0,"",_xlfn.XLOOKUP(D83,product!$A:$A,product!G:G,,0))</f>
        <v>Silver</v>
      </c>
      <c r="N83" t="str">
        <f>IF(_xlfn.XLOOKUP(D83,product!$A:$A,product!$B:$B,,0)=0,"",_xlfn.XLOOKUP(D83,product!$A:$A,product!$B:$B,,0))</f>
        <v>Secrets Future</v>
      </c>
    </row>
    <row r="84" spans="1:14" x14ac:dyDescent="0.35">
      <c r="A84" t="s">
        <v>502</v>
      </c>
      <c r="B84" s="3">
        <v>45025</v>
      </c>
      <c r="C84" t="s">
        <v>1999</v>
      </c>
      <c r="D84" t="s">
        <v>5371</v>
      </c>
      <c r="E84">
        <v>4</v>
      </c>
      <c r="F84" t="str">
        <f>_xlfn.XLOOKUP(C84,customers!$A$1:$A$983,customers!$B$1:$B$983,,0)</f>
        <v>Hannah King</v>
      </c>
      <c r="G84" t="str">
        <f>_xlfn.XLOOKUP(C84,customers!$A:$A,customers!$C:$C,,0)</f>
        <v>hannah.king260@hotmail.com</v>
      </c>
      <c r="H84" t="str">
        <f>IF(_xlfn.XLOOKUP(C84,customers!$A:$A,customers!$G:$G,,0)=0,"",_xlfn.XLOOKUP(C84,customers!$A:$A,customers!$G:$G,,0))</f>
        <v>Spain</v>
      </c>
      <c r="I84" t="str">
        <f>IF(_xlfn.XLOOKUP(D84,product!$A:$A,product!$E:$E,,0)=0,"",_xlfn.XLOOKUP(D84,product!$A:$A,product!$E:$E,,0))</f>
        <v>TECH</v>
      </c>
      <c r="J84" s="5">
        <f>IF(_xlfn.XLOOKUP(D84,product!$A:$A,product!$D:$D,,0)=0,"",_xlfn.XLOOKUP(D84,product!$A:$A,product!$D:$D,,0))</f>
        <v>20.68</v>
      </c>
      <c r="K84" s="7">
        <f t="shared" si="1"/>
        <v>82.72</v>
      </c>
      <c r="L84" s="10" t="str">
        <f>IF(_xlfn.XLOOKUP(D84,product!$A:$A,product!$F:$F,,0)=0,"",_xlfn.XLOOKUP(D84,product!$A:$A,product!$F:$F,,0))</f>
        <v>No</v>
      </c>
      <c r="M84" t="str">
        <f>IF(_xlfn.XLOOKUP(D84,product!$A:$A,product!G:G,,0)=0,"",_xlfn.XLOOKUP(D84,product!$A:$A,product!G:G,,0))</f>
        <v>Gold</v>
      </c>
      <c r="N84" t="str">
        <f>IF(_xlfn.XLOOKUP(D84,product!$A:$A,product!$B:$B,,0)=0,"",_xlfn.XLOOKUP(D84,product!$A:$A,product!$B:$B,,0))</f>
        <v>Science Secrets</v>
      </c>
    </row>
    <row r="85" spans="1:14" x14ac:dyDescent="0.35">
      <c r="A85" t="s">
        <v>519</v>
      </c>
      <c r="B85" s="3">
        <v>45320</v>
      </c>
      <c r="C85" t="s">
        <v>2299</v>
      </c>
      <c r="D85" t="s">
        <v>5372</v>
      </c>
      <c r="E85">
        <v>4</v>
      </c>
      <c r="F85" t="str">
        <f>_xlfn.XLOOKUP(C85,customers!$A$1:$A$983,customers!$B$1:$B$983,,0)</f>
        <v>Thomas Johnson</v>
      </c>
      <c r="G85" t="str">
        <f>_xlfn.XLOOKUP(C85,customers!$A:$A,customers!$C:$C,,0)</f>
        <v>thomas.johnson379@hotmail.com</v>
      </c>
      <c r="H85" t="str">
        <f>IF(_xlfn.XLOOKUP(C85,customers!$A:$A,customers!$G:$G,,0)=0,"",_xlfn.XLOOKUP(C85,customers!$A:$A,customers!$G:$G,,0))</f>
        <v>USA</v>
      </c>
      <c r="I85" t="str">
        <f>IF(_xlfn.XLOOKUP(D85,product!$A:$A,product!$E:$E,,0)=0,"",_xlfn.XLOOKUP(D85,product!$A:$A,product!$E:$E,,0))</f>
        <v>TECH</v>
      </c>
      <c r="J85" s="5">
        <f>IF(_xlfn.XLOOKUP(D85,product!$A:$A,product!$D:$D,,0)=0,"",_xlfn.XLOOKUP(D85,product!$A:$A,product!$D:$D,,0))</f>
        <v>37.43</v>
      </c>
      <c r="K85" s="7">
        <f t="shared" si="1"/>
        <v>149.72</v>
      </c>
      <c r="L85" s="10" t="str">
        <f>IF(_xlfn.XLOOKUP(D85,product!$A:$A,product!$F:$F,,0)=0,"",_xlfn.XLOOKUP(D85,product!$A:$A,product!$F:$F,,0))</f>
        <v>No</v>
      </c>
      <c r="M85" t="str">
        <f>IF(_xlfn.XLOOKUP(D85,product!$A:$A,product!G:G,,0)=0,"",_xlfn.XLOOKUP(D85,product!$A:$A,product!G:G,,0))</f>
        <v>None</v>
      </c>
      <c r="N85" t="str">
        <f>IF(_xlfn.XLOOKUP(D85,product!$A:$A,product!$B:$B,,0)=0,"",_xlfn.XLOOKUP(D85,product!$A:$A,product!$B:$B,,0))</f>
        <v>Mind Quantum</v>
      </c>
    </row>
    <row r="86" spans="1:14" x14ac:dyDescent="0.35">
      <c r="A86" t="s">
        <v>536</v>
      </c>
      <c r="B86" s="3">
        <v>45213</v>
      </c>
      <c r="C86" t="s">
        <v>2936</v>
      </c>
      <c r="D86" t="s">
        <v>5373</v>
      </c>
      <c r="E86">
        <v>4</v>
      </c>
      <c r="F86" t="str">
        <f>_xlfn.XLOOKUP(C86,customers!$A$1:$A$983,customers!$B$1:$B$983,,0)</f>
        <v>James Johnson</v>
      </c>
      <c r="G86" t="str">
        <f>_xlfn.XLOOKUP(C86,customers!$A:$A,customers!$C:$C,,0)</f>
        <v>james.johnson683@hotmail.com</v>
      </c>
      <c r="H86" t="str">
        <f>IF(_xlfn.XLOOKUP(C86,customers!$A:$A,customers!$G:$G,,0)=0,"",_xlfn.XLOOKUP(C86,customers!$A:$A,customers!$G:$G,,0))</f>
        <v>Spain</v>
      </c>
      <c r="I86" t="str">
        <f>IF(_xlfn.XLOOKUP(D86,product!$A:$A,product!$E:$E,,0)=0,"",_xlfn.XLOOKUP(D86,product!$A:$A,product!$E:$E,,0))</f>
        <v>BUSINESS</v>
      </c>
      <c r="J86" s="5">
        <f>IF(_xlfn.XLOOKUP(D86,product!$A:$A,product!$D:$D,,0)=0,"",_xlfn.XLOOKUP(D86,product!$A:$A,product!$D:$D,,0))</f>
        <v>33.42</v>
      </c>
      <c r="K86" s="7">
        <f t="shared" si="1"/>
        <v>133.68</v>
      </c>
      <c r="L86" s="10" t="str">
        <f>IF(_xlfn.XLOOKUP(D86,product!$A:$A,product!$F:$F,,0)=0,"",_xlfn.XLOOKUP(D86,product!$A:$A,product!$F:$F,,0))</f>
        <v>Yes</v>
      </c>
      <c r="M86" t="str">
        <f>IF(_xlfn.XLOOKUP(D86,product!$A:$A,product!G:G,,0)=0,"",_xlfn.XLOOKUP(D86,product!$A:$A,product!G:G,,0))</f>
        <v>Silver</v>
      </c>
      <c r="N86" t="str">
        <f>IF(_xlfn.XLOOKUP(D86,product!$A:$A,product!$B:$B,,0)=0,"",_xlfn.XLOOKUP(D86,product!$A:$A,product!$B:$B,,0))</f>
        <v>Secrets Data</v>
      </c>
    </row>
    <row r="87" spans="1:14" x14ac:dyDescent="0.35">
      <c r="A87" t="s">
        <v>553</v>
      </c>
      <c r="B87" s="3">
        <v>45615</v>
      </c>
      <c r="C87" t="s">
        <v>1167</v>
      </c>
      <c r="D87" t="s">
        <v>5374</v>
      </c>
      <c r="E87">
        <v>4</v>
      </c>
      <c r="F87" t="str">
        <f>_xlfn.XLOOKUP(C87,customers!$A$1:$A$983,customers!$B$1:$B$983,,0)</f>
        <v>Peter Martin</v>
      </c>
      <c r="G87" t="str">
        <f>_xlfn.XLOOKUP(C87,customers!$A:$A,customers!$C:$C,,0)</f>
        <v>peter.martin32@gmail.com</v>
      </c>
      <c r="H87" t="str">
        <f>IF(_xlfn.XLOOKUP(C87,customers!$A:$A,customers!$G:$G,,0)=0,"",_xlfn.XLOOKUP(C87,customers!$A:$A,customers!$G:$G,,0))</f>
        <v>Egypt</v>
      </c>
      <c r="I87" t="str">
        <f>IF(_xlfn.XLOOKUP(D87,product!$A:$A,product!$E:$E,,0)=0,"",_xlfn.XLOOKUP(D87,product!$A:$A,product!$E:$E,,0))</f>
        <v>SCIENCE</v>
      </c>
      <c r="J87" s="5">
        <f>IF(_xlfn.XLOOKUP(D87,product!$A:$A,product!$D:$D,,0)=0,"",_xlfn.XLOOKUP(D87,product!$A:$A,product!$D:$D,,0))</f>
        <v>16.2</v>
      </c>
      <c r="K87" s="7">
        <f t="shared" si="1"/>
        <v>64.8</v>
      </c>
      <c r="L87" s="10" t="str">
        <f>IF(_xlfn.XLOOKUP(D87,product!$A:$A,product!$F:$F,,0)=0,"",_xlfn.XLOOKUP(D87,product!$A:$A,product!$F:$F,,0))</f>
        <v>No</v>
      </c>
      <c r="M87" t="str">
        <f>IF(_xlfn.XLOOKUP(D87,product!$A:$A,product!G:G,,0)=0,"",_xlfn.XLOOKUP(D87,product!$A:$A,product!G:G,,0))</f>
        <v>Silver</v>
      </c>
      <c r="N87" t="str">
        <f>IF(_xlfn.XLOOKUP(D87,product!$A:$A,product!$B:$B,,0)=0,"",_xlfn.XLOOKUP(D87,product!$A:$A,product!$B:$B,,0))</f>
        <v>Science Data</v>
      </c>
    </row>
    <row r="88" spans="1:14" x14ac:dyDescent="0.35">
      <c r="A88" t="s">
        <v>570</v>
      </c>
      <c r="B88" s="3">
        <v>45282</v>
      </c>
      <c r="C88" t="s">
        <v>2355</v>
      </c>
      <c r="D88" t="s">
        <v>5376</v>
      </c>
      <c r="E88">
        <v>4</v>
      </c>
      <c r="F88" t="str">
        <f>_xlfn.XLOOKUP(C88,customers!$A$1:$A$983,customers!$B$1:$B$983,,0)</f>
        <v>Olivia Wright</v>
      </c>
      <c r="G88" t="str">
        <f>_xlfn.XLOOKUP(C88,customers!$A:$A,customers!$C:$C,,0)</f>
        <v>olivia.wright405@gmail.com</v>
      </c>
      <c r="H88" t="str">
        <f>IF(_xlfn.XLOOKUP(C88,customers!$A:$A,customers!$G:$G,,0)=0,"",_xlfn.XLOOKUP(C88,customers!$A:$A,customers!$G:$G,,0))</f>
        <v>Germany</v>
      </c>
      <c r="I88" t="str">
        <f>IF(_xlfn.XLOOKUP(D88,product!$A:$A,product!$E:$E,,0)=0,"",_xlfn.XLOOKUP(D88,product!$A:$A,product!$E:$E,,0))</f>
        <v>BUSINESS</v>
      </c>
      <c r="J88" s="5">
        <f>IF(_xlfn.XLOOKUP(D88,product!$A:$A,product!$D:$D,,0)=0,"",_xlfn.XLOOKUP(D88,product!$A:$A,product!$D:$D,,0))</f>
        <v>37.979999999999997</v>
      </c>
      <c r="K88" s="7">
        <f t="shared" si="1"/>
        <v>151.91999999999999</v>
      </c>
      <c r="L88" s="10" t="str">
        <f>IF(_xlfn.XLOOKUP(D88,product!$A:$A,product!$F:$F,,0)=0,"",_xlfn.XLOOKUP(D88,product!$A:$A,product!$F:$F,,0))</f>
        <v>Yes</v>
      </c>
      <c r="M88" t="str">
        <f>IF(_xlfn.XLOOKUP(D88,product!$A:$A,product!G:G,,0)=0,"",_xlfn.XLOOKUP(D88,product!$A:$A,product!G:G,,0))</f>
        <v>None</v>
      </c>
      <c r="N88" t="str">
        <f>IF(_xlfn.XLOOKUP(D88,product!$A:$A,product!$B:$B,,0)=0,"",_xlfn.XLOOKUP(D88,product!$A:$A,product!$B:$B,,0))</f>
        <v>Journey Power</v>
      </c>
    </row>
    <row r="89" spans="1:14" x14ac:dyDescent="0.35">
      <c r="A89" t="s">
        <v>587</v>
      </c>
      <c r="B89" s="3">
        <v>45382</v>
      </c>
      <c r="C89" t="s">
        <v>3244</v>
      </c>
      <c r="D89" t="s">
        <v>5377</v>
      </c>
      <c r="E89">
        <v>4</v>
      </c>
      <c r="F89" t="str">
        <f>_xlfn.XLOOKUP(C89,customers!$A$1:$A$983,customers!$B$1:$B$983,,0)</f>
        <v>Robert Jackson</v>
      </c>
      <c r="G89" t="str">
        <f>_xlfn.XLOOKUP(C89,customers!$A:$A,customers!$C:$C,,0)</f>
        <v>robert.jackson835@yahoo.com</v>
      </c>
      <c r="H89" t="str">
        <f>IF(_xlfn.XLOOKUP(C89,customers!$A:$A,customers!$G:$G,,0)=0,"",_xlfn.XLOOKUP(C89,customers!$A:$A,customers!$G:$G,,0))</f>
        <v>Japan</v>
      </c>
      <c r="I89" t="str">
        <f>IF(_xlfn.XLOOKUP(D89,product!$A:$A,product!$E:$E,,0)=0,"",_xlfn.XLOOKUP(D89,product!$A:$A,product!$E:$E,,0))</f>
        <v>TECH</v>
      </c>
      <c r="J89" s="5">
        <f>IF(_xlfn.XLOOKUP(D89,product!$A:$A,product!$D:$D,,0)=0,"",_xlfn.XLOOKUP(D89,product!$A:$A,product!$D:$D,,0))</f>
        <v>28.52</v>
      </c>
      <c r="K89" s="7">
        <f t="shared" si="1"/>
        <v>114.08</v>
      </c>
      <c r="L89" s="10" t="str">
        <f>IF(_xlfn.XLOOKUP(D89,product!$A:$A,product!$F:$F,,0)=0,"",_xlfn.XLOOKUP(D89,product!$A:$A,product!$F:$F,,0))</f>
        <v>No</v>
      </c>
      <c r="M89" t="str">
        <f>IF(_xlfn.XLOOKUP(D89,product!$A:$A,product!G:G,,0)=0,"",_xlfn.XLOOKUP(D89,product!$A:$A,product!G:G,,0))</f>
        <v>Gold</v>
      </c>
      <c r="N89" t="str">
        <f>IF(_xlfn.XLOOKUP(D89,product!$A:$A,product!$B:$B,,0)=0,"",_xlfn.XLOOKUP(D89,product!$A:$A,product!$B:$B,,0))</f>
        <v>Secrets Mind</v>
      </c>
    </row>
    <row r="90" spans="1:14" x14ac:dyDescent="0.35">
      <c r="A90" t="s">
        <v>604</v>
      </c>
      <c r="B90" s="3">
        <v>44964</v>
      </c>
      <c r="C90" t="s">
        <v>1230</v>
      </c>
      <c r="D90" t="s">
        <v>5379</v>
      </c>
      <c r="E90">
        <v>4</v>
      </c>
      <c r="F90" t="str">
        <f>_xlfn.XLOOKUP(C90,customers!$A$1:$A$983,customers!$B$1:$B$983,,0)</f>
        <v>Lucy Thomas</v>
      </c>
      <c r="G90" t="str">
        <f>_xlfn.XLOOKUP(C90,customers!$A:$A,customers!$C:$C,,0)</f>
        <v>lucy.thomas47@outlook.com</v>
      </c>
      <c r="H90" t="str">
        <f>IF(_xlfn.XLOOKUP(C90,customers!$A:$A,customers!$G:$G,,0)=0,"",_xlfn.XLOOKUP(C90,customers!$A:$A,customers!$G:$G,,0))</f>
        <v>Pakistan</v>
      </c>
      <c r="I90" t="str">
        <f>IF(_xlfn.XLOOKUP(D90,product!$A:$A,product!$E:$E,,0)=0,"",_xlfn.XLOOKUP(D90,product!$A:$A,product!$E:$E,,0))</f>
        <v>SCIENCE</v>
      </c>
      <c r="J90" s="5">
        <f>IF(_xlfn.XLOOKUP(D90,product!$A:$A,product!$D:$D,,0)=0,"",_xlfn.XLOOKUP(D90,product!$A:$A,product!$D:$D,,0))</f>
        <v>25.77</v>
      </c>
      <c r="K90" s="7">
        <f t="shared" si="1"/>
        <v>103.08</v>
      </c>
      <c r="L90" s="10" t="str">
        <f>IF(_xlfn.XLOOKUP(D90,product!$A:$A,product!$F:$F,,0)=0,"",_xlfn.XLOOKUP(D90,product!$A:$A,product!$F:$F,,0))</f>
        <v>No</v>
      </c>
      <c r="M90" t="str">
        <f>IF(_xlfn.XLOOKUP(D90,product!$A:$A,product!G:G,,0)=0,"",_xlfn.XLOOKUP(D90,product!$A:$A,product!G:G,,0))</f>
        <v>Silver</v>
      </c>
      <c r="N90" t="str">
        <f>IF(_xlfn.XLOOKUP(D90,product!$A:$A,product!$B:$B,,0)=0,"",_xlfn.XLOOKUP(D90,product!$A:$A,product!$B:$B,,0))</f>
        <v>Future Quantum</v>
      </c>
    </row>
    <row r="91" spans="1:14" x14ac:dyDescent="0.35">
      <c r="A91" t="s">
        <v>621</v>
      </c>
      <c r="B91" s="3">
        <v>45471</v>
      </c>
      <c r="C91" t="s">
        <v>1673</v>
      </c>
      <c r="D91" t="s">
        <v>5381</v>
      </c>
      <c r="E91">
        <v>4</v>
      </c>
      <c r="F91" t="str">
        <f>_xlfn.XLOOKUP(C91,customers!$A$1:$A$983,customers!$B$1:$B$983,,0)</f>
        <v>Amelia Green</v>
      </c>
      <c r="G91" t="str">
        <f>_xlfn.XLOOKUP(C91,customers!$A:$A,customers!$C:$C,,0)</f>
        <v>amelia.green165@yahoo.com</v>
      </c>
      <c r="H91" t="str">
        <f>IF(_xlfn.XLOOKUP(C91,customers!$A:$A,customers!$G:$G,,0)=0,"",_xlfn.XLOOKUP(C91,customers!$A:$A,customers!$G:$G,,0))</f>
        <v>Japan</v>
      </c>
      <c r="I91" t="str">
        <f>IF(_xlfn.XLOOKUP(D91,product!$A:$A,product!$E:$E,,0)=0,"",_xlfn.XLOOKUP(D91,product!$A:$A,product!$E:$E,,0))</f>
        <v>FICTION</v>
      </c>
      <c r="J91" s="5">
        <f>IF(_xlfn.XLOOKUP(D91,product!$A:$A,product!$D:$D,,0)=0,"",_xlfn.XLOOKUP(D91,product!$A:$A,product!$D:$D,,0))</f>
        <v>13.85</v>
      </c>
      <c r="K91" s="7">
        <f t="shared" si="1"/>
        <v>55.4</v>
      </c>
      <c r="L91" s="10" t="str">
        <f>IF(_xlfn.XLOOKUP(D91,product!$A:$A,product!$F:$F,,0)=0,"",_xlfn.XLOOKUP(D91,product!$A:$A,product!$F:$F,,0))</f>
        <v>Yes</v>
      </c>
      <c r="M91" t="str">
        <f>IF(_xlfn.XLOOKUP(D91,product!$A:$A,product!G:G,,0)=0,"",_xlfn.XLOOKUP(D91,product!$A:$A,product!G:G,,0))</f>
        <v>None</v>
      </c>
      <c r="N91" t="str">
        <f>IF(_xlfn.XLOOKUP(D91,product!$A:$A,product!$B:$B,,0)=0,"",_xlfn.XLOOKUP(D91,product!$A:$A,product!$B:$B,,0))</f>
        <v>Future Silent</v>
      </c>
    </row>
    <row r="92" spans="1:14" x14ac:dyDescent="0.35">
      <c r="A92" t="s">
        <v>638</v>
      </c>
      <c r="B92" s="3">
        <v>45069</v>
      </c>
      <c r="C92" t="s">
        <v>1324</v>
      </c>
      <c r="D92" t="s">
        <v>5382</v>
      </c>
      <c r="E92">
        <v>4</v>
      </c>
      <c r="F92" t="str">
        <f>_xlfn.XLOOKUP(C92,customers!$A$1:$A$983,customers!$B$1:$B$983,,0)</f>
        <v>William Thomas</v>
      </c>
      <c r="G92" t="str">
        <f>_xlfn.XLOOKUP(C92,customers!$A:$A,customers!$C:$C,,0)</f>
        <v>william.thomas70@outlook.com</v>
      </c>
      <c r="H92" t="str">
        <f>IF(_xlfn.XLOOKUP(C92,customers!$A:$A,customers!$G:$G,,0)=0,"",_xlfn.XLOOKUP(C92,customers!$A:$A,customers!$G:$G,,0))</f>
        <v>Japan</v>
      </c>
      <c r="I92" t="str">
        <f>IF(_xlfn.XLOOKUP(D92,product!$A:$A,product!$E:$E,,0)=0,"",_xlfn.XLOOKUP(D92,product!$A:$A,product!$E:$E,,0))</f>
        <v>SCIENCE</v>
      </c>
      <c r="J92" s="5">
        <f>IF(_xlfn.XLOOKUP(D92,product!$A:$A,product!$D:$D,,0)=0,"",_xlfn.XLOOKUP(D92,product!$A:$A,product!$D:$D,,0))</f>
        <v>28.9</v>
      </c>
      <c r="K92" s="7">
        <f t="shared" si="1"/>
        <v>115.6</v>
      </c>
      <c r="L92" s="10" t="str">
        <f>IF(_xlfn.XLOOKUP(D92,product!$A:$A,product!$F:$F,,0)=0,"",_xlfn.XLOOKUP(D92,product!$A:$A,product!$F:$F,,0))</f>
        <v>No</v>
      </c>
      <c r="M92" t="str">
        <f>IF(_xlfn.XLOOKUP(D92,product!$A:$A,product!G:G,,0)=0,"",_xlfn.XLOOKUP(D92,product!$A:$A,product!G:G,,0))</f>
        <v>None</v>
      </c>
      <c r="N92" t="str">
        <f>IF(_xlfn.XLOOKUP(D92,product!$A:$A,product!$B:$B,,0)=0,"",_xlfn.XLOOKUP(D92,product!$A:$A,product!$B:$B,,0))</f>
        <v>Power Future</v>
      </c>
    </row>
    <row r="93" spans="1:14" x14ac:dyDescent="0.35">
      <c r="A93" t="s">
        <v>655</v>
      </c>
      <c r="B93" s="3">
        <v>45595</v>
      </c>
      <c r="C93" t="s">
        <v>2270</v>
      </c>
      <c r="D93" t="s">
        <v>5384</v>
      </c>
      <c r="E93">
        <v>4</v>
      </c>
      <c r="F93" t="str">
        <f>_xlfn.XLOOKUP(C93,customers!$A$1:$A$983,customers!$B$1:$B$983,,0)</f>
        <v>Joshua Thompson</v>
      </c>
      <c r="G93" t="str">
        <f>_xlfn.XLOOKUP(C93,customers!$A:$A,customers!$C:$C,,0)</f>
        <v>joshua.thompson367@gmail.com</v>
      </c>
      <c r="H93" t="str">
        <f>IF(_xlfn.XLOOKUP(C93,customers!$A:$A,customers!$G:$G,,0)=0,"",_xlfn.XLOOKUP(C93,customers!$A:$A,customers!$G:$G,,0))</f>
        <v>Japan</v>
      </c>
      <c r="I93" t="str">
        <f>IF(_xlfn.XLOOKUP(D93,product!$A:$A,product!$E:$E,,0)=0,"",_xlfn.XLOOKUP(D93,product!$A:$A,product!$E:$E,,0))</f>
        <v>SCIENCE</v>
      </c>
      <c r="J93" s="5">
        <f>IF(_xlfn.XLOOKUP(D93,product!$A:$A,product!$D:$D,,0)=0,"",_xlfn.XLOOKUP(D93,product!$A:$A,product!$D:$D,,0))</f>
        <v>33.78</v>
      </c>
      <c r="K93" s="7">
        <f t="shared" si="1"/>
        <v>135.12</v>
      </c>
      <c r="L93" s="10" t="str">
        <f>IF(_xlfn.XLOOKUP(D93,product!$A:$A,product!$F:$F,,0)=0,"",_xlfn.XLOOKUP(D93,product!$A:$A,product!$F:$F,,0))</f>
        <v>No</v>
      </c>
      <c r="M93" t="str">
        <f>IF(_xlfn.XLOOKUP(D93,product!$A:$A,product!G:G,,0)=0,"",_xlfn.XLOOKUP(D93,product!$A:$A,product!G:G,,0))</f>
        <v>Silver</v>
      </c>
      <c r="N93" t="str">
        <f>IF(_xlfn.XLOOKUP(D93,product!$A:$A,product!$B:$B,,0)=0,"",_xlfn.XLOOKUP(D93,product!$A:$A,product!$B:$B,,0))</f>
        <v>Power Silent</v>
      </c>
    </row>
    <row r="94" spans="1:14" x14ac:dyDescent="0.35">
      <c r="A94" t="s">
        <v>672</v>
      </c>
      <c r="B94" s="3">
        <v>45118</v>
      </c>
      <c r="C94" t="s">
        <v>2577</v>
      </c>
      <c r="D94" t="s">
        <v>5386</v>
      </c>
      <c r="E94">
        <v>4</v>
      </c>
      <c r="F94" t="str">
        <f>_xlfn.XLOOKUP(C94,customers!$A$1:$A$983,customers!$B$1:$B$983,,0)</f>
        <v>Ella Lewis</v>
      </c>
      <c r="G94" t="str">
        <f>_xlfn.XLOOKUP(C94,customers!$A:$A,customers!$C:$C,,0)</f>
        <v>ella.lewis509@outlook.com</v>
      </c>
      <c r="H94" t="str">
        <f>IF(_xlfn.XLOOKUP(C94,customers!$A:$A,customers!$G:$G,,0)=0,"",_xlfn.XLOOKUP(C94,customers!$A:$A,customers!$G:$G,,0))</f>
        <v>Egypt</v>
      </c>
      <c r="I94" t="str">
        <f>IF(_xlfn.XLOOKUP(D94,product!$A:$A,product!$E:$E,,0)=0,"",_xlfn.XLOOKUP(D94,product!$A:$A,product!$E:$E,,0))</f>
        <v>SCIENCE</v>
      </c>
      <c r="J94" s="5">
        <f>IF(_xlfn.XLOOKUP(D94,product!$A:$A,product!$D:$D,,0)=0,"",_xlfn.XLOOKUP(D94,product!$A:$A,product!$D:$D,,0))</f>
        <v>11.21</v>
      </c>
      <c r="K94" s="7">
        <f t="shared" si="1"/>
        <v>44.84</v>
      </c>
      <c r="L94" s="10" t="str">
        <f>IF(_xlfn.XLOOKUP(D94,product!$A:$A,product!$F:$F,,0)=0,"",_xlfn.XLOOKUP(D94,product!$A:$A,product!$F:$F,,0))</f>
        <v>Yes</v>
      </c>
      <c r="M94" t="str">
        <f>IF(_xlfn.XLOOKUP(D94,product!$A:$A,product!G:G,,0)=0,"",_xlfn.XLOOKUP(D94,product!$A:$A,product!G:G,,0))</f>
        <v>None</v>
      </c>
      <c r="N94" t="str">
        <f>IF(_xlfn.XLOOKUP(D94,product!$A:$A,product!$B:$B,,0)=0,"",_xlfn.XLOOKUP(D94,product!$A:$A,product!$B:$B,,0))</f>
        <v>Data Quantum</v>
      </c>
    </row>
    <row r="95" spans="1:14" x14ac:dyDescent="0.35">
      <c r="A95" t="s">
        <v>689</v>
      </c>
      <c r="B95" s="3">
        <v>45509</v>
      </c>
      <c r="C95" t="s">
        <v>3127</v>
      </c>
      <c r="D95" t="s">
        <v>5387</v>
      </c>
      <c r="E95">
        <v>4</v>
      </c>
      <c r="F95" t="str">
        <f>_xlfn.XLOOKUP(C95,customers!$A$1:$A$983,customers!$B$1:$B$983,,0)</f>
        <v>James Lewis</v>
      </c>
      <c r="G95" t="str">
        <f>_xlfn.XLOOKUP(C95,customers!$A:$A,customers!$C:$C,,0)</f>
        <v>james.lewis776@gmail.com</v>
      </c>
      <c r="H95" t="str">
        <f>IF(_xlfn.XLOOKUP(C95,customers!$A:$A,customers!$G:$G,,0)=0,"",_xlfn.XLOOKUP(C95,customers!$A:$A,customers!$G:$G,,0))</f>
        <v>UAE</v>
      </c>
      <c r="I95" t="str">
        <f>IF(_xlfn.XLOOKUP(D95,product!$A:$A,product!$E:$E,,0)=0,"",_xlfn.XLOOKUP(D95,product!$A:$A,product!$E:$E,,0))</f>
        <v>FICTION</v>
      </c>
      <c r="J95" s="5">
        <f>IF(_xlfn.XLOOKUP(D95,product!$A:$A,product!$D:$D,,0)=0,"",_xlfn.XLOOKUP(D95,product!$A:$A,product!$D:$D,,0))</f>
        <v>16.45</v>
      </c>
      <c r="K95" s="7">
        <f t="shared" si="1"/>
        <v>65.8</v>
      </c>
      <c r="L95" s="10" t="str">
        <f>IF(_xlfn.XLOOKUP(D95,product!$A:$A,product!$F:$F,,0)=0,"",_xlfn.XLOOKUP(D95,product!$A:$A,product!$F:$F,,0))</f>
        <v>No</v>
      </c>
      <c r="M95" t="str">
        <f>IF(_xlfn.XLOOKUP(D95,product!$A:$A,product!G:G,,0)=0,"",_xlfn.XLOOKUP(D95,product!$A:$A,product!G:G,,0))</f>
        <v>Silver</v>
      </c>
      <c r="N95" t="str">
        <f>IF(_xlfn.XLOOKUP(D95,product!$A:$A,product!$B:$B,,0)=0,"",_xlfn.XLOOKUP(D95,product!$A:$A,product!$B:$B,,0))</f>
        <v>Secrets Mind</v>
      </c>
    </row>
    <row r="96" spans="1:14" x14ac:dyDescent="0.35">
      <c r="A96" t="s">
        <v>706</v>
      </c>
      <c r="B96" s="3">
        <v>44935</v>
      </c>
      <c r="C96" t="s">
        <v>3455</v>
      </c>
      <c r="D96" t="s">
        <v>5389</v>
      </c>
      <c r="E96">
        <v>4</v>
      </c>
      <c r="F96" t="str">
        <f>_xlfn.XLOOKUP(C96,customers!$A$1:$A$983,customers!$B$1:$B$983,,0)</f>
        <v>William Lewis</v>
      </c>
      <c r="G96" t="str">
        <f>_xlfn.XLOOKUP(C96,customers!$A:$A,customers!$C:$C,,0)</f>
        <v>william.lewis942@yahoo.com</v>
      </c>
      <c r="H96" t="str">
        <f>IF(_xlfn.XLOOKUP(C96,customers!$A:$A,customers!$G:$G,,0)=0,"",_xlfn.XLOOKUP(C96,customers!$A:$A,customers!$G:$G,,0))</f>
        <v>Egypt</v>
      </c>
      <c r="I96" t="str">
        <f>IF(_xlfn.XLOOKUP(D96,product!$A:$A,product!$E:$E,,0)=0,"",_xlfn.XLOOKUP(D96,product!$A:$A,product!$E:$E,,0))</f>
        <v>BUSINESS</v>
      </c>
      <c r="J96" s="5">
        <f>IF(_xlfn.XLOOKUP(D96,product!$A:$A,product!$D:$D,,0)=0,"",_xlfn.XLOOKUP(D96,product!$A:$A,product!$D:$D,,0))</f>
        <v>26.06</v>
      </c>
      <c r="K96" s="7">
        <f t="shared" si="1"/>
        <v>104.24</v>
      </c>
      <c r="L96" s="10" t="str">
        <f>IF(_xlfn.XLOOKUP(D96,product!$A:$A,product!$F:$F,,0)=0,"",_xlfn.XLOOKUP(D96,product!$A:$A,product!$F:$F,,0))</f>
        <v>No</v>
      </c>
      <c r="M96" t="str">
        <f>IF(_xlfn.XLOOKUP(D96,product!$A:$A,product!G:G,,0)=0,"",_xlfn.XLOOKUP(D96,product!$A:$A,product!G:G,,0))</f>
        <v>Gold</v>
      </c>
      <c r="N96" t="str">
        <f>IF(_xlfn.XLOOKUP(D96,product!$A:$A,product!$B:$B,,0)=0,"",_xlfn.XLOOKUP(D96,product!$A:$A,product!$B:$B,,0))</f>
        <v>Silent Mind</v>
      </c>
    </row>
    <row r="97" spans="1:14" x14ac:dyDescent="0.35">
      <c r="A97" t="s">
        <v>723</v>
      </c>
      <c r="B97" s="3">
        <v>45394</v>
      </c>
      <c r="C97" t="s">
        <v>1238</v>
      </c>
      <c r="D97" t="s">
        <v>5391</v>
      </c>
      <c r="E97">
        <v>4</v>
      </c>
      <c r="F97" t="str">
        <f>_xlfn.XLOOKUP(C97,customers!$A$1:$A$983,customers!$B$1:$B$983,,0)</f>
        <v>Ava Adams</v>
      </c>
      <c r="G97" t="str">
        <f>_xlfn.XLOOKUP(C97,customers!$A:$A,customers!$C:$C,,0)</f>
        <v>ava.adams49@outlook.com</v>
      </c>
      <c r="H97" t="str">
        <f>IF(_xlfn.XLOOKUP(C97,customers!$A:$A,customers!$G:$G,,0)=0,"",_xlfn.XLOOKUP(C97,customers!$A:$A,customers!$G:$G,,0))</f>
        <v>Sweden</v>
      </c>
      <c r="I97" t="str">
        <f>IF(_xlfn.XLOOKUP(D97,product!$A:$A,product!$E:$E,,0)=0,"",_xlfn.XLOOKUP(D97,product!$A:$A,product!$E:$E,,0))</f>
        <v>HISTORY</v>
      </c>
      <c r="J97" s="5">
        <f>IF(_xlfn.XLOOKUP(D97,product!$A:$A,product!$D:$D,,0)=0,"",_xlfn.XLOOKUP(D97,product!$A:$A,product!$D:$D,,0))</f>
        <v>28.45</v>
      </c>
      <c r="K97" s="7">
        <f t="shared" si="1"/>
        <v>113.8</v>
      </c>
      <c r="L97" s="10" t="str">
        <f>IF(_xlfn.XLOOKUP(D97,product!$A:$A,product!$F:$F,,0)=0,"",_xlfn.XLOOKUP(D97,product!$A:$A,product!$F:$F,,0))</f>
        <v>Yes</v>
      </c>
      <c r="M97" t="str">
        <f>IF(_xlfn.XLOOKUP(D97,product!$A:$A,product!G:G,,0)=0,"",_xlfn.XLOOKUP(D97,product!$A:$A,product!G:G,,0))</f>
        <v>None</v>
      </c>
      <c r="N97" t="str">
        <f>IF(_xlfn.XLOOKUP(D97,product!$A:$A,product!$B:$B,,0)=0,"",_xlfn.XLOOKUP(D97,product!$A:$A,product!$B:$B,,0))</f>
        <v>Power Silent</v>
      </c>
    </row>
    <row r="98" spans="1:14" x14ac:dyDescent="0.35">
      <c r="A98" t="s">
        <v>740</v>
      </c>
      <c r="B98" s="3">
        <v>45194</v>
      </c>
      <c r="C98" t="s">
        <v>1061</v>
      </c>
      <c r="D98" t="s">
        <v>5392</v>
      </c>
      <c r="E98">
        <v>4</v>
      </c>
      <c r="F98" t="str">
        <f>_xlfn.XLOOKUP(C98,customers!$A$1:$A$983,customers!$B$1:$B$983,,0)</f>
        <v>Chloe Wright</v>
      </c>
      <c r="G98" t="str">
        <f>_xlfn.XLOOKUP(C98,customers!$A:$A,customers!$C:$C,,0)</f>
        <v>chloe.wright8@hotmail.com</v>
      </c>
      <c r="H98" t="str">
        <f>IF(_xlfn.XLOOKUP(C98,customers!$A:$A,customers!$G:$G,,0)=0,"",_xlfn.XLOOKUP(C98,customers!$A:$A,customers!$G:$G,,0))</f>
        <v>Spain</v>
      </c>
      <c r="I98" t="str">
        <f>IF(_xlfn.XLOOKUP(D98,product!$A:$A,product!$E:$E,,0)=0,"",_xlfn.XLOOKUP(D98,product!$A:$A,product!$E:$E,,0))</f>
        <v>HISTORY</v>
      </c>
      <c r="J98" s="5">
        <f>IF(_xlfn.XLOOKUP(D98,product!$A:$A,product!$D:$D,,0)=0,"",_xlfn.XLOOKUP(D98,product!$A:$A,product!$D:$D,,0))</f>
        <v>38.369999999999997</v>
      </c>
      <c r="K98" s="7">
        <f t="shared" si="1"/>
        <v>153.47999999999999</v>
      </c>
      <c r="L98" s="10" t="str">
        <f>IF(_xlfn.XLOOKUP(D98,product!$A:$A,product!$F:$F,,0)=0,"",_xlfn.XLOOKUP(D98,product!$A:$A,product!$F:$F,,0))</f>
        <v>Yes</v>
      </c>
      <c r="M98" t="str">
        <f>IF(_xlfn.XLOOKUP(D98,product!$A:$A,product!G:G,,0)=0,"",_xlfn.XLOOKUP(D98,product!$A:$A,product!G:G,,0))</f>
        <v>Silver</v>
      </c>
      <c r="N98" t="str">
        <f>IF(_xlfn.XLOOKUP(D98,product!$A:$A,product!$B:$B,,0)=0,"",_xlfn.XLOOKUP(D98,product!$A:$A,product!$B:$B,,0))</f>
        <v>Mind Journey</v>
      </c>
    </row>
    <row r="99" spans="1:14" x14ac:dyDescent="0.35">
      <c r="A99" t="s">
        <v>757</v>
      </c>
      <c r="B99" s="3">
        <v>45652</v>
      </c>
      <c r="C99" t="s">
        <v>2041</v>
      </c>
      <c r="D99" t="s">
        <v>5393</v>
      </c>
      <c r="E99">
        <v>4</v>
      </c>
      <c r="F99" t="str">
        <f>_xlfn.XLOOKUP(C99,customers!$A$1:$A$983,customers!$B$1:$B$983,,0)</f>
        <v>Paul Adams</v>
      </c>
      <c r="G99" t="str">
        <f>_xlfn.XLOOKUP(C99,customers!$A:$A,customers!$C:$C,,0)</f>
        <v>paul.adams275@yahoo.com</v>
      </c>
      <c r="H99" t="str">
        <f>IF(_xlfn.XLOOKUP(C99,customers!$A:$A,customers!$G:$G,,0)=0,"",_xlfn.XLOOKUP(C99,customers!$A:$A,customers!$G:$G,,0))</f>
        <v>Egypt</v>
      </c>
      <c r="I99" t="str">
        <f>IF(_xlfn.XLOOKUP(D99,product!$A:$A,product!$E:$E,,0)=0,"",_xlfn.XLOOKUP(D99,product!$A:$A,product!$E:$E,,0))</f>
        <v>HISTORY</v>
      </c>
      <c r="J99" s="5">
        <f>IF(_xlfn.XLOOKUP(D99,product!$A:$A,product!$D:$D,,0)=0,"",_xlfn.XLOOKUP(D99,product!$A:$A,product!$D:$D,,0))</f>
        <v>22.93</v>
      </c>
      <c r="K99" s="7">
        <f t="shared" si="1"/>
        <v>91.72</v>
      </c>
      <c r="L99" s="10" t="str">
        <f>IF(_xlfn.XLOOKUP(D99,product!$A:$A,product!$F:$F,,0)=0,"",_xlfn.XLOOKUP(D99,product!$A:$A,product!$F:$F,,0))</f>
        <v>Yes</v>
      </c>
      <c r="M99" t="str">
        <f>IF(_xlfn.XLOOKUP(D99,product!$A:$A,product!G:G,,0)=0,"",_xlfn.XLOOKUP(D99,product!$A:$A,product!G:G,,0))</f>
        <v>Silver</v>
      </c>
      <c r="N99" t="str">
        <f>IF(_xlfn.XLOOKUP(D99,product!$A:$A,product!$B:$B,,0)=0,"",_xlfn.XLOOKUP(D99,product!$A:$A,product!$B:$B,,0))</f>
        <v>Data Secrets</v>
      </c>
    </row>
    <row r="100" spans="1:14" x14ac:dyDescent="0.35">
      <c r="A100" t="s">
        <v>774</v>
      </c>
      <c r="B100" s="3">
        <v>45003</v>
      </c>
      <c r="C100" t="s">
        <v>2768</v>
      </c>
      <c r="D100" t="s">
        <v>5394</v>
      </c>
      <c r="E100">
        <v>4</v>
      </c>
      <c r="F100" t="str">
        <f>_xlfn.XLOOKUP(C100,customers!$A$1:$A$983,customers!$B$1:$B$983,,0)</f>
        <v>Robert Scott</v>
      </c>
      <c r="G100" t="str">
        <f>_xlfn.XLOOKUP(C100,customers!$A:$A,customers!$C:$C,,0)</f>
        <v>robert.scott601@outlook.com</v>
      </c>
      <c r="H100" t="str">
        <f>IF(_xlfn.XLOOKUP(C100,customers!$A:$A,customers!$G:$G,,0)=0,"",_xlfn.XLOOKUP(C100,customers!$A:$A,customers!$G:$G,,0))</f>
        <v>Japan</v>
      </c>
      <c r="I100" t="str">
        <f>IF(_xlfn.XLOOKUP(D100,product!$A:$A,product!$E:$E,,0)=0,"",_xlfn.XLOOKUP(D100,product!$A:$A,product!$E:$E,,0))</f>
        <v>SCIENCE</v>
      </c>
      <c r="J100" s="5">
        <f>IF(_xlfn.XLOOKUP(D100,product!$A:$A,product!$D:$D,,0)=0,"",_xlfn.XLOOKUP(D100,product!$A:$A,product!$D:$D,,0))</f>
        <v>14.12</v>
      </c>
      <c r="K100" s="7">
        <f t="shared" si="1"/>
        <v>56.48</v>
      </c>
      <c r="L100" s="10" t="str">
        <f>IF(_xlfn.XLOOKUP(D100,product!$A:$A,product!$F:$F,,0)=0,"",_xlfn.XLOOKUP(D100,product!$A:$A,product!$F:$F,,0))</f>
        <v>No</v>
      </c>
      <c r="M100" t="str">
        <f>IF(_xlfn.XLOOKUP(D100,product!$A:$A,product!G:G,,0)=0,"",_xlfn.XLOOKUP(D100,product!$A:$A,product!G:G,,0))</f>
        <v>None</v>
      </c>
      <c r="N100" t="str">
        <f>IF(_xlfn.XLOOKUP(D100,product!$A:$A,product!$B:$B,,0)=0,"",_xlfn.XLOOKUP(D100,product!$A:$A,product!$B:$B,,0))</f>
        <v>Data Silent</v>
      </c>
    </row>
    <row r="101" spans="1:14" x14ac:dyDescent="0.35">
      <c r="A101" t="s">
        <v>791</v>
      </c>
      <c r="B101" s="3">
        <v>45331</v>
      </c>
      <c r="C101" t="s">
        <v>2365</v>
      </c>
      <c r="D101" t="s">
        <v>5395</v>
      </c>
      <c r="E101">
        <v>4</v>
      </c>
      <c r="F101" t="str">
        <f>_xlfn.XLOOKUP(C101,customers!$A$1:$A$983,customers!$B$1:$B$983,,0)</f>
        <v>Peter Lee</v>
      </c>
      <c r="G101" t="str">
        <f>_xlfn.XLOOKUP(C101,customers!$A:$A,customers!$C:$C,,0)</f>
        <v>peter.lee409@hotmail.com</v>
      </c>
      <c r="H101" t="str">
        <f>IF(_xlfn.XLOOKUP(C101,customers!$A:$A,customers!$G:$G,,0)=0,"",_xlfn.XLOOKUP(C101,customers!$A:$A,customers!$G:$G,,0))</f>
        <v>Sweden</v>
      </c>
      <c r="I101" t="str">
        <f>IF(_xlfn.XLOOKUP(D101,product!$A:$A,product!$E:$E,,0)=0,"",_xlfn.XLOOKUP(D101,product!$A:$A,product!$E:$E,,0))</f>
        <v>FICTION</v>
      </c>
      <c r="J101" s="5">
        <f>IF(_xlfn.XLOOKUP(D101,product!$A:$A,product!$D:$D,,0)=0,"",_xlfn.XLOOKUP(D101,product!$A:$A,product!$D:$D,,0))</f>
        <v>26.34</v>
      </c>
      <c r="K101" s="7">
        <f t="shared" si="1"/>
        <v>105.36</v>
      </c>
      <c r="L101" s="10" t="str">
        <f>IF(_xlfn.XLOOKUP(D101,product!$A:$A,product!$F:$F,,0)=0,"",_xlfn.XLOOKUP(D101,product!$A:$A,product!$F:$F,,0))</f>
        <v>Yes</v>
      </c>
      <c r="M101" t="str">
        <f>IF(_xlfn.XLOOKUP(D101,product!$A:$A,product!G:G,,0)=0,"",_xlfn.XLOOKUP(D101,product!$A:$A,product!G:G,,0))</f>
        <v>Gold</v>
      </c>
      <c r="N101" t="str">
        <f>IF(_xlfn.XLOOKUP(D101,product!$A:$A,product!$B:$B,,0)=0,"",_xlfn.XLOOKUP(D101,product!$A:$A,product!$B:$B,,0))</f>
        <v>Power Quantum</v>
      </c>
    </row>
    <row r="102" spans="1:14" x14ac:dyDescent="0.35">
      <c r="A102" t="s">
        <v>808</v>
      </c>
      <c r="B102" s="3">
        <v>45167</v>
      </c>
      <c r="C102" t="s">
        <v>1451</v>
      </c>
      <c r="D102" t="s">
        <v>5397</v>
      </c>
      <c r="E102">
        <v>4</v>
      </c>
      <c r="F102" t="str">
        <f>_xlfn.XLOOKUP(C102,customers!$A$1:$A$983,customers!$B$1:$B$983,,0)</f>
        <v>James Baker</v>
      </c>
      <c r="G102" t="str">
        <f>_xlfn.XLOOKUP(C102,customers!$A:$A,customers!$C:$C,,0)</f>
        <v>james.baker108@yahoo.com</v>
      </c>
      <c r="H102" t="str">
        <f>IF(_xlfn.XLOOKUP(C102,customers!$A:$A,customers!$G:$G,,0)=0,"",_xlfn.XLOOKUP(C102,customers!$A:$A,customers!$G:$G,,0))</f>
        <v>Germany</v>
      </c>
      <c r="I102" t="str">
        <f>IF(_xlfn.XLOOKUP(D102,product!$A:$A,product!$E:$E,,0)=0,"",_xlfn.XLOOKUP(D102,product!$A:$A,product!$E:$E,,0))</f>
        <v>FICTION</v>
      </c>
      <c r="J102" s="5">
        <f>IF(_xlfn.XLOOKUP(D102,product!$A:$A,product!$D:$D,,0)=0,"",_xlfn.XLOOKUP(D102,product!$A:$A,product!$D:$D,,0))</f>
        <v>33.75</v>
      </c>
      <c r="K102" s="7">
        <f t="shared" si="1"/>
        <v>135</v>
      </c>
      <c r="L102" s="10" t="str">
        <f>IF(_xlfn.XLOOKUP(D102,product!$A:$A,product!$F:$F,,0)=0,"",_xlfn.XLOOKUP(D102,product!$A:$A,product!$F:$F,,0))</f>
        <v>Yes</v>
      </c>
      <c r="M102" t="str">
        <f>IF(_xlfn.XLOOKUP(D102,product!$A:$A,product!G:G,,0)=0,"",_xlfn.XLOOKUP(D102,product!$A:$A,product!G:G,,0))</f>
        <v>Gold</v>
      </c>
      <c r="N102" t="str">
        <f>IF(_xlfn.XLOOKUP(D102,product!$A:$A,product!$B:$B,,0)=0,"",_xlfn.XLOOKUP(D102,product!$A:$A,product!$B:$B,,0))</f>
        <v>Journey Data</v>
      </c>
    </row>
    <row r="103" spans="1:14" x14ac:dyDescent="0.35">
      <c r="A103" t="s">
        <v>825</v>
      </c>
      <c r="B103" s="3">
        <v>45416</v>
      </c>
      <c r="C103" t="s">
        <v>2010</v>
      </c>
      <c r="D103" t="s">
        <v>5400</v>
      </c>
      <c r="E103">
        <v>4</v>
      </c>
      <c r="F103" t="str">
        <f>_xlfn.XLOOKUP(C103,customers!$A$1:$A$983,customers!$B$1:$B$983,,0)</f>
        <v>Michael Jackson</v>
      </c>
      <c r="G103" t="str">
        <f>_xlfn.XLOOKUP(C103,customers!$A:$A,customers!$C:$C,,0)</f>
        <v>michael.jackson264@yahoo.com</v>
      </c>
      <c r="H103" t="str">
        <f>IF(_xlfn.XLOOKUP(C103,customers!$A:$A,customers!$G:$G,,0)=0,"",_xlfn.XLOOKUP(C103,customers!$A:$A,customers!$G:$G,,0))</f>
        <v>Japan</v>
      </c>
      <c r="I103" t="str">
        <f>IF(_xlfn.XLOOKUP(D103,product!$A:$A,product!$E:$E,,0)=0,"",_xlfn.XLOOKUP(D103,product!$A:$A,product!$E:$E,,0))</f>
        <v>SCIENCE</v>
      </c>
      <c r="J103" s="5">
        <f>IF(_xlfn.XLOOKUP(D103,product!$A:$A,product!$D:$D,,0)=0,"",_xlfn.XLOOKUP(D103,product!$A:$A,product!$D:$D,,0))</f>
        <v>35.659999999999997</v>
      </c>
      <c r="K103" s="7">
        <f t="shared" si="1"/>
        <v>142.63999999999999</v>
      </c>
      <c r="L103" s="10" t="str">
        <f>IF(_xlfn.XLOOKUP(D103,product!$A:$A,product!$F:$F,,0)=0,"",_xlfn.XLOOKUP(D103,product!$A:$A,product!$F:$F,,0))</f>
        <v>No</v>
      </c>
      <c r="M103" t="str">
        <f>IF(_xlfn.XLOOKUP(D103,product!$A:$A,product!G:G,,0)=0,"",_xlfn.XLOOKUP(D103,product!$A:$A,product!G:G,,0))</f>
        <v>Silver</v>
      </c>
      <c r="N103" t="str">
        <f>IF(_xlfn.XLOOKUP(D103,product!$A:$A,product!$B:$B,,0)=0,"",_xlfn.XLOOKUP(D103,product!$A:$A,product!$B:$B,,0))</f>
        <v>Power Journey</v>
      </c>
    </row>
    <row r="104" spans="1:14" x14ac:dyDescent="0.35">
      <c r="A104" t="s">
        <v>842</v>
      </c>
      <c r="B104" s="3">
        <v>45238</v>
      </c>
      <c r="C104" t="s">
        <v>3299</v>
      </c>
      <c r="D104" t="s">
        <v>5402</v>
      </c>
      <c r="E104">
        <v>4</v>
      </c>
      <c r="F104" t="str">
        <f>_xlfn.XLOOKUP(C104,customers!$A$1:$A$983,customers!$B$1:$B$983,,0)</f>
        <v>Peter Young</v>
      </c>
      <c r="G104" t="str">
        <f>_xlfn.XLOOKUP(C104,customers!$A:$A,customers!$C:$C,,0)</f>
        <v>peter.young863@gmail.com</v>
      </c>
      <c r="H104" t="str">
        <f>IF(_xlfn.XLOOKUP(C104,customers!$A:$A,customers!$G:$G,,0)=0,"",_xlfn.XLOOKUP(C104,customers!$A:$A,customers!$G:$G,,0))</f>
        <v>Portugal</v>
      </c>
      <c r="I104" t="str">
        <f>IF(_xlfn.XLOOKUP(D104,product!$A:$A,product!$E:$E,,0)=0,"",_xlfn.XLOOKUP(D104,product!$A:$A,product!$E:$E,,0))</f>
        <v>BUSINESS</v>
      </c>
      <c r="J104" s="5">
        <f>IF(_xlfn.XLOOKUP(D104,product!$A:$A,product!$D:$D,,0)=0,"",_xlfn.XLOOKUP(D104,product!$A:$A,product!$D:$D,,0))</f>
        <v>33.119999999999997</v>
      </c>
      <c r="K104" s="7">
        <f t="shared" si="1"/>
        <v>132.47999999999999</v>
      </c>
      <c r="L104" s="10" t="str">
        <f>IF(_xlfn.XLOOKUP(D104,product!$A:$A,product!$F:$F,,0)=0,"",_xlfn.XLOOKUP(D104,product!$A:$A,product!$F:$F,,0))</f>
        <v>Yes</v>
      </c>
      <c r="M104" t="str">
        <f>IF(_xlfn.XLOOKUP(D104,product!$A:$A,product!G:G,,0)=0,"",_xlfn.XLOOKUP(D104,product!$A:$A,product!G:G,,0))</f>
        <v>None</v>
      </c>
      <c r="N104" t="str">
        <f>IF(_xlfn.XLOOKUP(D104,product!$A:$A,product!$B:$B,,0)=0,"",_xlfn.XLOOKUP(D104,product!$A:$A,product!$B:$B,,0))</f>
        <v>Power Silent</v>
      </c>
    </row>
    <row r="105" spans="1:14" x14ac:dyDescent="0.35">
      <c r="A105" t="s">
        <v>859</v>
      </c>
      <c r="B105" s="3">
        <v>45496</v>
      </c>
      <c r="C105" t="s">
        <v>1746</v>
      </c>
      <c r="D105" t="s">
        <v>5403</v>
      </c>
      <c r="E105">
        <v>4</v>
      </c>
      <c r="F105" t="str">
        <f>_xlfn.XLOOKUP(C105,customers!$A$1:$A$983,customers!$B$1:$B$983,,0)</f>
        <v>Olivia Lewis</v>
      </c>
      <c r="G105" t="str">
        <f>_xlfn.XLOOKUP(C105,customers!$A:$A,customers!$C:$C,,0)</f>
        <v>olivia.lewis182@gmail.com</v>
      </c>
      <c r="H105" t="str">
        <f>IF(_xlfn.XLOOKUP(C105,customers!$A:$A,customers!$G:$G,,0)=0,"",_xlfn.XLOOKUP(C105,customers!$A:$A,customers!$G:$G,,0))</f>
        <v>Pakistan</v>
      </c>
      <c r="I105" t="str">
        <f>IF(_xlfn.XLOOKUP(D105,product!$A:$A,product!$E:$E,,0)=0,"",_xlfn.XLOOKUP(D105,product!$A:$A,product!$E:$E,,0))</f>
        <v>TECH</v>
      </c>
      <c r="J105" s="5">
        <f>IF(_xlfn.XLOOKUP(D105,product!$A:$A,product!$D:$D,,0)=0,"",_xlfn.XLOOKUP(D105,product!$A:$A,product!$D:$D,,0))</f>
        <v>32.93</v>
      </c>
      <c r="K105" s="7">
        <f t="shared" si="1"/>
        <v>131.72</v>
      </c>
      <c r="L105" s="10" t="str">
        <f>IF(_xlfn.XLOOKUP(D105,product!$A:$A,product!$F:$F,,0)=0,"",_xlfn.XLOOKUP(D105,product!$A:$A,product!$F:$F,,0))</f>
        <v>Yes</v>
      </c>
      <c r="M105" t="str">
        <f>IF(_xlfn.XLOOKUP(D105,product!$A:$A,product!G:G,,0)=0,"",_xlfn.XLOOKUP(D105,product!$A:$A,product!G:G,,0))</f>
        <v>Silver</v>
      </c>
      <c r="N105" t="str">
        <f>IF(_xlfn.XLOOKUP(D105,product!$A:$A,product!$B:$B,,0)=0,"",_xlfn.XLOOKUP(D105,product!$A:$A,product!$B:$B,,0))</f>
        <v>Mind Quantum</v>
      </c>
    </row>
    <row r="106" spans="1:14" x14ac:dyDescent="0.35">
      <c r="A106" t="s">
        <v>876</v>
      </c>
      <c r="B106" s="3">
        <v>45091</v>
      </c>
      <c r="C106" t="s">
        <v>2550</v>
      </c>
      <c r="D106" t="s">
        <v>5404</v>
      </c>
      <c r="E106">
        <v>4</v>
      </c>
      <c r="F106" t="str">
        <f>_xlfn.XLOOKUP(C106,customers!$A$1:$A$983,customers!$B$1:$B$983,,0)</f>
        <v>John White</v>
      </c>
      <c r="G106" t="str">
        <f>_xlfn.XLOOKUP(C106,customers!$A:$A,customers!$C:$C,,0)</f>
        <v>john.white496@hotmail.com</v>
      </c>
      <c r="H106" t="str">
        <f>IF(_xlfn.XLOOKUP(C106,customers!$A:$A,customers!$G:$G,,0)=0,"",_xlfn.XLOOKUP(C106,customers!$A:$A,customers!$G:$G,,0))</f>
        <v>USA</v>
      </c>
      <c r="I106" t="str">
        <f>IF(_xlfn.XLOOKUP(D106,product!$A:$A,product!$E:$E,,0)=0,"",_xlfn.XLOOKUP(D106,product!$A:$A,product!$E:$E,,0))</f>
        <v>BUSINESS</v>
      </c>
      <c r="J106" s="5">
        <f>IF(_xlfn.XLOOKUP(D106,product!$A:$A,product!$D:$D,,0)=0,"",_xlfn.XLOOKUP(D106,product!$A:$A,product!$D:$D,,0))</f>
        <v>20.8</v>
      </c>
      <c r="K106" s="7">
        <f t="shared" si="1"/>
        <v>83.2</v>
      </c>
      <c r="L106" s="10" t="str">
        <f>IF(_xlfn.XLOOKUP(D106,product!$A:$A,product!$F:$F,,0)=0,"",_xlfn.XLOOKUP(D106,product!$A:$A,product!$F:$F,,0))</f>
        <v>Yes</v>
      </c>
      <c r="M106" t="str">
        <f>IF(_xlfn.XLOOKUP(D106,product!$A:$A,product!G:G,,0)=0,"",_xlfn.XLOOKUP(D106,product!$A:$A,product!G:G,,0))</f>
        <v>None</v>
      </c>
      <c r="N106" t="str">
        <f>IF(_xlfn.XLOOKUP(D106,product!$A:$A,product!$B:$B,,0)=0,"",_xlfn.XLOOKUP(D106,product!$A:$A,product!$B:$B,,0))</f>
        <v>Silent Forest</v>
      </c>
    </row>
    <row r="107" spans="1:14" x14ac:dyDescent="0.35">
      <c r="A107" t="s">
        <v>893</v>
      </c>
      <c r="B107" s="3">
        <v>45544</v>
      </c>
      <c r="C107" t="s">
        <v>2600</v>
      </c>
      <c r="D107" t="s">
        <v>5407</v>
      </c>
      <c r="E107">
        <v>4</v>
      </c>
      <c r="F107" t="str">
        <f>_xlfn.XLOOKUP(C107,customers!$A$1:$A$983,customers!$B$1:$B$983,,0)</f>
        <v>George Garcia</v>
      </c>
      <c r="G107" t="str">
        <f>_xlfn.XLOOKUP(C107,customers!$A:$A,customers!$C:$C,,0)</f>
        <v>george.garcia520@gmail.com</v>
      </c>
      <c r="H107" t="str">
        <f>IF(_xlfn.XLOOKUP(C107,customers!$A:$A,customers!$G:$G,,0)=0,"",_xlfn.XLOOKUP(C107,customers!$A:$A,customers!$G:$G,,0))</f>
        <v>Japan</v>
      </c>
      <c r="I107" t="str">
        <f>IF(_xlfn.XLOOKUP(D107,product!$A:$A,product!$E:$E,,0)=0,"",_xlfn.XLOOKUP(D107,product!$A:$A,product!$E:$E,,0))</f>
        <v>SCIENCE</v>
      </c>
      <c r="J107" s="5">
        <f>IF(_xlfn.XLOOKUP(D107,product!$A:$A,product!$D:$D,,0)=0,"",_xlfn.XLOOKUP(D107,product!$A:$A,product!$D:$D,,0))</f>
        <v>35.42</v>
      </c>
      <c r="K107" s="7">
        <f t="shared" si="1"/>
        <v>141.68</v>
      </c>
      <c r="L107" s="10" t="str">
        <f>IF(_xlfn.XLOOKUP(D107,product!$A:$A,product!$F:$F,,0)=0,"",_xlfn.XLOOKUP(D107,product!$A:$A,product!$F:$F,,0))</f>
        <v>Yes</v>
      </c>
      <c r="M107" t="str">
        <f>IF(_xlfn.XLOOKUP(D107,product!$A:$A,product!G:G,,0)=0,"",_xlfn.XLOOKUP(D107,product!$A:$A,product!G:G,,0))</f>
        <v>Gold</v>
      </c>
      <c r="N107" t="str">
        <f>IF(_xlfn.XLOOKUP(D107,product!$A:$A,product!$B:$B,,0)=0,"",_xlfn.XLOOKUP(D107,product!$A:$A,product!$B:$B,,0))</f>
        <v>Quantum Power</v>
      </c>
    </row>
    <row r="108" spans="1:14" x14ac:dyDescent="0.35">
      <c r="A108" t="s">
        <v>910</v>
      </c>
      <c r="B108" s="3">
        <v>45043</v>
      </c>
      <c r="C108" t="s">
        <v>2573</v>
      </c>
      <c r="D108" t="s">
        <v>5408</v>
      </c>
      <c r="E108">
        <v>4</v>
      </c>
      <c r="F108" t="str">
        <f>_xlfn.XLOOKUP(C108,customers!$A$1:$A$983,customers!$B$1:$B$983,,0)</f>
        <v>Laura Martinez</v>
      </c>
      <c r="G108" t="str">
        <f>_xlfn.XLOOKUP(C108,customers!$A:$A,customers!$C:$C,,0)</f>
        <v>laura.martinez507@hotmail.com</v>
      </c>
      <c r="H108" t="str">
        <f>IF(_xlfn.XLOOKUP(C108,customers!$A:$A,customers!$G:$G,,0)=0,"",_xlfn.XLOOKUP(C108,customers!$A:$A,customers!$G:$G,,0))</f>
        <v>Japan</v>
      </c>
      <c r="I108" t="str">
        <f>IF(_xlfn.XLOOKUP(D108,product!$A:$A,product!$E:$E,,0)=0,"",_xlfn.XLOOKUP(D108,product!$A:$A,product!$E:$E,,0))</f>
        <v>TECH</v>
      </c>
      <c r="J108" s="5">
        <f>IF(_xlfn.XLOOKUP(D108,product!$A:$A,product!$D:$D,,0)=0,"",_xlfn.XLOOKUP(D108,product!$A:$A,product!$D:$D,,0))</f>
        <v>16.649999999999999</v>
      </c>
      <c r="K108" s="7">
        <f t="shared" si="1"/>
        <v>66.599999999999994</v>
      </c>
      <c r="L108" s="10" t="str">
        <f>IF(_xlfn.XLOOKUP(D108,product!$A:$A,product!$F:$F,,0)=0,"",_xlfn.XLOOKUP(D108,product!$A:$A,product!$F:$F,,0))</f>
        <v>Yes</v>
      </c>
      <c r="M108" t="str">
        <f>IF(_xlfn.XLOOKUP(D108,product!$A:$A,product!G:G,,0)=0,"",_xlfn.XLOOKUP(D108,product!$A:$A,product!G:G,,0))</f>
        <v>None</v>
      </c>
      <c r="N108" t="str">
        <f>IF(_xlfn.XLOOKUP(D108,product!$A:$A,product!$B:$B,,0)=0,"",_xlfn.XLOOKUP(D108,product!$A:$A,product!$B:$B,,0))</f>
        <v>Mind Secrets</v>
      </c>
    </row>
    <row r="109" spans="1:14" x14ac:dyDescent="0.35">
      <c r="A109" t="s">
        <v>927</v>
      </c>
      <c r="B109" s="3">
        <v>45303</v>
      </c>
      <c r="C109" t="s">
        <v>2834</v>
      </c>
      <c r="D109" t="s">
        <v>5410</v>
      </c>
      <c r="E109">
        <v>4</v>
      </c>
      <c r="F109" t="str">
        <f>_xlfn.XLOOKUP(C109,customers!$A$1:$A$983,customers!$B$1:$B$983,,0)</f>
        <v>Mark Walker</v>
      </c>
      <c r="G109" t="str">
        <f>_xlfn.XLOOKUP(C109,customers!$A:$A,customers!$C:$C,,0)</f>
        <v>mark.walker632@outlook.com</v>
      </c>
      <c r="H109" t="str">
        <f>IF(_xlfn.XLOOKUP(C109,customers!$A:$A,customers!$G:$G,,0)=0,"",_xlfn.XLOOKUP(C109,customers!$A:$A,customers!$G:$G,,0))</f>
        <v>Pakistan</v>
      </c>
      <c r="I109" t="str">
        <f>IF(_xlfn.XLOOKUP(D109,product!$A:$A,product!$E:$E,,0)=0,"",_xlfn.XLOOKUP(D109,product!$A:$A,product!$E:$E,,0))</f>
        <v>BUSINESS</v>
      </c>
      <c r="J109" s="5">
        <f>IF(_xlfn.XLOOKUP(D109,product!$A:$A,product!$D:$D,,0)=0,"",_xlfn.XLOOKUP(D109,product!$A:$A,product!$D:$D,,0))</f>
        <v>21.64</v>
      </c>
      <c r="K109" s="7">
        <f t="shared" si="1"/>
        <v>86.56</v>
      </c>
      <c r="L109" s="10" t="str">
        <f>IF(_xlfn.XLOOKUP(D109,product!$A:$A,product!$F:$F,,0)=0,"",_xlfn.XLOOKUP(D109,product!$A:$A,product!$F:$F,,0))</f>
        <v>No</v>
      </c>
      <c r="M109" t="str">
        <f>IF(_xlfn.XLOOKUP(D109,product!$A:$A,product!G:G,,0)=0,"",_xlfn.XLOOKUP(D109,product!$A:$A,product!G:G,,0))</f>
        <v>Gold</v>
      </c>
      <c r="N109" t="str">
        <f>IF(_xlfn.XLOOKUP(D109,product!$A:$A,product!$B:$B,,0)=0,"",_xlfn.XLOOKUP(D109,product!$A:$A,product!$B:$B,,0))</f>
        <v>Future Mind</v>
      </c>
    </row>
    <row r="110" spans="1:14" x14ac:dyDescent="0.35">
      <c r="A110" t="s">
        <v>944</v>
      </c>
      <c r="B110" s="3">
        <v>45202</v>
      </c>
      <c r="C110" t="s">
        <v>1599</v>
      </c>
      <c r="D110" t="s">
        <v>5412</v>
      </c>
      <c r="E110">
        <v>4</v>
      </c>
      <c r="F110" t="str">
        <f>_xlfn.XLOOKUP(C110,customers!$A$1:$A$983,customers!$B$1:$B$983,,0)</f>
        <v>Thomas Anderson</v>
      </c>
      <c r="G110" t="str">
        <f>_xlfn.XLOOKUP(C110,customers!$A:$A,customers!$C:$C,,0)</f>
        <v>thomas.anderson149@hotmail.com</v>
      </c>
      <c r="H110" t="str">
        <f>IF(_xlfn.XLOOKUP(C110,customers!$A:$A,customers!$G:$G,,0)=0,"",_xlfn.XLOOKUP(C110,customers!$A:$A,customers!$G:$G,,0))</f>
        <v>Egypt</v>
      </c>
      <c r="I110" t="str">
        <f>IF(_xlfn.XLOOKUP(D110,product!$A:$A,product!$E:$E,,0)=0,"",_xlfn.XLOOKUP(D110,product!$A:$A,product!$E:$E,,0))</f>
        <v>BUSINESS</v>
      </c>
      <c r="J110" s="5">
        <f>IF(_xlfn.XLOOKUP(D110,product!$A:$A,product!$D:$D,,0)=0,"",_xlfn.XLOOKUP(D110,product!$A:$A,product!$D:$D,,0))</f>
        <v>39.799999999999997</v>
      </c>
      <c r="K110" s="7">
        <f t="shared" si="1"/>
        <v>159.19999999999999</v>
      </c>
      <c r="L110" s="10" t="str">
        <f>IF(_xlfn.XLOOKUP(D110,product!$A:$A,product!$F:$F,,0)=0,"",_xlfn.XLOOKUP(D110,product!$A:$A,product!$F:$F,,0))</f>
        <v>Yes</v>
      </c>
      <c r="M110" t="str">
        <f>IF(_xlfn.XLOOKUP(D110,product!$A:$A,product!G:G,,0)=0,"",_xlfn.XLOOKUP(D110,product!$A:$A,product!G:G,,0))</f>
        <v>Gold</v>
      </c>
      <c r="N110" t="str">
        <f>IF(_xlfn.XLOOKUP(D110,product!$A:$A,product!$B:$B,,0)=0,"",_xlfn.XLOOKUP(D110,product!$A:$A,product!$B:$B,,0))</f>
        <v>Forest Power</v>
      </c>
    </row>
    <row r="111" spans="1:14" x14ac:dyDescent="0.35">
      <c r="A111" t="s">
        <v>961</v>
      </c>
      <c r="B111" s="3">
        <v>45611</v>
      </c>
      <c r="C111" t="s">
        <v>2182</v>
      </c>
      <c r="D111" t="s">
        <v>5415</v>
      </c>
      <c r="E111">
        <v>4</v>
      </c>
      <c r="F111" t="str">
        <f>_xlfn.XLOOKUP(C111,customers!$A$1:$A$983,customers!$B$1:$B$983,,0)</f>
        <v>Isabella Martin</v>
      </c>
      <c r="G111" t="str">
        <f>_xlfn.XLOOKUP(C111,customers!$A:$A,customers!$C:$C,,0)</f>
        <v>isabella.martin329@outlook.com</v>
      </c>
      <c r="H111" t="str">
        <f>IF(_xlfn.XLOOKUP(C111,customers!$A:$A,customers!$G:$G,,0)=0,"",_xlfn.XLOOKUP(C111,customers!$A:$A,customers!$G:$G,,0))</f>
        <v>Egypt</v>
      </c>
      <c r="I111" t="str">
        <f>IF(_xlfn.XLOOKUP(D111,product!$A:$A,product!$E:$E,,0)=0,"",_xlfn.XLOOKUP(D111,product!$A:$A,product!$E:$E,,0))</f>
        <v>BUSINESS</v>
      </c>
      <c r="J111" s="5">
        <f>IF(_xlfn.XLOOKUP(D111,product!$A:$A,product!$D:$D,,0)=0,"",_xlfn.XLOOKUP(D111,product!$A:$A,product!$D:$D,,0))</f>
        <v>17.04</v>
      </c>
      <c r="K111" s="7">
        <f t="shared" si="1"/>
        <v>68.16</v>
      </c>
      <c r="L111" s="10" t="str">
        <f>IF(_xlfn.XLOOKUP(D111,product!$A:$A,product!$F:$F,,0)=0,"",_xlfn.XLOOKUP(D111,product!$A:$A,product!$F:$F,,0))</f>
        <v>No</v>
      </c>
      <c r="M111" t="str">
        <f>IF(_xlfn.XLOOKUP(D111,product!$A:$A,product!G:G,,0)=0,"",_xlfn.XLOOKUP(D111,product!$A:$A,product!G:G,,0))</f>
        <v>Platinum</v>
      </c>
      <c r="N111" t="str">
        <f>IF(_xlfn.XLOOKUP(D111,product!$A:$A,product!$B:$B,,0)=0,"",_xlfn.XLOOKUP(D111,product!$A:$A,product!$B:$B,,0))</f>
        <v>Forest Data</v>
      </c>
    </row>
    <row r="112" spans="1:14" x14ac:dyDescent="0.35">
      <c r="A112" t="s">
        <v>978</v>
      </c>
      <c r="B112" s="3">
        <v>45265</v>
      </c>
      <c r="C112" t="s">
        <v>2787</v>
      </c>
      <c r="D112" t="s">
        <v>5416</v>
      </c>
      <c r="E112">
        <v>4</v>
      </c>
      <c r="F112" t="str">
        <f>_xlfn.XLOOKUP(C112,customers!$A$1:$A$983,customers!$B$1:$B$983,,0)</f>
        <v>Brian Thompson</v>
      </c>
      <c r="G112" t="str">
        <f>_xlfn.XLOOKUP(C112,customers!$A:$A,customers!$C:$C,,0)</f>
        <v>brian.thompson610@gmail.com</v>
      </c>
      <c r="H112" t="str">
        <f>IF(_xlfn.XLOOKUP(C112,customers!$A:$A,customers!$G:$G,,0)=0,"",_xlfn.XLOOKUP(C112,customers!$A:$A,customers!$G:$G,,0))</f>
        <v>Japan</v>
      </c>
      <c r="I112" t="str">
        <f>IF(_xlfn.XLOOKUP(D112,product!$A:$A,product!$E:$E,,0)=0,"",_xlfn.XLOOKUP(D112,product!$A:$A,product!$E:$E,,0))</f>
        <v>HISTORY</v>
      </c>
      <c r="J112" s="5">
        <f>IF(_xlfn.XLOOKUP(D112,product!$A:$A,product!$D:$D,,0)=0,"",_xlfn.XLOOKUP(D112,product!$A:$A,product!$D:$D,,0))</f>
        <v>27.78</v>
      </c>
      <c r="K112" s="7">
        <f t="shared" si="1"/>
        <v>111.12</v>
      </c>
      <c r="L112" s="10" t="str">
        <f>IF(_xlfn.XLOOKUP(D112,product!$A:$A,product!$F:$F,,0)=0,"",_xlfn.XLOOKUP(D112,product!$A:$A,product!$F:$F,,0))</f>
        <v>No</v>
      </c>
      <c r="M112" t="str">
        <f>IF(_xlfn.XLOOKUP(D112,product!$A:$A,product!G:G,,0)=0,"",_xlfn.XLOOKUP(D112,product!$A:$A,product!G:G,,0))</f>
        <v>None</v>
      </c>
      <c r="N112" t="str">
        <f>IF(_xlfn.XLOOKUP(D112,product!$A:$A,product!$B:$B,,0)=0,"",_xlfn.XLOOKUP(D112,product!$A:$A,product!$B:$B,,0))</f>
        <v>Power Mind</v>
      </c>
    </row>
    <row r="113" spans="1:14" x14ac:dyDescent="0.35">
      <c r="A113" t="s">
        <v>995</v>
      </c>
      <c r="B113" s="3">
        <v>45370</v>
      </c>
      <c r="C113" t="s">
        <v>1300</v>
      </c>
      <c r="D113" t="s">
        <v>5417</v>
      </c>
      <c r="E113">
        <v>4</v>
      </c>
      <c r="F113" t="str">
        <f>_xlfn.XLOOKUP(C113,customers!$A$1:$A$983,customers!$B$1:$B$983,,0)</f>
        <v>Andrew Walker</v>
      </c>
      <c r="G113" t="str">
        <f>_xlfn.XLOOKUP(C113,customers!$A:$A,customers!$C:$C,,0)</f>
        <v>andrew.walker64@yahoo.com</v>
      </c>
      <c r="H113" t="str">
        <f>IF(_xlfn.XLOOKUP(C113,customers!$A:$A,customers!$G:$G,,0)=0,"",_xlfn.XLOOKUP(C113,customers!$A:$A,customers!$G:$G,,0))</f>
        <v>USA</v>
      </c>
      <c r="I113" t="str">
        <f>IF(_xlfn.XLOOKUP(D113,product!$A:$A,product!$E:$E,,0)=0,"",_xlfn.XLOOKUP(D113,product!$A:$A,product!$E:$E,,0))</f>
        <v>BUSINESS</v>
      </c>
      <c r="J113" s="5">
        <f>IF(_xlfn.XLOOKUP(D113,product!$A:$A,product!$D:$D,,0)=0,"",_xlfn.XLOOKUP(D113,product!$A:$A,product!$D:$D,,0))</f>
        <v>22.32</v>
      </c>
      <c r="K113" s="7">
        <f t="shared" si="1"/>
        <v>89.28</v>
      </c>
      <c r="L113" s="10" t="str">
        <f>IF(_xlfn.XLOOKUP(D113,product!$A:$A,product!$F:$F,,0)=0,"",_xlfn.XLOOKUP(D113,product!$A:$A,product!$F:$F,,0))</f>
        <v>No</v>
      </c>
      <c r="M113" t="str">
        <f>IF(_xlfn.XLOOKUP(D113,product!$A:$A,product!G:G,,0)=0,"",_xlfn.XLOOKUP(D113,product!$A:$A,product!G:G,,0))</f>
        <v>Gold</v>
      </c>
      <c r="N113" t="str">
        <f>IF(_xlfn.XLOOKUP(D113,product!$A:$A,product!$B:$B,,0)=0,"",_xlfn.XLOOKUP(D113,product!$A:$A,product!$B:$B,,0))</f>
        <v>Data Forest</v>
      </c>
    </row>
    <row r="114" spans="1:14" x14ac:dyDescent="0.35">
      <c r="A114" t="s">
        <v>1012</v>
      </c>
      <c r="B114" s="3">
        <v>45259</v>
      </c>
      <c r="C114" t="s">
        <v>1490</v>
      </c>
      <c r="D114" t="s">
        <v>5419</v>
      </c>
      <c r="E114">
        <v>4</v>
      </c>
      <c r="F114" t="str">
        <f>_xlfn.XLOOKUP(C114,customers!$A$1:$A$983,customers!$B$1:$B$983,,0)</f>
        <v>Emma Thomas</v>
      </c>
      <c r="G114" t="str">
        <f>_xlfn.XLOOKUP(C114,customers!$A:$A,customers!$C:$C,,0)</f>
        <v>emma.thomas120@outlook.com</v>
      </c>
      <c r="H114" t="str">
        <f>IF(_xlfn.XLOOKUP(C114,customers!$A:$A,customers!$G:$G,,0)=0,"",_xlfn.XLOOKUP(C114,customers!$A:$A,customers!$G:$G,,0))</f>
        <v>Japan</v>
      </c>
      <c r="I114" t="str">
        <f>IF(_xlfn.XLOOKUP(D114,product!$A:$A,product!$E:$E,,0)=0,"",_xlfn.XLOOKUP(D114,product!$A:$A,product!$E:$E,,0))</f>
        <v>TECH</v>
      </c>
      <c r="J114" s="5">
        <f>IF(_xlfn.XLOOKUP(D114,product!$A:$A,product!$D:$D,,0)=0,"",_xlfn.XLOOKUP(D114,product!$A:$A,product!$D:$D,,0))</f>
        <v>17.91</v>
      </c>
      <c r="K114" s="7">
        <f t="shared" si="1"/>
        <v>71.64</v>
      </c>
      <c r="L114" s="10" t="str">
        <f>IF(_xlfn.XLOOKUP(D114,product!$A:$A,product!$F:$F,,0)=0,"",_xlfn.XLOOKUP(D114,product!$A:$A,product!$F:$F,,0))</f>
        <v>No</v>
      </c>
      <c r="M114" t="str">
        <f>IF(_xlfn.XLOOKUP(D114,product!$A:$A,product!G:G,,0)=0,"",_xlfn.XLOOKUP(D114,product!$A:$A,product!G:G,,0))</f>
        <v>Gold</v>
      </c>
      <c r="N114" t="str">
        <f>IF(_xlfn.XLOOKUP(D114,product!$A:$A,product!$B:$B,,0)=0,"",_xlfn.XLOOKUP(D114,product!$A:$A,product!$B:$B,,0))</f>
        <v>Power Quantum</v>
      </c>
    </row>
    <row r="115" spans="1:14" x14ac:dyDescent="0.35">
      <c r="A115" t="s">
        <v>1029</v>
      </c>
      <c r="B115" s="3">
        <v>45445</v>
      </c>
      <c r="C115" t="s">
        <v>2147</v>
      </c>
      <c r="D115" t="s">
        <v>5420</v>
      </c>
      <c r="E115">
        <v>4</v>
      </c>
      <c r="F115" t="str">
        <f>_xlfn.XLOOKUP(C115,customers!$A$1:$A$983,customers!$B$1:$B$983,,0)</f>
        <v>Jessica King</v>
      </c>
      <c r="G115" t="str">
        <f>_xlfn.XLOOKUP(C115,customers!$A:$A,customers!$C:$C,,0)</f>
        <v>jessica.king314@outlook.com</v>
      </c>
      <c r="H115" t="str">
        <f>IF(_xlfn.XLOOKUP(C115,customers!$A:$A,customers!$G:$G,,0)=0,"",_xlfn.XLOOKUP(C115,customers!$A:$A,customers!$G:$G,,0))</f>
        <v>Spain</v>
      </c>
      <c r="I115" t="str">
        <f>IF(_xlfn.XLOOKUP(D115,product!$A:$A,product!$E:$E,,0)=0,"",_xlfn.XLOOKUP(D115,product!$A:$A,product!$E:$E,,0))</f>
        <v>HISTORY</v>
      </c>
      <c r="J115" s="5">
        <f>IF(_xlfn.XLOOKUP(D115,product!$A:$A,product!$D:$D,,0)=0,"",_xlfn.XLOOKUP(D115,product!$A:$A,product!$D:$D,,0))</f>
        <v>13.56</v>
      </c>
      <c r="K115" s="7">
        <f t="shared" si="1"/>
        <v>54.24</v>
      </c>
      <c r="L115" s="10" t="str">
        <f>IF(_xlfn.XLOOKUP(D115,product!$A:$A,product!$F:$F,,0)=0,"",_xlfn.XLOOKUP(D115,product!$A:$A,product!$F:$F,,0))</f>
        <v>No</v>
      </c>
      <c r="M115" t="str">
        <f>IF(_xlfn.XLOOKUP(D115,product!$A:$A,product!G:G,,0)=0,"",_xlfn.XLOOKUP(D115,product!$A:$A,product!G:G,,0))</f>
        <v>Silver</v>
      </c>
      <c r="N115" t="str">
        <f>IF(_xlfn.XLOOKUP(D115,product!$A:$A,product!$B:$B,,0)=0,"",_xlfn.XLOOKUP(D115,product!$A:$A,product!$B:$B,,0))</f>
        <v>Forest Data</v>
      </c>
    </row>
    <row r="116" spans="1:14" x14ac:dyDescent="0.35">
      <c r="A116" t="s">
        <v>1046</v>
      </c>
      <c r="B116" s="3">
        <v>45062</v>
      </c>
      <c r="C116" t="s">
        <v>2737</v>
      </c>
      <c r="D116" t="s">
        <v>5422</v>
      </c>
      <c r="E116">
        <v>4</v>
      </c>
      <c r="F116" t="str">
        <f>_xlfn.XLOOKUP(C116,customers!$A$1:$A$983,customers!$B$1:$B$983,,0)</f>
        <v>Peter Baker</v>
      </c>
      <c r="G116" t="str">
        <f>_xlfn.XLOOKUP(C116,customers!$A:$A,customers!$C:$C,,0)</f>
        <v>peter.baker586@gmail.com</v>
      </c>
      <c r="H116" t="str">
        <f>IF(_xlfn.XLOOKUP(C116,customers!$A:$A,customers!$G:$G,,0)=0,"",_xlfn.XLOOKUP(C116,customers!$A:$A,customers!$G:$G,,0))</f>
        <v>USA</v>
      </c>
      <c r="I116" t="str">
        <f>IF(_xlfn.XLOOKUP(D116,product!$A:$A,product!$E:$E,,0)=0,"",_xlfn.XLOOKUP(D116,product!$A:$A,product!$E:$E,,0))</f>
        <v>SCIENCE</v>
      </c>
      <c r="J116" s="5">
        <f>IF(_xlfn.XLOOKUP(D116,product!$A:$A,product!$D:$D,,0)=0,"",_xlfn.XLOOKUP(D116,product!$A:$A,product!$D:$D,,0))</f>
        <v>15.49</v>
      </c>
      <c r="K116" s="7">
        <f t="shared" si="1"/>
        <v>61.96</v>
      </c>
      <c r="L116" s="10" t="str">
        <f>IF(_xlfn.XLOOKUP(D116,product!$A:$A,product!$F:$F,,0)=0,"",_xlfn.XLOOKUP(D116,product!$A:$A,product!$F:$F,,0))</f>
        <v>No</v>
      </c>
      <c r="M116" t="str">
        <f>IF(_xlfn.XLOOKUP(D116,product!$A:$A,product!G:G,,0)=0,"",_xlfn.XLOOKUP(D116,product!$A:$A,product!G:G,,0))</f>
        <v>None</v>
      </c>
      <c r="N116" t="str">
        <f>IF(_xlfn.XLOOKUP(D116,product!$A:$A,product!$B:$B,,0)=0,"",_xlfn.XLOOKUP(D116,product!$A:$A,product!$B:$B,,0))</f>
        <v>Data Future</v>
      </c>
    </row>
    <row r="117" spans="1:14" x14ac:dyDescent="0.35">
      <c r="A117" t="s">
        <v>19</v>
      </c>
      <c r="B117" s="3">
        <v>45586</v>
      </c>
      <c r="C117" t="s">
        <v>3297</v>
      </c>
      <c r="D117" t="s">
        <v>5424</v>
      </c>
      <c r="E117">
        <v>4</v>
      </c>
      <c r="F117" t="str">
        <f>_xlfn.XLOOKUP(C117,customers!$A$1:$A$983,customers!$B$1:$B$983,,0)</f>
        <v>Paul Clark</v>
      </c>
      <c r="G117" t="str">
        <f>_xlfn.XLOOKUP(C117,customers!$A:$A,customers!$C:$C,,0)</f>
        <v>paul.clark862@yahoo.com</v>
      </c>
      <c r="H117" t="str">
        <f>IF(_xlfn.XLOOKUP(C117,customers!$A:$A,customers!$G:$G,,0)=0,"",_xlfn.XLOOKUP(C117,customers!$A:$A,customers!$G:$G,,0))</f>
        <v>Egypt</v>
      </c>
      <c r="I117" t="str">
        <f>IF(_xlfn.XLOOKUP(D117,product!$A:$A,product!$E:$E,,0)=0,"",_xlfn.XLOOKUP(D117,product!$A:$A,product!$E:$E,,0))</f>
        <v>TECH</v>
      </c>
      <c r="J117" s="5">
        <f>IF(_xlfn.XLOOKUP(D117,product!$A:$A,product!$D:$D,,0)=0,"",_xlfn.XLOOKUP(D117,product!$A:$A,product!$D:$D,,0))</f>
        <v>21.91</v>
      </c>
      <c r="K117" s="7">
        <f t="shared" si="1"/>
        <v>87.64</v>
      </c>
      <c r="L117" s="10" t="str">
        <f>IF(_xlfn.XLOOKUP(D117,product!$A:$A,product!$F:$F,,0)=0,"",_xlfn.XLOOKUP(D117,product!$A:$A,product!$F:$F,,0))</f>
        <v>No</v>
      </c>
      <c r="M117" t="str">
        <f>IF(_xlfn.XLOOKUP(D117,product!$A:$A,product!G:G,,0)=0,"",_xlfn.XLOOKUP(D117,product!$A:$A,product!G:G,,0))</f>
        <v>Gold</v>
      </c>
      <c r="N117" t="str">
        <f>IF(_xlfn.XLOOKUP(D117,product!$A:$A,product!$B:$B,,0)=0,"",_xlfn.XLOOKUP(D117,product!$A:$A,product!$B:$B,,0))</f>
        <v>Quantum Secrets</v>
      </c>
    </row>
    <row r="118" spans="1:14" x14ac:dyDescent="0.35">
      <c r="A118" t="s">
        <v>30</v>
      </c>
      <c r="B118" s="3">
        <v>45113</v>
      </c>
      <c r="C118" t="s">
        <v>2451</v>
      </c>
      <c r="D118" t="s">
        <v>5425</v>
      </c>
      <c r="E118">
        <v>3</v>
      </c>
      <c r="F118" t="str">
        <f>_xlfn.XLOOKUP(C118,customers!$A$1:$A$983,customers!$B$1:$B$983,,0)</f>
        <v>Charlotte Green</v>
      </c>
      <c r="G118" t="str">
        <f>_xlfn.XLOOKUP(C118,customers!$A:$A,customers!$C:$C,,0)</f>
        <v>charlotte.green448@hotmail.com</v>
      </c>
      <c r="H118" t="str">
        <f>IF(_xlfn.XLOOKUP(C118,customers!$A:$A,customers!$G:$G,,0)=0,"",_xlfn.XLOOKUP(C118,customers!$A:$A,customers!$G:$G,,0))</f>
        <v>Japan</v>
      </c>
      <c r="I118" t="str">
        <f>IF(_xlfn.XLOOKUP(D118,product!$A:$A,product!$E:$E,,0)=0,"",_xlfn.XLOOKUP(D118,product!$A:$A,product!$E:$E,,0))</f>
        <v>HISTORY</v>
      </c>
      <c r="J118" s="5">
        <f>IF(_xlfn.XLOOKUP(D118,product!$A:$A,product!$D:$D,,0)=0,"",_xlfn.XLOOKUP(D118,product!$A:$A,product!$D:$D,,0))</f>
        <v>30.27</v>
      </c>
      <c r="K118" s="7">
        <f t="shared" si="1"/>
        <v>90.81</v>
      </c>
      <c r="L118" s="10" t="str">
        <f>IF(_xlfn.XLOOKUP(D118,product!$A:$A,product!$F:$F,,0)=0,"",_xlfn.XLOOKUP(D118,product!$A:$A,product!$F:$F,,0))</f>
        <v>Yes</v>
      </c>
      <c r="M118" t="str">
        <f>IF(_xlfn.XLOOKUP(D118,product!$A:$A,product!G:G,,0)=0,"",_xlfn.XLOOKUP(D118,product!$A:$A,product!G:G,,0))</f>
        <v>Gold</v>
      </c>
      <c r="N118" t="str">
        <f>IF(_xlfn.XLOOKUP(D118,product!$A:$A,product!$B:$B,,0)=0,"",_xlfn.XLOOKUP(D118,product!$A:$A,product!$B:$B,,0))</f>
        <v>Forest Power</v>
      </c>
    </row>
    <row r="119" spans="1:14" x14ac:dyDescent="0.35">
      <c r="A119" t="s">
        <v>47</v>
      </c>
      <c r="B119" s="3">
        <v>45520</v>
      </c>
      <c r="C119" t="s">
        <v>1933</v>
      </c>
      <c r="D119" t="s">
        <v>5426</v>
      </c>
      <c r="E119">
        <v>2</v>
      </c>
      <c r="F119" t="str">
        <f>_xlfn.XLOOKUP(C119,customers!$A$1:$A$983,customers!$B$1:$B$983,,0)</f>
        <v>Brian Clark</v>
      </c>
      <c r="G119" t="str">
        <f>_xlfn.XLOOKUP(C119,customers!$A:$A,customers!$C:$C,,0)</f>
        <v>brian.clark239@gmail.com</v>
      </c>
      <c r="H119" t="str">
        <f>IF(_xlfn.XLOOKUP(C119,customers!$A:$A,customers!$G:$G,,0)=0,"",_xlfn.XLOOKUP(C119,customers!$A:$A,customers!$G:$G,,0))</f>
        <v>Egypt</v>
      </c>
      <c r="I119" t="str">
        <f>IF(_xlfn.XLOOKUP(D119,product!$A:$A,product!$E:$E,,0)=0,"",_xlfn.XLOOKUP(D119,product!$A:$A,product!$E:$E,,0))</f>
        <v>BUSINESS</v>
      </c>
      <c r="J119" s="5">
        <f>IF(_xlfn.XLOOKUP(D119,product!$A:$A,product!$D:$D,,0)=0,"",_xlfn.XLOOKUP(D119,product!$A:$A,product!$D:$D,,0))</f>
        <v>23.46</v>
      </c>
      <c r="K119" s="7">
        <f t="shared" si="1"/>
        <v>46.92</v>
      </c>
      <c r="L119" s="10" t="str">
        <f>IF(_xlfn.XLOOKUP(D119,product!$A:$A,product!$F:$F,,0)=0,"",_xlfn.XLOOKUP(D119,product!$A:$A,product!$F:$F,,0))</f>
        <v>No</v>
      </c>
      <c r="M119" t="str">
        <f>IF(_xlfn.XLOOKUP(D119,product!$A:$A,product!G:G,,0)=0,"",_xlfn.XLOOKUP(D119,product!$A:$A,product!G:G,,0))</f>
        <v>None</v>
      </c>
      <c r="N119" t="str">
        <f>IF(_xlfn.XLOOKUP(D119,product!$A:$A,product!$B:$B,,0)=0,"",_xlfn.XLOOKUP(D119,product!$A:$A,product!$B:$B,,0))</f>
        <v>Future Forest</v>
      </c>
    </row>
    <row r="120" spans="1:14" x14ac:dyDescent="0.35">
      <c r="A120" t="s">
        <v>134</v>
      </c>
      <c r="B120" s="3">
        <v>44950</v>
      </c>
      <c r="C120" t="s">
        <v>2215</v>
      </c>
      <c r="D120" t="s">
        <v>5428</v>
      </c>
      <c r="E120">
        <v>3</v>
      </c>
      <c r="F120" t="str">
        <f>_xlfn.XLOOKUP(C120,customers!$A$1:$A$983,customers!$B$1:$B$983,,0)</f>
        <v>Mia Lewis</v>
      </c>
      <c r="G120" t="str">
        <f>_xlfn.XLOOKUP(C120,customers!$A:$A,customers!$C:$C,,0)</f>
        <v>mia.lewis343@yahoo.com</v>
      </c>
      <c r="H120" t="str">
        <f>IF(_xlfn.XLOOKUP(C120,customers!$A:$A,customers!$G:$G,,0)=0,"",_xlfn.XLOOKUP(C120,customers!$A:$A,customers!$G:$G,,0))</f>
        <v>USA</v>
      </c>
      <c r="I120" t="str">
        <f>IF(_xlfn.XLOOKUP(D120,product!$A:$A,product!$E:$E,,0)=0,"",_xlfn.XLOOKUP(D120,product!$A:$A,product!$E:$E,,0))</f>
        <v>HISTORY</v>
      </c>
      <c r="J120" s="5">
        <f>IF(_xlfn.XLOOKUP(D120,product!$A:$A,product!$D:$D,,0)=0,"",_xlfn.XLOOKUP(D120,product!$A:$A,product!$D:$D,,0))</f>
        <v>17.190000000000001</v>
      </c>
      <c r="K120" s="7">
        <f t="shared" si="1"/>
        <v>51.570000000000007</v>
      </c>
      <c r="L120" s="10" t="str">
        <f>IF(_xlfn.XLOOKUP(D120,product!$A:$A,product!$F:$F,,0)=0,"",_xlfn.XLOOKUP(D120,product!$A:$A,product!$F:$F,,0))</f>
        <v>No</v>
      </c>
      <c r="M120" t="str">
        <f>IF(_xlfn.XLOOKUP(D120,product!$A:$A,product!G:G,,0)=0,"",_xlfn.XLOOKUP(D120,product!$A:$A,product!G:G,,0))</f>
        <v>Silver</v>
      </c>
      <c r="N120" t="str">
        <f>IF(_xlfn.XLOOKUP(D120,product!$A:$A,product!$B:$B,,0)=0,"",_xlfn.XLOOKUP(D120,product!$A:$A,product!$B:$B,,0))</f>
        <v>Quantum Forest</v>
      </c>
    </row>
    <row r="121" spans="1:14" x14ac:dyDescent="0.35">
      <c r="A121" t="s">
        <v>151</v>
      </c>
      <c r="B121" s="3">
        <v>45407</v>
      </c>
      <c r="C121" t="s">
        <v>2972</v>
      </c>
      <c r="D121" t="s">
        <v>5429</v>
      </c>
      <c r="E121">
        <v>3</v>
      </c>
      <c r="F121" t="str">
        <f>_xlfn.XLOOKUP(C121,customers!$A$1:$A$983,customers!$B$1:$B$983,,0)</f>
        <v>Brian King</v>
      </c>
      <c r="G121" t="str">
        <f>_xlfn.XLOOKUP(C121,customers!$A:$A,customers!$C:$C,,0)</f>
        <v>brian.king700@hotmail.com</v>
      </c>
      <c r="H121" t="str">
        <f>IF(_xlfn.XLOOKUP(C121,customers!$A:$A,customers!$G:$G,,0)=0,"",_xlfn.XLOOKUP(C121,customers!$A:$A,customers!$G:$G,,0))</f>
        <v>Japan</v>
      </c>
      <c r="I121" t="str">
        <f>IF(_xlfn.XLOOKUP(D121,product!$A:$A,product!$E:$E,,0)=0,"",_xlfn.XLOOKUP(D121,product!$A:$A,product!$E:$E,,0))</f>
        <v>FICTION</v>
      </c>
      <c r="J121" s="5">
        <f>IF(_xlfn.XLOOKUP(D121,product!$A:$A,product!$D:$D,,0)=0,"",_xlfn.XLOOKUP(D121,product!$A:$A,product!$D:$D,,0))</f>
        <v>26.8</v>
      </c>
      <c r="K121" s="7">
        <f t="shared" si="1"/>
        <v>80.400000000000006</v>
      </c>
      <c r="L121" s="10" t="str">
        <f>IF(_xlfn.XLOOKUP(D121,product!$A:$A,product!$F:$F,,0)=0,"",_xlfn.XLOOKUP(D121,product!$A:$A,product!$F:$F,,0))</f>
        <v>Yes</v>
      </c>
      <c r="M121" t="str">
        <f>IF(_xlfn.XLOOKUP(D121,product!$A:$A,product!G:G,,0)=0,"",_xlfn.XLOOKUP(D121,product!$A:$A,product!G:G,,0))</f>
        <v>None</v>
      </c>
      <c r="N121" t="str">
        <f>IF(_xlfn.XLOOKUP(D121,product!$A:$A,product!$B:$B,,0)=0,"",_xlfn.XLOOKUP(D121,product!$A:$A,product!$B:$B,,0))</f>
        <v>Secrets Power</v>
      </c>
    </row>
    <row r="122" spans="1:14" x14ac:dyDescent="0.35">
      <c r="A122" t="s">
        <v>168</v>
      </c>
      <c r="B122" s="3">
        <v>45188</v>
      </c>
      <c r="C122" t="s">
        <v>2695</v>
      </c>
      <c r="D122" t="s">
        <v>5430</v>
      </c>
      <c r="E122">
        <v>2</v>
      </c>
      <c r="F122" t="str">
        <f>_xlfn.XLOOKUP(C122,customers!$A$1:$A$983,customers!$B$1:$B$983,,0)</f>
        <v>Steven Hall</v>
      </c>
      <c r="G122" t="str">
        <f>_xlfn.XLOOKUP(C122,customers!$A:$A,customers!$C:$C,,0)</f>
        <v>steven.hall566@yahoo.com</v>
      </c>
      <c r="H122" t="str">
        <f>IF(_xlfn.XLOOKUP(C122,customers!$A:$A,customers!$G:$G,,0)=0,"",_xlfn.XLOOKUP(C122,customers!$A:$A,customers!$G:$G,,0))</f>
        <v>Spain</v>
      </c>
      <c r="I122" t="str">
        <f>IF(_xlfn.XLOOKUP(D122,product!$A:$A,product!$E:$E,,0)=0,"",_xlfn.XLOOKUP(D122,product!$A:$A,product!$E:$E,,0))</f>
        <v>FICTION</v>
      </c>
      <c r="J122" s="5">
        <f>IF(_xlfn.XLOOKUP(D122,product!$A:$A,product!$D:$D,,0)=0,"",_xlfn.XLOOKUP(D122,product!$A:$A,product!$D:$D,,0))</f>
        <v>33.229999999999997</v>
      </c>
      <c r="K122" s="7">
        <f t="shared" si="1"/>
        <v>66.459999999999994</v>
      </c>
      <c r="L122" s="10" t="str">
        <f>IF(_xlfn.XLOOKUP(D122,product!$A:$A,product!$F:$F,,0)=0,"",_xlfn.XLOOKUP(D122,product!$A:$A,product!$F:$F,,0))</f>
        <v>Yes</v>
      </c>
      <c r="M122" t="str">
        <f>IF(_xlfn.XLOOKUP(D122,product!$A:$A,product!G:G,,0)=0,"",_xlfn.XLOOKUP(D122,product!$A:$A,product!G:G,,0))</f>
        <v>None</v>
      </c>
      <c r="N122" t="str">
        <f>IF(_xlfn.XLOOKUP(D122,product!$A:$A,product!$B:$B,,0)=0,"",_xlfn.XLOOKUP(D122,product!$A:$A,product!$B:$B,,0))</f>
        <v>Journey Science</v>
      </c>
    </row>
    <row r="123" spans="1:14" x14ac:dyDescent="0.35">
      <c r="A123" t="s">
        <v>185</v>
      </c>
      <c r="B123" s="3">
        <v>45639</v>
      </c>
      <c r="C123" t="s">
        <v>2914</v>
      </c>
      <c r="D123" t="s">
        <v>5431</v>
      </c>
      <c r="E123">
        <v>2</v>
      </c>
      <c r="F123" t="str">
        <f>_xlfn.XLOOKUP(C123,customers!$A$1:$A$983,customers!$B$1:$B$983,,0)</f>
        <v>George Martinez</v>
      </c>
      <c r="G123" t="str">
        <f>_xlfn.XLOOKUP(C123,customers!$A:$A,customers!$C:$C,,0)</f>
        <v>george.martinez672@gmail.com</v>
      </c>
      <c r="H123" t="str">
        <f>IF(_xlfn.XLOOKUP(C123,customers!$A:$A,customers!$G:$G,,0)=0,"",_xlfn.XLOOKUP(C123,customers!$A:$A,customers!$G:$G,,0))</f>
        <v>Spain</v>
      </c>
      <c r="I123" t="str">
        <f>IF(_xlfn.XLOOKUP(D123,product!$A:$A,product!$E:$E,,0)=0,"",_xlfn.XLOOKUP(D123,product!$A:$A,product!$E:$E,,0))</f>
        <v>FICTION</v>
      </c>
      <c r="J123" s="5">
        <f>IF(_xlfn.XLOOKUP(D123,product!$A:$A,product!$D:$D,,0)=0,"",_xlfn.XLOOKUP(D123,product!$A:$A,product!$D:$D,,0))</f>
        <v>18.82</v>
      </c>
      <c r="K123" s="7">
        <f t="shared" si="1"/>
        <v>37.64</v>
      </c>
      <c r="L123" s="10" t="str">
        <f>IF(_xlfn.XLOOKUP(D123,product!$A:$A,product!$F:$F,,0)=0,"",_xlfn.XLOOKUP(D123,product!$A:$A,product!$F:$F,,0))</f>
        <v>No</v>
      </c>
      <c r="M123" t="str">
        <f>IF(_xlfn.XLOOKUP(D123,product!$A:$A,product!G:G,,0)=0,"",_xlfn.XLOOKUP(D123,product!$A:$A,product!G:G,,0))</f>
        <v>Silver</v>
      </c>
      <c r="N123" t="str">
        <f>IF(_xlfn.XLOOKUP(D123,product!$A:$A,product!$B:$B,,0)=0,"",_xlfn.XLOOKUP(D123,product!$A:$A,product!$B:$B,,0))</f>
        <v>Journey Forest</v>
      </c>
    </row>
    <row r="124" spans="1:14" x14ac:dyDescent="0.35">
      <c r="A124" t="s">
        <v>202</v>
      </c>
      <c r="B124" s="3">
        <v>44994</v>
      </c>
      <c r="C124" t="s">
        <v>1163</v>
      </c>
      <c r="D124" t="s">
        <v>5432</v>
      </c>
      <c r="E124">
        <v>2</v>
      </c>
      <c r="F124" t="str">
        <f>_xlfn.XLOOKUP(C124,customers!$A$1:$A$983,customers!$B$1:$B$983,,0)</f>
        <v>Isabella Wright</v>
      </c>
      <c r="G124" t="str">
        <f>_xlfn.XLOOKUP(C124,customers!$A:$A,customers!$C:$C,,0)</f>
        <v>isabella.wright31@yahoo.com</v>
      </c>
      <c r="H124" t="str">
        <f>IF(_xlfn.XLOOKUP(C124,customers!$A:$A,customers!$G:$G,,0)=0,"",_xlfn.XLOOKUP(C124,customers!$A:$A,customers!$G:$G,,0))</f>
        <v>Sweden</v>
      </c>
      <c r="I124" t="str">
        <f>IF(_xlfn.XLOOKUP(D124,product!$A:$A,product!$E:$E,,0)=0,"",_xlfn.XLOOKUP(D124,product!$A:$A,product!$E:$E,,0))</f>
        <v>HISTORY</v>
      </c>
      <c r="J124" s="5">
        <f>IF(_xlfn.XLOOKUP(D124,product!$A:$A,product!$D:$D,,0)=0,"",_xlfn.XLOOKUP(D124,product!$A:$A,product!$D:$D,,0))</f>
        <v>21.05</v>
      </c>
      <c r="K124" s="7">
        <f t="shared" si="1"/>
        <v>42.1</v>
      </c>
      <c r="L124" s="10" t="str">
        <f>IF(_xlfn.XLOOKUP(D124,product!$A:$A,product!$F:$F,,0)=0,"",_xlfn.XLOOKUP(D124,product!$A:$A,product!$F:$F,,0))</f>
        <v>No</v>
      </c>
      <c r="M124" t="str">
        <f>IF(_xlfn.XLOOKUP(D124,product!$A:$A,product!G:G,,0)=0,"",_xlfn.XLOOKUP(D124,product!$A:$A,product!G:G,,0))</f>
        <v>None</v>
      </c>
      <c r="N124" t="str">
        <f>IF(_xlfn.XLOOKUP(D124,product!$A:$A,product!$B:$B,,0)=0,"",_xlfn.XLOOKUP(D124,product!$A:$A,product!$B:$B,,0))</f>
        <v>Power Data</v>
      </c>
    </row>
    <row r="125" spans="1:14" x14ac:dyDescent="0.35">
      <c r="A125" t="s">
        <v>219</v>
      </c>
      <c r="B125" s="3">
        <v>45348</v>
      </c>
      <c r="C125" t="s">
        <v>3091</v>
      </c>
      <c r="D125" t="s">
        <v>5433</v>
      </c>
      <c r="E125">
        <v>2</v>
      </c>
      <c r="F125" t="str">
        <f>_xlfn.XLOOKUP(C125,customers!$A$1:$A$983,customers!$B$1:$B$983,,0)</f>
        <v>Amelia Allen</v>
      </c>
      <c r="G125" t="str">
        <f>_xlfn.XLOOKUP(C125,customers!$A:$A,customers!$C:$C,,0)</f>
        <v>amelia.allen758@gmail.com</v>
      </c>
      <c r="H125" t="str">
        <f>IF(_xlfn.XLOOKUP(C125,customers!$A:$A,customers!$G:$G,,0)=0,"",_xlfn.XLOOKUP(C125,customers!$A:$A,customers!$G:$G,,0))</f>
        <v>Pakistan</v>
      </c>
      <c r="I125" t="str">
        <f>IF(_xlfn.XLOOKUP(D125,product!$A:$A,product!$E:$E,,0)=0,"",_xlfn.XLOOKUP(D125,product!$A:$A,product!$E:$E,,0))</f>
        <v>HISTORY</v>
      </c>
      <c r="J125" s="5">
        <f>IF(_xlfn.XLOOKUP(D125,product!$A:$A,product!$D:$D,,0)=0,"",_xlfn.XLOOKUP(D125,product!$A:$A,product!$D:$D,,0))</f>
        <v>32.43</v>
      </c>
      <c r="K125" s="7">
        <f t="shared" si="1"/>
        <v>64.86</v>
      </c>
      <c r="L125" s="10" t="str">
        <f>IF(_xlfn.XLOOKUP(D125,product!$A:$A,product!$F:$F,,0)=0,"",_xlfn.XLOOKUP(D125,product!$A:$A,product!$F:$F,,0))</f>
        <v>No</v>
      </c>
      <c r="M125" t="str">
        <f>IF(_xlfn.XLOOKUP(D125,product!$A:$A,product!G:G,,0)=0,"",_xlfn.XLOOKUP(D125,product!$A:$A,product!G:G,,0))</f>
        <v>None</v>
      </c>
      <c r="N125" t="str">
        <f>IF(_xlfn.XLOOKUP(D125,product!$A:$A,product!$B:$B,,0)=0,"",_xlfn.XLOOKUP(D125,product!$A:$A,product!$B:$B,,0))</f>
        <v>Power Science</v>
      </c>
    </row>
    <row r="126" spans="1:14" x14ac:dyDescent="0.35">
      <c r="A126" t="s">
        <v>236</v>
      </c>
      <c r="B126" s="3">
        <v>45152</v>
      </c>
      <c r="C126" t="s">
        <v>2968</v>
      </c>
      <c r="D126" t="s">
        <v>5435</v>
      </c>
      <c r="E126">
        <v>2</v>
      </c>
      <c r="F126" t="str">
        <f>_xlfn.XLOOKUP(C126,customers!$A$1:$A$983,customers!$B$1:$B$983,,0)</f>
        <v>Mark Thomas</v>
      </c>
      <c r="G126" t="str">
        <f>_xlfn.XLOOKUP(C126,customers!$A:$A,customers!$C:$C,,0)</f>
        <v>mark.thomas698@hotmail.com</v>
      </c>
      <c r="H126" t="str">
        <f>IF(_xlfn.XLOOKUP(C126,customers!$A:$A,customers!$G:$G,,0)=0,"",_xlfn.XLOOKUP(C126,customers!$A:$A,customers!$G:$G,,0))</f>
        <v>Egypt</v>
      </c>
      <c r="I126" t="str">
        <f>IF(_xlfn.XLOOKUP(D126,product!$A:$A,product!$E:$E,,0)=0,"",_xlfn.XLOOKUP(D126,product!$A:$A,product!$E:$E,,0))</f>
        <v>TECH</v>
      </c>
      <c r="J126" s="5">
        <f>IF(_xlfn.XLOOKUP(D126,product!$A:$A,product!$D:$D,,0)=0,"",_xlfn.XLOOKUP(D126,product!$A:$A,product!$D:$D,,0))</f>
        <v>39.46</v>
      </c>
      <c r="K126" s="7">
        <f t="shared" si="1"/>
        <v>78.92</v>
      </c>
      <c r="L126" s="10" t="str">
        <f>IF(_xlfn.XLOOKUP(D126,product!$A:$A,product!$F:$F,,0)=0,"",_xlfn.XLOOKUP(D126,product!$A:$A,product!$F:$F,,0))</f>
        <v>Yes</v>
      </c>
      <c r="M126" t="str">
        <f>IF(_xlfn.XLOOKUP(D126,product!$A:$A,product!G:G,,0)=0,"",_xlfn.XLOOKUP(D126,product!$A:$A,product!G:G,,0))</f>
        <v>Gold</v>
      </c>
      <c r="N126" t="str">
        <f>IF(_xlfn.XLOOKUP(D126,product!$A:$A,product!$B:$B,,0)=0,"",_xlfn.XLOOKUP(D126,product!$A:$A,product!$B:$B,,0))</f>
        <v>Future Journey</v>
      </c>
    </row>
    <row r="127" spans="1:14" x14ac:dyDescent="0.35">
      <c r="A127" t="s">
        <v>253</v>
      </c>
      <c r="B127" s="3">
        <v>45433</v>
      </c>
      <c r="C127" t="s">
        <v>100</v>
      </c>
      <c r="D127" t="s">
        <v>5436</v>
      </c>
      <c r="E127">
        <v>2</v>
      </c>
      <c r="F127" t="str">
        <f>_xlfn.XLOOKUP(C127,customers!$A$1:$A$983,customers!$B$1:$B$983,,0)</f>
        <v>Amelia Martin</v>
      </c>
      <c r="G127" t="str">
        <f>_xlfn.XLOOKUP(C127,customers!$A:$A,customers!$C:$C,,0)</f>
        <v>amelia.martin2@hotmail.com</v>
      </c>
      <c r="H127" t="str">
        <f>IF(_xlfn.XLOOKUP(C127,customers!$A:$A,customers!$G:$G,,0)=0,"",_xlfn.XLOOKUP(C127,customers!$A:$A,customers!$G:$G,,0))</f>
        <v>UAE</v>
      </c>
      <c r="I127" t="str">
        <f>IF(_xlfn.XLOOKUP(D127,product!$A:$A,product!$E:$E,,0)=0,"",_xlfn.XLOOKUP(D127,product!$A:$A,product!$E:$E,,0))</f>
        <v>TECH</v>
      </c>
      <c r="J127" s="5">
        <f>IF(_xlfn.XLOOKUP(D127,product!$A:$A,product!$D:$D,,0)=0,"",_xlfn.XLOOKUP(D127,product!$A:$A,product!$D:$D,,0))</f>
        <v>13.99</v>
      </c>
      <c r="K127" s="7">
        <f t="shared" si="1"/>
        <v>27.98</v>
      </c>
      <c r="L127" s="10" t="str">
        <f>IF(_xlfn.XLOOKUP(D127,product!$A:$A,product!$F:$F,,0)=0,"",_xlfn.XLOOKUP(D127,product!$A:$A,product!$F:$F,,0))</f>
        <v>Yes</v>
      </c>
      <c r="M127" t="str">
        <f>IF(_xlfn.XLOOKUP(D127,product!$A:$A,product!G:G,,0)=0,"",_xlfn.XLOOKUP(D127,product!$A:$A,product!G:G,,0))</f>
        <v>None</v>
      </c>
      <c r="N127" t="str">
        <f>IF(_xlfn.XLOOKUP(D127,product!$A:$A,product!$B:$B,,0)=0,"",_xlfn.XLOOKUP(D127,product!$A:$A,product!$B:$B,,0))</f>
        <v>Mind Journey</v>
      </c>
    </row>
    <row r="128" spans="1:14" x14ac:dyDescent="0.35">
      <c r="A128" t="s">
        <v>270</v>
      </c>
      <c r="B128" s="3">
        <v>45252</v>
      </c>
      <c r="C128" t="s">
        <v>2025</v>
      </c>
      <c r="D128" t="s">
        <v>5437</v>
      </c>
      <c r="E128">
        <v>2</v>
      </c>
      <c r="F128" t="str">
        <f>_xlfn.XLOOKUP(C128,customers!$A$1:$A$983,customers!$B$1:$B$983,,0)</f>
        <v>Kevin Hill</v>
      </c>
      <c r="G128" t="str">
        <f>_xlfn.XLOOKUP(C128,customers!$A:$A,customers!$C:$C,,0)</f>
        <v>kevin.hill269@hotmail.com</v>
      </c>
      <c r="H128" t="str">
        <f>IF(_xlfn.XLOOKUP(C128,customers!$A:$A,customers!$G:$G,,0)=0,"",_xlfn.XLOOKUP(C128,customers!$A:$A,customers!$G:$G,,0))</f>
        <v>Spain</v>
      </c>
      <c r="I128" t="str">
        <f>IF(_xlfn.XLOOKUP(D128,product!$A:$A,product!$E:$E,,0)=0,"",_xlfn.XLOOKUP(D128,product!$A:$A,product!$E:$E,,0))</f>
        <v>TECH</v>
      </c>
      <c r="J128" s="5">
        <f>IF(_xlfn.XLOOKUP(D128,product!$A:$A,product!$D:$D,,0)=0,"",_xlfn.XLOOKUP(D128,product!$A:$A,product!$D:$D,,0))</f>
        <v>13.12</v>
      </c>
      <c r="K128" s="7">
        <f t="shared" si="1"/>
        <v>26.24</v>
      </c>
      <c r="L128" s="10" t="str">
        <f>IF(_xlfn.XLOOKUP(D128,product!$A:$A,product!$F:$F,,0)=0,"",_xlfn.XLOOKUP(D128,product!$A:$A,product!$F:$F,,0))</f>
        <v>Yes</v>
      </c>
      <c r="M128" t="str">
        <f>IF(_xlfn.XLOOKUP(D128,product!$A:$A,product!G:G,,0)=0,"",_xlfn.XLOOKUP(D128,product!$A:$A,product!G:G,,0))</f>
        <v>None</v>
      </c>
      <c r="N128" t="str">
        <f>IF(_xlfn.XLOOKUP(D128,product!$A:$A,product!$B:$B,,0)=0,"",_xlfn.XLOOKUP(D128,product!$A:$A,product!$B:$B,,0))</f>
        <v>Journey Data</v>
      </c>
    </row>
    <row r="129" spans="1:14" x14ac:dyDescent="0.35">
      <c r="A129" t="s">
        <v>287</v>
      </c>
      <c r="B129" s="3">
        <v>45503</v>
      </c>
      <c r="C129" t="s">
        <v>3411</v>
      </c>
      <c r="D129" t="s">
        <v>5438</v>
      </c>
      <c r="E129">
        <v>2</v>
      </c>
      <c r="F129" t="str">
        <f>_xlfn.XLOOKUP(C129,customers!$A$1:$A$983,customers!$B$1:$B$983,,0)</f>
        <v>John Thompson</v>
      </c>
      <c r="G129" t="str">
        <f>_xlfn.XLOOKUP(C129,customers!$A:$A,customers!$C:$C,,0)</f>
        <v>john.thompson920@hotmail.com</v>
      </c>
      <c r="H129" t="str">
        <f>IF(_xlfn.XLOOKUP(C129,customers!$A:$A,customers!$G:$G,,0)=0,"",_xlfn.XLOOKUP(C129,customers!$A:$A,customers!$G:$G,,0))</f>
        <v>Pakistan</v>
      </c>
      <c r="I129" t="str">
        <f>IF(_xlfn.XLOOKUP(D129,product!$A:$A,product!$E:$E,,0)=0,"",_xlfn.XLOOKUP(D129,product!$A:$A,product!$E:$E,,0))</f>
        <v>TECH</v>
      </c>
      <c r="J129" s="5">
        <f>IF(_xlfn.XLOOKUP(D129,product!$A:$A,product!$D:$D,,0)=0,"",_xlfn.XLOOKUP(D129,product!$A:$A,product!$D:$D,,0))</f>
        <v>18.489999999999998</v>
      </c>
      <c r="K129" s="7">
        <f t="shared" si="1"/>
        <v>36.979999999999997</v>
      </c>
      <c r="L129" s="10" t="str">
        <f>IF(_xlfn.XLOOKUP(D129,product!$A:$A,product!$F:$F,,0)=0,"",_xlfn.XLOOKUP(D129,product!$A:$A,product!$F:$F,,0))</f>
        <v>Yes</v>
      </c>
      <c r="M129" t="str">
        <f>IF(_xlfn.XLOOKUP(D129,product!$A:$A,product!G:G,,0)=0,"",_xlfn.XLOOKUP(D129,product!$A:$A,product!G:G,,0))</f>
        <v>Platinum</v>
      </c>
      <c r="N129" t="str">
        <f>IF(_xlfn.XLOOKUP(D129,product!$A:$A,product!$B:$B,,0)=0,"",_xlfn.XLOOKUP(D129,product!$A:$A,product!$B:$B,,0))</f>
        <v>Science Quantum</v>
      </c>
    </row>
    <row r="130" spans="1:14" x14ac:dyDescent="0.35">
      <c r="A130" t="s">
        <v>304</v>
      </c>
      <c r="B130" s="3">
        <v>45102</v>
      </c>
      <c r="C130" t="s">
        <v>2180</v>
      </c>
      <c r="D130" t="s">
        <v>5439</v>
      </c>
      <c r="E130">
        <v>2</v>
      </c>
      <c r="F130" t="str">
        <f>_xlfn.XLOOKUP(C130,customers!$A$1:$A$983,customers!$B$1:$B$983,,0)</f>
        <v>Emma Johnson</v>
      </c>
      <c r="G130" t="str">
        <f>_xlfn.XLOOKUP(C130,customers!$A:$A,customers!$C:$C,,0)</f>
        <v>emma.johnson328@yahoo.com</v>
      </c>
      <c r="H130" t="str">
        <f>IF(_xlfn.XLOOKUP(C130,customers!$A:$A,customers!$G:$G,,0)=0,"",_xlfn.XLOOKUP(C130,customers!$A:$A,customers!$G:$G,,0))</f>
        <v>Sweden</v>
      </c>
      <c r="I130" t="str">
        <f>IF(_xlfn.XLOOKUP(D130,product!$A:$A,product!$E:$E,,0)=0,"",_xlfn.XLOOKUP(D130,product!$A:$A,product!$E:$E,,0))</f>
        <v>BUSINESS</v>
      </c>
      <c r="J130" s="5">
        <f>IF(_xlfn.XLOOKUP(D130,product!$A:$A,product!$D:$D,,0)=0,"",_xlfn.XLOOKUP(D130,product!$A:$A,product!$D:$D,,0))</f>
        <v>36.020000000000003</v>
      </c>
      <c r="K130" s="7">
        <f t="shared" si="1"/>
        <v>72.040000000000006</v>
      </c>
      <c r="L130" s="10" t="str">
        <f>IF(_xlfn.XLOOKUP(D130,product!$A:$A,product!$F:$F,,0)=0,"",_xlfn.XLOOKUP(D130,product!$A:$A,product!$F:$F,,0))</f>
        <v>No</v>
      </c>
      <c r="M130" t="str">
        <f>IF(_xlfn.XLOOKUP(D130,product!$A:$A,product!G:G,,0)=0,"",_xlfn.XLOOKUP(D130,product!$A:$A,product!G:G,,0))</f>
        <v>Gold</v>
      </c>
      <c r="N130" t="str">
        <f>IF(_xlfn.XLOOKUP(D130,product!$A:$A,product!$B:$B,,0)=0,"",_xlfn.XLOOKUP(D130,product!$A:$A,product!$B:$B,,0))</f>
        <v>Forest Journey</v>
      </c>
    </row>
    <row r="131" spans="1:14" x14ac:dyDescent="0.35">
      <c r="A131" t="s">
        <v>321</v>
      </c>
      <c r="B131" s="3">
        <v>45557</v>
      </c>
      <c r="C131" t="s">
        <v>3179</v>
      </c>
      <c r="D131" t="s">
        <v>5441</v>
      </c>
      <c r="E131">
        <v>2</v>
      </c>
      <c r="F131" t="str">
        <f>_xlfn.XLOOKUP(C131,customers!$A$1:$A$983,customers!$B$1:$B$983,,0)</f>
        <v>James Garcia</v>
      </c>
      <c r="G131" t="str">
        <f>_xlfn.XLOOKUP(C131,customers!$A:$A,customers!$C:$C,,0)</f>
        <v>james.garcia802@hotmail.com</v>
      </c>
      <c r="H131" t="str">
        <f>IF(_xlfn.XLOOKUP(C131,customers!$A:$A,customers!$G:$G,,0)=0,"",_xlfn.XLOOKUP(C131,customers!$A:$A,customers!$G:$G,,0))</f>
        <v>USA</v>
      </c>
      <c r="I131" t="str">
        <f>IF(_xlfn.XLOOKUP(D131,product!$A:$A,product!$E:$E,,0)=0,"",_xlfn.XLOOKUP(D131,product!$A:$A,product!$E:$E,,0))</f>
        <v>SCIENCE</v>
      </c>
      <c r="J131" s="5">
        <f>IF(_xlfn.XLOOKUP(D131,product!$A:$A,product!$D:$D,,0)=0,"",_xlfn.XLOOKUP(D131,product!$A:$A,product!$D:$D,,0))</f>
        <v>33.9</v>
      </c>
      <c r="K131" s="7">
        <f t="shared" ref="K131:K194" si="2">J131*E131</f>
        <v>67.8</v>
      </c>
      <c r="L131" s="10" t="str">
        <f>IF(_xlfn.XLOOKUP(D131,product!$A:$A,product!$F:$F,,0)=0,"",_xlfn.XLOOKUP(D131,product!$A:$A,product!$F:$F,,0))</f>
        <v>Yes</v>
      </c>
      <c r="M131" t="str">
        <f>IF(_xlfn.XLOOKUP(D131,product!$A:$A,product!G:G,,0)=0,"",_xlfn.XLOOKUP(D131,product!$A:$A,product!G:G,,0))</f>
        <v>None</v>
      </c>
      <c r="N131" t="str">
        <f>IF(_xlfn.XLOOKUP(D131,product!$A:$A,product!$B:$B,,0)=0,"",_xlfn.XLOOKUP(D131,product!$A:$A,product!$B:$B,,0))</f>
        <v>Data Secrets</v>
      </c>
    </row>
    <row r="132" spans="1:14" x14ac:dyDescent="0.35">
      <c r="A132" t="s">
        <v>338</v>
      </c>
      <c r="B132" s="3">
        <v>45030</v>
      </c>
      <c r="C132" t="s">
        <v>2689</v>
      </c>
      <c r="D132" t="s">
        <v>5442</v>
      </c>
      <c r="E132">
        <v>2</v>
      </c>
      <c r="F132" t="str">
        <f>_xlfn.XLOOKUP(C132,customers!$A$1:$A$983,customers!$B$1:$B$983,,0)</f>
        <v>Isabella Garcia</v>
      </c>
      <c r="G132" t="str">
        <f>_xlfn.XLOOKUP(C132,customers!$A:$A,customers!$C:$C,,0)</f>
        <v>isabella.garcia563@gmail.com</v>
      </c>
      <c r="H132" t="str">
        <f>IF(_xlfn.XLOOKUP(C132,customers!$A:$A,customers!$G:$G,,0)=0,"",_xlfn.XLOOKUP(C132,customers!$A:$A,customers!$G:$G,,0))</f>
        <v>Egypt</v>
      </c>
      <c r="I132" t="str">
        <f>IF(_xlfn.XLOOKUP(D132,product!$A:$A,product!$E:$E,,0)=0,"",_xlfn.XLOOKUP(D132,product!$A:$A,product!$E:$E,,0))</f>
        <v>BUSINESS</v>
      </c>
      <c r="J132" s="5">
        <f>IF(_xlfn.XLOOKUP(D132,product!$A:$A,product!$D:$D,,0)=0,"",_xlfn.XLOOKUP(D132,product!$A:$A,product!$D:$D,,0))</f>
        <v>14</v>
      </c>
      <c r="K132" s="7">
        <f t="shared" si="2"/>
        <v>28</v>
      </c>
      <c r="L132" s="10" t="str">
        <f>IF(_xlfn.XLOOKUP(D132,product!$A:$A,product!$F:$F,,0)=0,"",_xlfn.XLOOKUP(D132,product!$A:$A,product!$F:$F,,0))</f>
        <v>Yes</v>
      </c>
      <c r="M132" t="str">
        <f>IF(_xlfn.XLOOKUP(D132,product!$A:$A,product!G:G,,0)=0,"",_xlfn.XLOOKUP(D132,product!$A:$A,product!G:G,,0))</f>
        <v>None</v>
      </c>
      <c r="N132" t="str">
        <f>IF(_xlfn.XLOOKUP(D132,product!$A:$A,product!$B:$B,,0)=0,"",_xlfn.XLOOKUP(D132,product!$A:$A,product!$B:$B,,0))</f>
        <v>Secrets Power</v>
      </c>
    </row>
    <row r="133" spans="1:14" x14ac:dyDescent="0.35">
      <c r="A133" t="s">
        <v>355</v>
      </c>
      <c r="B133" s="3">
        <v>45299</v>
      </c>
      <c r="C133" t="s">
        <v>1659</v>
      </c>
      <c r="D133" t="s">
        <v>5443</v>
      </c>
      <c r="E133">
        <v>2</v>
      </c>
      <c r="F133" t="str">
        <f>_xlfn.XLOOKUP(C133,customers!$A$1:$A$983,customers!$B$1:$B$983,,0)</f>
        <v>Brian Lopez</v>
      </c>
      <c r="G133" t="str">
        <f>_xlfn.XLOOKUP(C133,customers!$A:$A,customers!$C:$C,,0)</f>
        <v>brian.lopez162@outlook.com</v>
      </c>
      <c r="H133" t="str">
        <f>IF(_xlfn.XLOOKUP(C133,customers!$A:$A,customers!$G:$G,,0)=0,"",_xlfn.XLOOKUP(C133,customers!$A:$A,customers!$G:$G,,0))</f>
        <v>Germany</v>
      </c>
      <c r="I133" t="str">
        <f>IF(_xlfn.XLOOKUP(D133,product!$A:$A,product!$E:$E,,0)=0,"",_xlfn.XLOOKUP(D133,product!$A:$A,product!$E:$E,,0))</f>
        <v>SCIENCE</v>
      </c>
      <c r="J133" s="5">
        <f>IF(_xlfn.XLOOKUP(D133,product!$A:$A,product!$D:$D,,0)=0,"",_xlfn.XLOOKUP(D133,product!$A:$A,product!$D:$D,,0))</f>
        <v>34.76</v>
      </c>
      <c r="K133" s="7">
        <f t="shared" si="2"/>
        <v>69.52</v>
      </c>
      <c r="L133" s="10" t="str">
        <f>IF(_xlfn.XLOOKUP(D133,product!$A:$A,product!$F:$F,,0)=0,"",_xlfn.XLOOKUP(D133,product!$A:$A,product!$F:$F,,0))</f>
        <v>Yes</v>
      </c>
      <c r="M133" t="str">
        <f>IF(_xlfn.XLOOKUP(D133,product!$A:$A,product!G:G,,0)=0,"",_xlfn.XLOOKUP(D133,product!$A:$A,product!G:G,,0))</f>
        <v>Gold</v>
      </c>
      <c r="N133" t="str">
        <f>IF(_xlfn.XLOOKUP(D133,product!$A:$A,product!$B:$B,,0)=0,"",_xlfn.XLOOKUP(D133,product!$A:$A,product!$B:$B,,0))</f>
        <v>Silent Quantum</v>
      </c>
    </row>
    <row r="134" spans="1:14" x14ac:dyDescent="0.35">
      <c r="A134" t="s">
        <v>372</v>
      </c>
      <c r="B134" s="3">
        <v>45217</v>
      </c>
      <c r="C134" t="s">
        <v>1449</v>
      </c>
      <c r="D134" t="s">
        <v>5445</v>
      </c>
      <c r="E134">
        <v>2</v>
      </c>
      <c r="F134" t="str">
        <f>_xlfn.XLOOKUP(C134,customers!$A$1:$A$983,customers!$B$1:$B$983,,0)</f>
        <v>Kevin Lee</v>
      </c>
      <c r="G134" t="str">
        <f>_xlfn.XLOOKUP(C134,customers!$A:$A,customers!$C:$C,,0)</f>
        <v>kevin.lee107@yahoo.com</v>
      </c>
      <c r="H134" t="str">
        <f>IF(_xlfn.XLOOKUP(C134,customers!$A:$A,customers!$G:$G,,0)=0,"",_xlfn.XLOOKUP(C134,customers!$A:$A,customers!$G:$G,,0))</f>
        <v>Spain</v>
      </c>
      <c r="I134" t="str">
        <f>IF(_xlfn.XLOOKUP(D134,product!$A:$A,product!$E:$E,,0)=0,"",_xlfn.XLOOKUP(D134,product!$A:$A,product!$E:$E,,0))</f>
        <v>SCIENCE</v>
      </c>
      <c r="J134" s="5">
        <f>IF(_xlfn.XLOOKUP(D134,product!$A:$A,product!$D:$D,,0)=0,"",_xlfn.XLOOKUP(D134,product!$A:$A,product!$D:$D,,0))</f>
        <v>12.71</v>
      </c>
      <c r="K134" s="7">
        <f t="shared" si="2"/>
        <v>25.42</v>
      </c>
      <c r="L134" s="10" t="str">
        <f>IF(_xlfn.XLOOKUP(D134,product!$A:$A,product!$F:$F,,0)=0,"",_xlfn.XLOOKUP(D134,product!$A:$A,product!$F:$F,,0))</f>
        <v>No</v>
      </c>
      <c r="M134" t="str">
        <f>IF(_xlfn.XLOOKUP(D134,product!$A:$A,product!G:G,,0)=0,"",_xlfn.XLOOKUP(D134,product!$A:$A,product!G:G,,0))</f>
        <v>Gold</v>
      </c>
      <c r="N134" t="str">
        <f>IF(_xlfn.XLOOKUP(D134,product!$A:$A,product!$B:$B,,0)=0,"",_xlfn.XLOOKUP(D134,product!$A:$A,product!$B:$B,,0))</f>
        <v>Quantum Mind</v>
      </c>
    </row>
    <row r="135" spans="1:14" x14ac:dyDescent="0.35">
      <c r="A135" t="s">
        <v>389</v>
      </c>
      <c r="B135" s="3">
        <v>45622</v>
      </c>
      <c r="C135" t="s">
        <v>2693</v>
      </c>
      <c r="D135" t="s">
        <v>5446</v>
      </c>
      <c r="E135">
        <v>2</v>
      </c>
      <c r="F135" t="str">
        <f>_xlfn.XLOOKUP(C135,customers!$A$1:$A$983,customers!$B$1:$B$983,,0)</f>
        <v>Charlotte Thompson</v>
      </c>
      <c r="G135" t="str">
        <f>_xlfn.XLOOKUP(C135,customers!$A:$A,customers!$C:$C,,0)</f>
        <v>charlotte.thompson565@hotmail.com</v>
      </c>
      <c r="H135" t="str">
        <f>IF(_xlfn.XLOOKUP(C135,customers!$A:$A,customers!$G:$G,,0)=0,"",_xlfn.XLOOKUP(C135,customers!$A:$A,customers!$G:$G,,0))</f>
        <v>Japan</v>
      </c>
      <c r="I135" t="str">
        <f>IF(_xlfn.XLOOKUP(D135,product!$A:$A,product!$E:$E,,0)=0,"",_xlfn.XLOOKUP(D135,product!$A:$A,product!$E:$E,,0))</f>
        <v>TECH</v>
      </c>
      <c r="J135" s="5">
        <f>IF(_xlfn.XLOOKUP(D135,product!$A:$A,product!$D:$D,,0)=0,"",_xlfn.XLOOKUP(D135,product!$A:$A,product!$D:$D,,0))</f>
        <v>15.88</v>
      </c>
      <c r="K135" s="7">
        <f t="shared" si="2"/>
        <v>31.76</v>
      </c>
      <c r="L135" s="10" t="str">
        <f>IF(_xlfn.XLOOKUP(D135,product!$A:$A,product!$F:$F,,0)=0,"",_xlfn.XLOOKUP(D135,product!$A:$A,product!$F:$F,,0))</f>
        <v>No</v>
      </c>
      <c r="M135" t="str">
        <f>IF(_xlfn.XLOOKUP(D135,product!$A:$A,product!G:G,,0)=0,"",_xlfn.XLOOKUP(D135,product!$A:$A,product!G:G,,0))</f>
        <v>None</v>
      </c>
      <c r="N135" t="str">
        <f>IF(_xlfn.XLOOKUP(D135,product!$A:$A,product!$B:$B,,0)=0,"",_xlfn.XLOOKUP(D135,product!$A:$A,product!$B:$B,,0))</f>
        <v>Mind Data</v>
      </c>
    </row>
    <row r="136" spans="1:14" x14ac:dyDescent="0.35">
      <c r="A136" t="s">
        <v>406</v>
      </c>
      <c r="B136" s="3">
        <v>45277</v>
      </c>
      <c r="C136" t="s">
        <v>3439</v>
      </c>
      <c r="D136" t="s">
        <v>5447</v>
      </c>
      <c r="E136">
        <v>2</v>
      </c>
      <c r="F136" t="str">
        <f>_xlfn.XLOOKUP(C136,customers!$A$1:$A$983,customers!$B$1:$B$983,,0)</f>
        <v>Steven Hall</v>
      </c>
      <c r="G136" t="str">
        <f>_xlfn.XLOOKUP(C136,customers!$A:$A,customers!$C:$C,,0)</f>
        <v>steven.hall934@yahoo.com</v>
      </c>
      <c r="H136" t="str">
        <f>IF(_xlfn.XLOOKUP(C136,customers!$A:$A,customers!$G:$G,,0)=0,"",_xlfn.XLOOKUP(C136,customers!$A:$A,customers!$G:$G,,0))</f>
        <v>Poland</v>
      </c>
      <c r="I136" t="str">
        <f>IF(_xlfn.XLOOKUP(D136,product!$A:$A,product!$E:$E,,0)=0,"",_xlfn.XLOOKUP(D136,product!$A:$A,product!$E:$E,,0))</f>
        <v>HISTORY</v>
      </c>
      <c r="J136" s="5">
        <f>IF(_xlfn.XLOOKUP(D136,product!$A:$A,product!$D:$D,,0)=0,"",_xlfn.XLOOKUP(D136,product!$A:$A,product!$D:$D,,0))</f>
        <v>38.01</v>
      </c>
      <c r="K136" s="7">
        <f t="shared" si="2"/>
        <v>76.02</v>
      </c>
      <c r="L136" s="10" t="str">
        <f>IF(_xlfn.XLOOKUP(D136,product!$A:$A,product!$F:$F,,0)=0,"",_xlfn.XLOOKUP(D136,product!$A:$A,product!$F:$F,,0))</f>
        <v>No</v>
      </c>
      <c r="M136" t="str">
        <f>IF(_xlfn.XLOOKUP(D136,product!$A:$A,product!G:G,,0)=0,"",_xlfn.XLOOKUP(D136,product!$A:$A,product!G:G,,0))</f>
        <v>Gold</v>
      </c>
      <c r="N136" t="str">
        <f>IF(_xlfn.XLOOKUP(D136,product!$A:$A,product!$B:$B,,0)=0,"",_xlfn.XLOOKUP(D136,product!$A:$A,product!$B:$B,,0))</f>
        <v>Future Science</v>
      </c>
    </row>
    <row r="137" spans="1:14" x14ac:dyDescent="0.35">
      <c r="A137" t="s">
        <v>423</v>
      </c>
      <c r="B137" s="3">
        <v>45356</v>
      </c>
      <c r="C137" t="s">
        <v>2389</v>
      </c>
      <c r="D137" t="s">
        <v>5449</v>
      </c>
      <c r="E137">
        <v>2</v>
      </c>
      <c r="F137" t="str">
        <f>_xlfn.XLOOKUP(C137,customers!$A$1:$A$983,customers!$B$1:$B$983,,0)</f>
        <v>Steven Brown</v>
      </c>
      <c r="G137" t="str">
        <f>_xlfn.XLOOKUP(C137,customers!$A:$A,customers!$C:$C,,0)</f>
        <v>steven.brown420@yahoo.com</v>
      </c>
      <c r="H137" t="str">
        <f>IF(_xlfn.XLOOKUP(C137,customers!$A:$A,customers!$G:$G,,0)=0,"",_xlfn.XLOOKUP(C137,customers!$A:$A,customers!$G:$G,,0))</f>
        <v>Spain</v>
      </c>
      <c r="I137" t="str">
        <f>IF(_xlfn.XLOOKUP(D137,product!$A:$A,product!$E:$E,,0)=0,"",_xlfn.XLOOKUP(D137,product!$A:$A,product!$E:$E,,0))</f>
        <v>FICTION</v>
      </c>
      <c r="J137" s="5">
        <f>IF(_xlfn.XLOOKUP(D137,product!$A:$A,product!$D:$D,,0)=0,"",_xlfn.XLOOKUP(D137,product!$A:$A,product!$D:$D,,0))</f>
        <v>37.380000000000003</v>
      </c>
      <c r="K137" s="7">
        <f t="shared" si="2"/>
        <v>74.760000000000005</v>
      </c>
      <c r="L137" s="10" t="str">
        <f>IF(_xlfn.XLOOKUP(D137,product!$A:$A,product!$F:$F,,0)=0,"",_xlfn.XLOOKUP(D137,product!$A:$A,product!$F:$F,,0))</f>
        <v>No</v>
      </c>
      <c r="M137" t="str">
        <f>IF(_xlfn.XLOOKUP(D137,product!$A:$A,product!G:G,,0)=0,"",_xlfn.XLOOKUP(D137,product!$A:$A,product!G:G,,0))</f>
        <v>Gold</v>
      </c>
      <c r="N137" t="str">
        <f>IF(_xlfn.XLOOKUP(D137,product!$A:$A,product!$B:$B,,0)=0,"",_xlfn.XLOOKUP(D137,product!$A:$A,product!$B:$B,,0))</f>
        <v>Journey Data</v>
      </c>
    </row>
    <row r="138" spans="1:14" x14ac:dyDescent="0.35">
      <c r="A138" t="s">
        <v>440</v>
      </c>
      <c r="B138" s="3">
        <v>44969</v>
      </c>
      <c r="C138" t="s">
        <v>1358</v>
      </c>
      <c r="D138" t="s">
        <v>5450</v>
      </c>
      <c r="E138">
        <v>2</v>
      </c>
      <c r="F138" t="str">
        <f>_xlfn.XLOOKUP(C138,customers!$A$1:$A$983,customers!$B$1:$B$983,,0)</f>
        <v>Peter Martin</v>
      </c>
      <c r="G138" t="str">
        <f>_xlfn.XLOOKUP(C138,customers!$A:$A,customers!$C:$C,,0)</f>
        <v>peter.martin79@hotmail.com</v>
      </c>
      <c r="H138" t="str">
        <f>IF(_xlfn.XLOOKUP(C138,customers!$A:$A,customers!$G:$G,,0)=0,"",_xlfn.XLOOKUP(C138,customers!$A:$A,customers!$G:$G,,0))</f>
        <v>Japan</v>
      </c>
      <c r="I138" t="str">
        <f>IF(_xlfn.XLOOKUP(D138,product!$A:$A,product!$E:$E,,0)=0,"",_xlfn.XLOOKUP(D138,product!$A:$A,product!$E:$E,,0))</f>
        <v>HISTORY</v>
      </c>
      <c r="J138" s="5">
        <f>IF(_xlfn.XLOOKUP(D138,product!$A:$A,product!$D:$D,,0)=0,"",_xlfn.XLOOKUP(D138,product!$A:$A,product!$D:$D,,0))</f>
        <v>20.18</v>
      </c>
      <c r="K138" s="7">
        <f t="shared" si="2"/>
        <v>40.36</v>
      </c>
      <c r="L138" s="10" t="str">
        <f>IF(_xlfn.XLOOKUP(D138,product!$A:$A,product!$F:$F,,0)=0,"",_xlfn.XLOOKUP(D138,product!$A:$A,product!$F:$F,,0))</f>
        <v>Yes</v>
      </c>
      <c r="M138" t="str">
        <f>IF(_xlfn.XLOOKUP(D138,product!$A:$A,product!G:G,,0)=0,"",_xlfn.XLOOKUP(D138,product!$A:$A,product!G:G,,0))</f>
        <v>Platinum</v>
      </c>
      <c r="N138" t="str">
        <f>IF(_xlfn.XLOOKUP(D138,product!$A:$A,product!$B:$B,,0)=0,"",_xlfn.XLOOKUP(D138,product!$A:$A,product!$B:$B,,0))</f>
        <v>Future Silent</v>
      </c>
    </row>
    <row r="139" spans="1:14" x14ac:dyDescent="0.35">
      <c r="A139" t="s">
        <v>457</v>
      </c>
      <c r="B139" s="3">
        <v>45462</v>
      </c>
      <c r="C139" t="s">
        <v>1663</v>
      </c>
      <c r="D139" t="s">
        <v>5452</v>
      </c>
      <c r="E139">
        <v>2</v>
      </c>
      <c r="F139" t="str">
        <f>_xlfn.XLOOKUP(C139,customers!$A$1:$A$983,customers!$B$1:$B$983,,0)</f>
        <v>Hannah Adams</v>
      </c>
      <c r="G139" t="str">
        <f>_xlfn.XLOOKUP(C139,customers!$A:$A,customers!$C:$C,,0)</f>
        <v>hannah.adams163@yahoo.com</v>
      </c>
      <c r="H139" t="str">
        <f>IF(_xlfn.XLOOKUP(C139,customers!$A:$A,customers!$G:$G,,0)=0,"",_xlfn.XLOOKUP(C139,customers!$A:$A,customers!$G:$G,,0))</f>
        <v>USA</v>
      </c>
      <c r="I139" t="str">
        <f>IF(_xlfn.XLOOKUP(D139,product!$A:$A,product!$E:$E,,0)=0,"",_xlfn.XLOOKUP(D139,product!$A:$A,product!$E:$E,,0))</f>
        <v>FICTION</v>
      </c>
      <c r="J139" s="5">
        <f>IF(_xlfn.XLOOKUP(D139,product!$A:$A,product!$D:$D,,0)=0,"",_xlfn.XLOOKUP(D139,product!$A:$A,product!$D:$D,,0))</f>
        <v>20.12</v>
      </c>
      <c r="K139" s="7">
        <f t="shared" si="2"/>
        <v>40.24</v>
      </c>
      <c r="L139" s="10" t="str">
        <f>IF(_xlfn.XLOOKUP(D139,product!$A:$A,product!$F:$F,,0)=0,"",_xlfn.XLOOKUP(D139,product!$A:$A,product!$F:$F,,0))</f>
        <v>No</v>
      </c>
      <c r="M139" t="str">
        <f>IF(_xlfn.XLOOKUP(D139,product!$A:$A,product!G:G,,0)=0,"",_xlfn.XLOOKUP(D139,product!$A:$A,product!G:G,,0))</f>
        <v>None</v>
      </c>
      <c r="N139" t="str">
        <f>IF(_xlfn.XLOOKUP(D139,product!$A:$A,product!$B:$B,,0)=0,"",_xlfn.XLOOKUP(D139,product!$A:$A,product!$B:$B,,0))</f>
        <v>Power Mind</v>
      </c>
    </row>
    <row r="140" spans="1:14" x14ac:dyDescent="0.35">
      <c r="A140" t="s">
        <v>474</v>
      </c>
      <c r="B140" s="3">
        <v>45054</v>
      </c>
      <c r="C140" t="s">
        <v>2483</v>
      </c>
      <c r="D140" t="s">
        <v>5454</v>
      </c>
      <c r="E140">
        <v>2</v>
      </c>
      <c r="F140" t="str">
        <f>_xlfn.XLOOKUP(C140,customers!$A$1:$A$983,customers!$B$1:$B$983,,0)</f>
        <v>Anthony King</v>
      </c>
      <c r="G140" t="str">
        <f>_xlfn.XLOOKUP(C140,customers!$A:$A,customers!$C:$C,,0)</f>
        <v>anthony.king463@outlook.com</v>
      </c>
      <c r="H140" t="str">
        <f>IF(_xlfn.XLOOKUP(C140,customers!$A:$A,customers!$G:$G,,0)=0,"",_xlfn.XLOOKUP(C140,customers!$A:$A,customers!$G:$G,,0))</f>
        <v>Sweden</v>
      </c>
      <c r="I140" t="str">
        <f>IF(_xlfn.XLOOKUP(D140,product!$A:$A,product!$E:$E,,0)=0,"",_xlfn.XLOOKUP(D140,product!$A:$A,product!$E:$E,,0))</f>
        <v>TECH</v>
      </c>
      <c r="J140" s="5">
        <f>IF(_xlfn.XLOOKUP(D140,product!$A:$A,product!$D:$D,,0)=0,"",_xlfn.XLOOKUP(D140,product!$A:$A,product!$D:$D,,0))</f>
        <v>31.22</v>
      </c>
      <c r="K140" s="7">
        <f t="shared" si="2"/>
        <v>62.44</v>
      </c>
      <c r="L140" s="10" t="str">
        <f>IF(_xlfn.XLOOKUP(D140,product!$A:$A,product!$F:$F,,0)=0,"",_xlfn.XLOOKUP(D140,product!$A:$A,product!$F:$F,,0))</f>
        <v>No</v>
      </c>
      <c r="M140" t="str">
        <f>IF(_xlfn.XLOOKUP(D140,product!$A:$A,product!G:G,,0)=0,"",_xlfn.XLOOKUP(D140,product!$A:$A,product!G:G,,0))</f>
        <v>None</v>
      </c>
      <c r="N140" t="str">
        <f>IF(_xlfn.XLOOKUP(D140,product!$A:$A,product!$B:$B,,0)=0,"",_xlfn.XLOOKUP(D140,product!$A:$A,product!$B:$B,,0))</f>
        <v>Quantum Data</v>
      </c>
    </row>
    <row r="141" spans="1:14" x14ac:dyDescent="0.35">
      <c r="A141" t="s">
        <v>491</v>
      </c>
      <c r="B141" s="3">
        <v>45576</v>
      </c>
      <c r="C141" t="s">
        <v>1554</v>
      </c>
      <c r="D141" t="s">
        <v>5456</v>
      </c>
      <c r="E141">
        <v>2</v>
      </c>
      <c r="F141" t="str">
        <f>_xlfn.XLOOKUP(C141,customers!$A$1:$A$983,customers!$B$1:$B$983,,0)</f>
        <v>Ryan Harris</v>
      </c>
      <c r="G141" t="str">
        <f>_xlfn.XLOOKUP(C141,customers!$A:$A,customers!$C:$C,,0)</f>
        <v>ryan.harris138@yahoo.com</v>
      </c>
      <c r="H141" t="str">
        <f>IF(_xlfn.XLOOKUP(C141,customers!$A:$A,customers!$G:$G,,0)=0,"",_xlfn.XLOOKUP(C141,customers!$A:$A,customers!$G:$G,,0))</f>
        <v>Japan</v>
      </c>
      <c r="I141" t="str">
        <f>IF(_xlfn.XLOOKUP(D141,product!$A:$A,product!$E:$E,,0)=0,"",_xlfn.XLOOKUP(D141,product!$A:$A,product!$E:$E,,0))</f>
        <v>FICTION</v>
      </c>
      <c r="J141" s="5">
        <f>IF(_xlfn.XLOOKUP(D141,product!$A:$A,product!$D:$D,,0)=0,"",_xlfn.XLOOKUP(D141,product!$A:$A,product!$D:$D,,0))</f>
        <v>19.89</v>
      </c>
      <c r="K141" s="7">
        <f t="shared" si="2"/>
        <v>39.78</v>
      </c>
      <c r="L141" s="10" t="str">
        <f>IF(_xlfn.XLOOKUP(D141,product!$A:$A,product!$F:$F,,0)=0,"",_xlfn.XLOOKUP(D141,product!$A:$A,product!$F:$F,,0))</f>
        <v>No</v>
      </c>
      <c r="M141" t="str">
        <f>IF(_xlfn.XLOOKUP(D141,product!$A:$A,product!G:G,,0)=0,"",_xlfn.XLOOKUP(D141,product!$A:$A,product!G:G,,0))</f>
        <v>Gold</v>
      </c>
      <c r="N141" t="str">
        <f>IF(_xlfn.XLOOKUP(D141,product!$A:$A,product!$B:$B,,0)=0,"",_xlfn.XLOOKUP(D141,product!$A:$A,product!$B:$B,,0))</f>
        <v>Data Mind</v>
      </c>
    </row>
    <row r="142" spans="1:14" x14ac:dyDescent="0.35">
      <c r="A142" t="s">
        <v>508</v>
      </c>
      <c r="B142" s="3">
        <v>45122</v>
      </c>
      <c r="C142" t="s">
        <v>1103</v>
      </c>
      <c r="D142" t="s">
        <v>5457</v>
      </c>
      <c r="E142">
        <v>2</v>
      </c>
      <c r="F142" t="str">
        <f>_xlfn.XLOOKUP(C142,customers!$A$1:$A$983,customers!$B$1:$B$983,,0)</f>
        <v>Paul Garcia</v>
      </c>
      <c r="G142" t="str">
        <f>_xlfn.XLOOKUP(C142,customers!$A:$A,customers!$C:$C,,0)</f>
        <v>paul.garcia17@hotmail.com</v>
      </c>
      <c r="H142" t="str">
        <f>IF(_xlfn.XLOOKUP(C142,customers!$A:$A,customers!$G:$G,,0)=0,"",_xlfn.XLOOKUP(C142,customers!$A:$A,customers!$G:$G,,0))</f>
        <v>Spain</v>
      </c>
      <c r="I142" t="str">
        <f>IF(_xlfn.XLOOKUP(D142,product!$A:$A,product!$E:$E,,0)=0,"",_xlfn.XLOOKUP(D142,product!$A:$A,product!$E:$E,,0))</f>
        <v>BUSINESS</v>
      </c>
      <c r="J142" s="5">
        <f>IF(_xlfn.XLOOKUP(D142,product!$A:$A,product!$D:$D,,0)=0,"",_xlfn.XLOOKUP(D142,product!$A:$A,product!$D:$D,,0))</f>
        <v>12.05</v>
      </c>
      <c r="K142" s="7">
        <f t="shared" si="2"/>
        <v>24.1</v>
      </c>
      <c r="L142" s="10" t="str">
        <f>IF(_xlfn.XLOOKUP(D142,product!$A:$A,product!$F:$F,,0)=0,"",_xlfn.XLOOKUP(D142,product!$A:$A,product!$F:$F,,0))</f>
        <v>No</v>
      </c>
      <c r="M142" t="str">
        <f>IF(_xlfn.XLOOKUP(D142,product!$A:$A,product!G:G,,0)=0,"",_xlfn.XLOOKUP(D142,product!$A:$A,product!G:G,,0))</f>
        <v>Platinum</v>
      </c>
      <c r="N142" t="str">
        <f>IF(_xlfn.XLOOKUP(D142,product!$A:$A,product!$B:$B,,0)=0,"",_xlfn.XLOOKUP(D142,product!$A:$A,product!$B:$B,,0))</f>
        <v>Future Science</v>
      </c>
    </row>
    <row r="143" spans="1:14" x14ac:dyDescent="0.35">
      <c r="A143" t="s">
        <v>525</v>
      </c>
      <c r="B143" s="3">
        <v>45532</v>
      </c>
      <c r="C143" t="s">
        <v>2405</v>
      </c>
      <c r="D143" t="s">
        <v>5458</v>
      </c>
      <c r="E143">
        <v>2</v>
      </c>
      <c r="F143" t="str">
        <f>_xlfn.XLOOKUP(C143,customers!$A$1:$A$983,customers!$B$1:$B$983,,0)</f>
        <v>Kevin Walker</v>
      </c>
      <c r="G143" t="str">
        <f>_xlfn.XLOOKUP(C143,customers!$A:$A,customers!$C:$C,,0)</f>
        <v>kevin.walker427@outlook.com</v>
      </c>
      <c r="H143" t="str">
        <f>IF(_xlfn.XLOOKUP(C143,customers!$A:$A,customers!$G:$G,,0)=0,"",_xlfn.XLOOKUP(C143,customers!$A:$A,customers!$G:$G,,0))</f>
        <v>Sweden</v>
      </c>
      <c r="I143" t="str">
        <f>IF(_xlfn.XLOOKUP(D143,product!$A:$A,product!$E:$E,,0)=0,"",_xlfn.XLOOKUP(D143,product!$A:$A,product!$E:$E,,0))</f>
        <v>BUSINESS</v>
      </c>
      <c r="J143" s="5">
        <f>IF(_xlfn.XLOOKUP(D143,product!$A:$A,product!$D:$D,,0)=0,"",_xlfn.XLOOKUP(D143,product!$A:$A,product!$D:$D,,0))</f>
        <v>37.83</v>
      </c>
      <c r="K143" s="7">
        <f t="shared" si="2"/>
        <v>75.66</v>
      </c>
      <c r="L143" s="10" t="str">
        <f>IF(_xlfn.XLOOKUP(D143,product!$A:$A,product!$F:$F,,0)=0,"",_xlfn.XLOOKUP(D143,product!$A:$A,product!$F:$F,,0))</f>
        <v>Yes</v>
      </c>
      <c r="M143" t="str">
        <f>IF(_xlfn.XLOOKUP(D143,product!$A:$A,product!G:G,,0)=0,"",_xlfn.XLOOKUP(D143,product!$A:$A,product!G:G,,0))</f>
        <v>Silver</v>
      </c>
      <c r="N143" t="str">
        <f>IF(_xlfn.XLOOKUP(D143,product!$A:$A,product!$B:$B,,0)=0,"",_xlfn.XLOOKUP(D143,product!$A:$A,product!$B:$B,,0))</f>
        <v>Journey Secrets</v>
      </c>
    </row>
    <row r="144" spans="1:14" x14ac:dyDescent="0.35">
      <c r="A144" t="s">
        <v>542</v>
      </c>
      <c r="B144" s="3">
        <v>44929</v>
      </c>
      <c r="C144" t="s">
        <v>2959</v>
      </c>
      <c r="D144" t="s">
        <v>5461</v>
      </c>
      <c r="E144">
        <v>2</v>
      </c>
      <c r="F144" t="str">
        <f>_xlfn.XLOOKUP(C144,customers!$A$1:$A$983,customers!$B$1:$B$983,,0)</f>
        <v>Lily Young</v>
      </c>
      <c r="G144" t="str">
        <f>_xlfn.XLOOKUP(C144,customers!$A:$A,customers!$C:$C,,0)</f>
        <v>lily.young694@yahoo.com</v>
      </c>
      <c r="H144" t="str">
        <f>IF(_xlfn.XLOOKUP(C144,customers!$A:$A,customers!$G:$G,,0)=0,"",_xlfn.XLOOKUP(C144,customers!$A:$A,customers!$G:$G,,0))</f>
        <v>USA</v>
      </c>
      <c r="I144" t="str">
        <f>IF(_xlfn.XLOOKUP(D144,product!$A:$A,product!$E:$E,,0)=0,"",_xlfn.XLOOKUP(D144,product!$A:$A,product!$E:$E,,0))</f>
        <v>BUSINESS</v>
      </c>
      <c r="J144" s="5">
        <f>IF(_xlfn.XLOOKUP(D144,product!$A:$A,product!$D:$D,,0)=0,"",_xlfn.XLOOKUP(D144,product!$A:$A,product!$D:$D,,0))</f>
        <v>20.72</v>
      </c>
      <c r="K144" s="7">
        <f t="shared" si="2"/>
        <v>41.44</v>
      </c>
      <c r="L144" s="10" t="str">
        <f>IF(_xlfn.XLOOKUP(D144,product!$A:$A,product!$F:$F,,0)=0,"",_xlfn.XLOOKUP(D144,product!$A:$A,product!$F:$F,,0))</f>
        <v>Yes</v>
      </c>
      <c r="M144" t="str">
        <f>IF(_xlfn.XLOOKUP(D144,product!$A:$A,product!G:G,,0)=0,"",_xlfn.XLOOKUP(D144,product!$A:$A,product!G:G,,0))</f>
        <v>Gold</v>
      </c>
      <c r="N144" t="str">
        <f>IF(_xlfn.XLOOKUP(D144,product!$A:$A,product!$B:$B,,0)=0,"",_xlfn.XLOOKUP(D144,product!$A:$A,product!$B:$B,,0))</f>
        <v>Journey Data</v>
      </c>
    </row>
    <row r="145" spans="1:14" x14ac:dyDescent="0.35">
      <c r="A145" t="s">
        <v>559</v>
      </c>
      <c r="B145" s="3">
        <v>45390</v>
      </c>
      <c r="C145" t="s">
        <v>95</v>
      </c>
      <c r="D145" t="s">
        <v>5462</v>
      </c>
      <c r="E145">
        <v>2</v>
      </c>
      <c r="F145" t="str">
        <f>_xlfn.XLOOKUP(C145,customers!$A$1:$A$983,customers!$B$1:$B$983,,0)</f>
        <v>Joshua Green</v>
      </c>
      <c r="G145" t="str">
        <f>_xlfn.XLOOKUP(C145,customers!$A:$A,customers!$C:$C,,0)</f>
        <v>joshua.green1@hotmail.com</v>
      </c>
      <c r="H145" t="str">
        <f>IF(_xlfn.XLOOKUP(C145,customers!$A:$A,customers!$G:$G,,0)=0,"",_xlfn.XLOOKUP(C145,customers!$A:$A,customers!$G:$G,,0))</f>
        <v>USA</v>
      </c>
      <c r="I145" t="str">
        <f>IF(_xlfn.XLOOKUP(D145,product!$A:$A,product!$E:$E,,0)=0,"",_xlfn.XLOOKUP(D145,product!$A:$A,product!$E:$E,,0))</f>
        <v>FICTION</v>
      </c>
      <c r="J145" s="5">
        <f>IF(_xlfn.XLOOKUP(D145,product!$A:$A,product!$D:$D,,0)=0,"",_xlfn.XLOOKUP(D145,product!$A:$A,product!$D:$D,,0))</f>
        <v>30.97</v>
      </c>
      <c r="K145" s="7">
        <f t="shared" si="2"/>
        <v>61.94</v>
      </c>
      <c r="L145" s="10" t="str">
        <f>IF(_xlfn.XLOOKUP(D145,product!$A:$A,product!$F:$F,,0)=0,"",_xlfn.XLOOKUP(D145,product!$A:$A,product!$F:$F,,0))</f>
        <v>No</v>
      </c>
      <c r="M145" t="str">
        <f>IF(_xlfn.XLOOKUP(D145,product!$A:$A,product!G:G,,0)=0,"",_xlfn.XLOOKUP(D145,product!$A:$A,product!G:G,,0))</f>
        <v>Gold</v>
      </c>
      <c r="N145" t="str">
        <f>IF(_xlfn.XLOOKUP(D145,product!$A:$A,product!$B:$B,,0)=0,"",_xlfn.XLOOKUP(D145,product!$A:$A,product!$B:$B,,0))</f>
        <v>Power Journey</v>
      </c>
    </row>
    <row r="146" spans="1:14" x14ac:dyDescent="0.35">
      <c r="A146" t="s">
        <v>576</v>
      </c>
      <c r="B146" s="3">
        <v>45198</v>
      </c>
      <c r="C146" t="s">
        <v>3388</v>
      </c>
      <c r="D146" t="s">
        <v>5464</v>
      </c>
      <c r="E146">
        <v>2</v>
      </c>
      <c r="F146" t="str">
        <f>_xlfn.XLOOKUP(C146,customers!$A$1:$A$983,customers!$B$1:$B$983,,0)</f>
        <v>Isabella Thomas</v>
      </c>
      <c r="G146" t="str">
        <f>_xlfn.XLOOKUP(C146,customers!$A:$A,customers!$C:$C,,0)</f>
        <v>isabella.thomas908@hotmail.com</v>
      </c>
      <c r="H146" t="str">
        <f>IF(_xlfn.XLOOKUP(C146,customers!$A:$A,customers!$G:$G,,0)=0,"",_xlfn.XLOOKUP(C146,customers!$A:$A,customers!$G:$G,,0))</f>
        <v>Japan</v>
      </c>
      <c r="I146" t="str">
        <f>IF(_xlfn.XLOOKUP(D146,product!$A:$A,product!$E:$E,,0)=0,"",_xlfn.XLOOKUP(D146,product!$A:$A,product!$E:$E,,0))</f>
        <v>SCIENCE</v>
      </c>
      <c r="J146" s="5">
        <f>IF(_xlfn.XLOOKUP(D146,product!$A:$A,product!$D:$D,,0)=0,"",_xlfn.XLOOKUP(D146,product!$A:$A,product!$D:$D,,0))</f>
        <v>38.97</v>
      </c>
      <c r="K146" s="7">
        <f t="shared" si="2"/>
        <v>77.94</v>
      </c>
      <c r="L146" s="10" t="str">
        <f>IF(_xlfn.XLOOKUP(D146,product!$A:$A,product!$F:$F,,0)=0,"",_xlfn.XLOOKUP(D146,product!$A:$A,product!$F:$F,,0))</f>
        <v>No</v>
      </c>
      <c r="M146" t="str">
        <f>IF(_xlfn.XLOOKUP(D146,product!$A:$A,product!G:G,,0)=0,"",_xlfn.XLOOKUP(D146,product!$A:$A,product!G:G,,0))</f>
        <v>None</v>
      </c>
      <c r="N146" t="str">
        <f>IF(_xlfn.XLOOKUP(D146,product!$A:$A,product!$B:$B,,0)=0,"",_xlfn.XLOOKUP(D146,product!$A:$A,product!$B:$B,,0))</f>
        <v>Silent Science</v>
      </c>
    </row>
    <row r="147" spans="1:14" x14ac:dyDescent="0.35">
      <c r="A147" t="s">
        <v>593</v>
      </c>
      <c r="B147" s="3">
        <v>45629</v>
      </c>
      <c r="C147" t="s">
        <v>3321</v>
      </c>
      <c r="D147" t="s">
        <v>5465</v>
      </c>
      <c r="E147">
        <v>2</v>
      </c>
      <c r="F147" t="str">
        <f>_xlfn.XLOOKUP(C147,customers!$A$1:$A$983,customers!$B$1:$B$983,,0)</f>
        <v>Lucy Young</v>
      </c>
      <c r="G147" t="str">
        <f>_xlfn.XLOOKUP(C147,customers!$A:$A,customers!$C:$C,,0)</f>
        <v>lucy.young874@yahoo.com</v>
      </c>
      <c r="H147" t="str">
        <f>IF(_xlfn.XLOOKUP(C147,customers!$A:$A,customers!$G:$G,,0)=0,"",_xlfn.XLOOKUP(C147,customers!$A:$A,customers!$G:$G,,0))</f>
        <v>USA</v>
      </c>
      <c r="I147" t="str">
        <f>IF(_xlfn.XLOOKUP(D147,product!$A:$A,product!$E:$E,,0)=0,"",_xlfn.XLOOKUP(D147,product!$A:$A,product!$E:$E,,0))</f>
        <v>SCIENCE</v>
      </c>
      <c r="J147" s="5">
        <f>IF(_xlfn.XLOOKUP(D147,product!$A:$A,product!$D:$D,,0)=0,"",_xlfn.XLOOKUP(D147,product!$A:$A,product!$D:$D,,0))</f>
        <v>11.4</v>
      </c>
      <c r="K147" s="7">
        <f t="shared" si="2"/>
        <v>22.8</v>
      </c>
      <c r="L147" s="10" t="str">
        <f>IF(_xlfn.XLOOKUP(D147,product!$A:$A,product!$F:$F,,0)=0,"",_xlfn.XLOOKUP(D147,product!$A:$A,product!$F:$F,,0))</f>
        <v>No</v>
      </c>
      <c r="M147" t="str">
        <f>IF(_xlfn.XLOOKUP(D147,product!$A:$A,product!G:G,,0)=0,"",_xlfn.XLOOKUP(D147,product!$A:$A,product!G:G,,0))</f>
        <v>None</v>
      </c>
      <c r="N147" t="str">
        <f>IF(_xlfn.XLOOKUP(D147,product!$A:$A,product!$B:$B,,0)=0,"",_xlfn.XLOOKUP(D147,product!$A:$A,product!$B:$B,,0))</f>
        <v>Journey Silent</v>
      </c>
    </row>
    <row r="148" spans="1:14" x14ac:dyDescent="0.35">
      <c r="A148" t="s">
        <v>610</v>
      </c>
      <c r="B148" s="3">
        <v>45011</v>
      </c>
      <c r="C148" t="s">
        <v>3230</v>
      </c>
      <c r="D148" t="s">
        <v>5467</v>
      </c>
      <c r="E148">
        <v>2</v>
      </c>
      <c r="F148" t="str">
        <f>_xlfn.XLOOKUP(C148,customers!$A$1:$A$983,customers!$B$1:$B$983,,0)</f>
        <v>Steven Martin</v>
      </c>
      <c r="G148" t="str">
        <f>_xlfn.XLOOKUP(C148,customers!$A:$A,customers!$C:$C,,0)</f>
        <v>steven.martin828@hotmail.com</v>
      </c>
      <c r="H148" t="str">
        <f>IF(_xlfn.XLOOKUP(C148,customers!$A:$A,customers!$G:$G,,0)=0,"",_xlfn.XLOOKUP(C148,customers!$A:$A,customers!$G:$G,,0))</f>
        <v>Poland</v>
      </c>
      <c r="I148" t="str">
        <f>IF(_xlfn.XLOOKUP(D148,product!$A:$A,product!$E:$E,,0)=0,"",_xlfn.XLOOKUP(D148,product!$A:$A,product!$E:$E,,0))</f>
        <v>TECH</v>
      </c>
      <c r="J148" s="5">
        <f>IF(_xlfn.XLOOKUP(D148,product!$A:$A,product!$D:$D,,0)=0,"",_xlfn.XLOOKUP(D148,product!$A:$A,product!$D:$D,,0))</f>
        <v>17.95</v>
      </c>
      <c r="K148" s="7">
        <f t="shared" si="2"/>
        <v>35.9</v>
      </c>
      <c r="L148" s="10" t="str">
        <f>IF(_xlfn.XLOOKUP(D148,product!$A:$A,product!$F:$F,,0)=0,"",_xlfn.XLOOKUP(D148,product!$A:$A,product!$F:$F,,0))</f>
        <v>No</v>
      </c>
      <c r="M148" t="str">
        <f>IF(_xlfn.XLOOKUP(D148,product!$A:$A,product!G:G,,0)=0,"",_xlfn.XLOOKUP(D148,product!$A:$A,product!G:G,,0))</f>
        <v>Silver</v>
      </c>
      <c r="N148" t="str">
        <f>IF(_xlfn.XLOOKUP(D148,product!$A:$A,product!$B:$B,,0)=0,"",_xlfn.XLOOKUP(D148,product!$A:$A,product!$B:$B,,0))</f>
        <v>Data Forest</v>
      </c>
    </row>
    <row r="149" spans="1:14" x14ac:dyDescent="0.35">
      <c r="A149" t="s">
        <v>627</v>
      </c>
      <c r="B149" s="3">
        <v>45339</v>
      </c>
      <c r="C149" t="s">
        <v>2495</v>
      </c>
      <c r="D149" t="s">
        <v>5468</v>
      </c>
      <c r="E149">
        <v>2</v>
      </c>
      <c r="F149" t="str">
        <f>_xlfn.XLOOKUP(C149,customers!$A$1:$A$983,customers!$B$1:$B$983,,0)</f>
        <v>Joshua Young</v>
      </c>
      <c r="G149" t="str">
        <f>_xlfn.XLOOKUP(C149,customers!$A:$A,customers!$C:$C,,0)</f>
        <v>joshua.young469@outlook.com</v>
      </c>
      <c r="H149" t="str">
        <f>IF(_xlfn.XLOOKUP(C149,customers!$A:$A,customers!$G:$G,,0)=0,"",_xlfn.XLOOKUP(C149,customers!$A:$A,customers!$G:$G,,0))</f>
        <v>USA</v>
      </c>
      <c r="I149" t="str">
        <f>IF(_xlfn.XLOOKUP(D149,product!$A:$A,product!$E:$E,,0)=0,"",_xlfn.XLOOKUP(D149,product!$A:$A,product!$E:$E,,0))</f>
        <v>SCIENCE</v>
      </c>
      <c r="J149" s="5">
        <f>IF(_xlfn.XLOOKUP(D149,product!$A:$A,product!$D:$D,,0)=0,"",_xlfn.XLOOKUP(D149,product!$A:$A,product!$D:$D,,0))</f>
        <v>16.84</v>
      </c>
      <c r="K149" s="7">
        <f t="shared" si="2"/>
        <v>33.68</v>
      </c>
      <c r="L149" s="10" t="str">
        <f>IF(_xlfn.XLOOKUP(D149,product!$A:$A,product!$F:$F,,0)=0,"",_xlfn.XLOOKUP(D149,product!$A:$A,product!$F:$F,,0))</f>
        <v>Yes</v>
      </c>
      <c r="M149" t="str">
        <f>IF(_xlfn.XLOOKUP(D149,product!$A:$A,product!G:G,,0)=0,"",_xlfn.XLOOKUP(D149,product!$A:$A,product!G:G,,0))</f>
        <v>None</v>
      </c>
      <c r="N149" t="str">
        <f>IF(_xlfn.XLOOKUP(D149,product!$A:$A,product!$B:$B,,0)=0,"",_xlfn.XLOOKUP(D149,product!$A:$A,product!$B:$B,,0))</f>
        <v>Science Silent</v>
      </c>
    </row>
    <row r="150" spans="1:14" x14ac:dyDescent="0.35">
      <c r="A150" t="s">
        <v>644</v>
      </c>
      <c r="B150" s="3">
        <v>45145</v>
      </c>
      <c r="C150" t="s">
        <v>2993</v>
      </c>
      <c r="D150" t="s">
        <v>5469</v>
      </c>
      <c r="E150">
        <v>2</v>
      </c>
      <c r="F150" t="str">
        <f>_xlfn.XLOOKUP(C150,customers!$A$1:$A$983,customers!$B$1:$B$983,,0)</f>
        <v>Zoe Lewis</v>
      </c>
      <c r="G150" t="str">
        <f>_xlfn.XLOOKUP(C150,customers!$A:$A,customers!$C:$C,,0)</f>
        <v>zoe.lewis710@outlook.com</v>
      </c>
      <c r="H150" t="str">
        <f>IF(_xlfn.XLOOKUP(C150,customers!$A:$A,customers!$G:$G,,0)=0,"",_xlfn.XLOOKUP(C150,customers!$A:$A,customers!$G:$G,,0))</f>
        <v>Spain</v>
      </c>
      <c r="I150" t="str">
        <f>IF(_xlfn.XLOOKUP(D150,product!$A:$A,product!$E:$E,,0)=0,"",_xlfn.XLOOKUP(D150,product!$A:$A,product!$E:$E,,0))</f>
        <v>SCIENCE</v>
      </c>
      <c r="J150" s="5">
        <f>IF(_xlfn.XLOOKUP(D150,product!$A:$A,product!$D:$D,,0)=0,"",_xlfn.XLOOKUP(D150,product!$A:$A,product!$D:$D,,0))</f>
        <v>16.8</v>
      </c>
      <c r="K150" s="7">
        <f t="shared" si="2"/>
        <v>33.6</v>
      </c>
      <c r="L150" s="10" t="str">
        <f>IF(_xlfn.XLOOKUP(D150,product!$A:$A,product!$F:$F,,0)=0,"",_xlfn.XLOOKUP(D150,product!$A:$A,product!$F:$F,,0))</f>
        <v>Yes</v>
      </c>
      <c r="M150" t="str">
        <f>IF(_xlfn.XLOOKUP(D150,product!$A:$A,product!G:G,,0)=0,"",_xlfn.XLOOKUP(D150,product!$A:$A,product!G:G,,0))</f>
        <v>None</v>
      </c>
      <c r="N150" t="str">
        <f>IF(_xlfn.XLOOKUP(D150,product!$A:$A,product!$B:$B,,0)=0,"",_xlfn.XLOOKUP(D150,product!$A:$A,product!$B:$B,,0))</f>
        <v>Science Silent</v>
      </c>
    </row>
    <row r="151" spans="1:14" x14ac:dyDescent="0.35">
      <c r="A151" t="s">
        <v>661</v>
      </c>
      <c r="B151" s="3">
        <v>45443</v>
      </c>
      <c r="C151" t="s">
        <v>1607</v>
      </c>
      <c r="D151" t="s">
        <v>5470</v>
      </c>
      <c r="E151">
        <v>2</v>
      </c>
      <c r="F151" t="str">
        <f>_xlfn.XLOOKUP(C151,customers!$A$1:$A$983,customers!$B$1:$B$983,,0)</f>
        <v>Daniel Thompson</v>
      </c>
      <c r="G151" t="str">
        <f>_xlfn.XLOOKUP(C151,customers!$A:$A,customers!$C:$C,,0)</f>
        <v>daniel.thompson151@gmail.com</v>
      </c>
      <c r="H151" t="str">
        <f>IF(_xlfn.XLOOKUP(C151,customers!$A:$A,customers!$G:$G,,0)=0,"",_xlfn.XLOOKUP(C151,customers!$A:$A,customers!$G:$G,,0))</f>
        <v>Japan</v>
      </c>
      <c r="I151" t="str">
        <f>IF(_xlfn.XLOOKUP(D151,product!$A:$A,product!$E:$E,,0)=0,"",_xlfn.XLOOKUP(D151,product!$A:$A,product!$E:$E,,0))</f>
        <v>BUSINESS</v>
      </c>
      <c r="J151" s="5">
        <f>IF(_xlfn.XLOOKUP(D151,product!$A:$A,product!$D:$D,,0)=0,"",_xlfn.XLOOKUP(D151,product!$A:$A,product!$D:$D,,0))</f>
        <v>36.07</v>
      </c>
      <c r="K151" s="7">
        <f t="shared" si="2"/>
        <v>72.14</v>
      </c>
      <c r="L151" s="10" t="str">
        <f>IF(_xlfn.XLOOKUP(D151,product!$A:$A,product!$F:$F,,0)=0,"",_xlfn.XLOOKUP(D151,product!$A:$A,product!$F:$F,,0))</f>
        <v>No</v>
      </c>
      <c r="M151" t="str">
        <f>IF(_xlfn.XLOOKUP(D151,product!$A:$A,product!G:G,,0)=0,"",_xlfn.XLOOKUP(D151,product!$A:$A,product!G:G,,0))</f>
        <v>None</v>
      </c>
      <c r="N151" t="str">
        <f>IF(_xlfn.XLOOKUP(D151,product!$A:$A,product!$B:$B,,0)=0,"",_xlfn.XLOOKUP(D151,product!$A:$A,product!$B:$B,,0))</f>
        <v>Silent Future</v>
      </c>
    </row>
    <row r="152" spans="1:14" x14ac:dyDescent="0.35">
      <c r="A152" t="s">
        <v>678</v>
      </c>
      <c r="B152" s="3">
        <v>45259</v>
      </c>
      <c r="C152" t="s">
        <v>3226</v>
      </c>
      <c r="D152" t="s">
        <v>5471</v>
      </c>
      <c r="E152">
        <v>2</v>
      </c>
      <c r="F152" t="str">
        <f>_xlfn.XLOOKUP(C152,customers!$A$1:$A$983,customers!$B$1:$B$983,,0)</f>
        <v>Mark Thompson</v>
      </c>
      <c r="G152" t="str">
        <f>_xlfn.XLOOKUP(C152,customers!$A:$A,customers!$C:$C,,0)</f>
        <v>mark.thompson826@outlook.com</v>
      </c>
      <c r="H152" t="str">
        <f>IF(_xlfn.XLOOKUP(C152,customers!$A:$A,customers!$G:$G,,0)=0,"",_xlfn.XLOOKUP(C152,customers!$A:$A,customers!$G:$G,,0))</f>
        <v>Japan</v>
      </c>
      <c r="I152" t="str">
        <f>IF(_xlfn.XLOOKUP(D152,product!$A:$A,product!$E:$E,,0)=0,"",_xlfn.XLOOKUP(D152,product!$A:$A,product!$E:$E,,0))</f>
        <v>SCIENCE</v>
      </c>
      <c r="J152" s="5">
        <f>IF(_xlfn.XLOOKUP(D152,product!$A:$A,product!$D:$D,,0)=0,"",_xlfn.XLOOKUP(D152,product!$A:$A,product!$D:$D,,0))</f>
        <v>15.08</v>
      </c>
      <c r="K152" s="7">
        <f t="shared" si="2"/>
        <v>30.16</v>
      </c>
      <c r="L152" s="10" t="str">
        <f>IF(_xlfn.XLOOKUP(D152,product!$A:$A,product!$F:$F,,0)=0,"",_xlfn.XLOOKUP(D152,product!$A:$A,product!$F:$F,,0))</f>
        <v>No</v>
      </c>
      <c r="M152" t="str">
        <f>IF(_xlfn.XLOOKUP(D152,product!$A:$A,product!G:G,,0)=0,"",_xlfn.XLOOKUP(D152,product!$A:$A,product!G:G,,0))</f>
        <v>None</v>
      </c>
      <c r="N152" t="str">
        <f>IF(_xlfn.XLOOKUP(D152,product!$A:$A,product!$B:$B,,0)=0,"",_xlfn.XLOOKUP(D152,product!$A:$A,product!$B:$B,,0))</f>
        <v>Data Future</v>
      </c>
    </row>
    <row r="153" spans="1:14" x14ac:dyDescent="0.35">
      <c r="A153" t="s">
        <v>695</v>
      </c>
      <c r="B153" s="3">
        <v>45484</v>
      </c>
      <c r="C153" t="s">
        <v>2983</v>
      </c>
      <c r="D153" t="s">
        <v>5473</v>
      </c>
      <c r="E153">
        <v>2</v>
      </c>
      <c r="F153" t="str">
        <f>_xlfn.XLOOKUP(C153,customers!$A$1:$A$983,customers!$B$1:$B$983,,0)</f>
        <v>William Jackson</v>
      </c>
      <c r="G153" t="str">
        <f>_xlfn.XLOOKUP(C153,customers!$A:$A,customers!$C:$C,,0)</f>
        <v>william.jackson705@hotmail.com</v>
      </c>
      <c r="H153" t="str">
        <f>IF(_xlfn.XLOOKUP(C153,customers!$A:$A,customers!$G:$G,,0)=0,"",_xlfn.XLOOKUP(C153,customers!$A:$A,customers!$G:$G,,0))</f>
        <v>Japan</v>
      </c>
      <c r="I153" t="str">
        <f>IF(_xlfn.XLOOKUP(D153,product!$A:$A,product!$E:$E,,0)=0,"",_xlfn.XLOOKUP(D153,product!$A:$A,product!$E:$E,,0))</f>
        <v>TECH</v>
      </c>
      <c r="J153" s="5">
        <f>IF(_xlfn.XLOOKUP(D153,product!$A:$A,product!$D:$D,,0)=0,"",_xlfn.XLOOKUP(D153,product!$A:$A,product!$D:$D,,0))</f>
        <v>39.869999999999997</v>
      </c>
      <c r="K153" s="7">
        <f t="shared" si="2"/>
        <v>79.739999999999995</v>
      </c>
      <c r="L153" s="10" t="str">
        <f>IF(_xlfn.XLOOKUP(D153,product!$A:$A,product!$F:$F,,0)=0,"",_xlfn.XLOOKUP(D153,product!$A:$A,product!$F:$F,,0))</f>
        <v>Yes</v>
      </c>
      <c r="M153" t="str">
        <f>IF(_xlfn.XLOOKUP(D153,product!$A:$A,product!G:G,,0)=0,"",_xlfn.XLOOKUP(D153,product!$A:$A,product!G:G,,0))</f>
        <v>Silver</v>
      </c>
      <c r="N153" t="str">
        <f>IF(_xlfn.XLOOKUP(D153,product!$A:$A,product!$B:$B,,0)=0,"",_xlfn.XLOOKUP(D153,product!$A:$A,product!$B:$B,,0))</f>
        <v>Science Power</v>
      </c>
    </row>
    <row r="154" spans="1:14" x14ac:dyDescent="0.35">
      <c r="A154" t="s">
        <v>712</v>
      </c>
      <c r="B154" s="3">
        <v>45085</v>
      </c>
      <c r="C154" t="s">
        <v>2867</v>
      </c>
      <c r="D154" t="s">
        <v>5475</v>
      </c>
      <c r="E154">
        <v>2</v>
      </c>
      <c r="F154" t="str">
        <f>_xlfn.XLOOKUP(C154,customers!$A$1:$A$983,customers!$B$1:$B$983,,0)</f>
        <v>Emma Rodriguez</v>
      </c>
      <c r="G154" t="str">
        <f>_xlfn.XLOOKUP(C154,customers!$A:$A,customers!$C:$C,,0)</f>
        <v>emma.rodriguez649@yahoo.com</v>
      </c>
      <c r="H154" t="str">
        <f>IF(_xlfn.XLOOKUP(C154,customers!$A:$A,customers!$G:$G,,0)=0,"",_xlfn.XLOOKUP(C154,customers!$A:$A,customers!$G:$G,,0))</f>
        <v>USA</v>
      </c>
      <c r="I154" t="str">
        <f>IF(_xlfn.XLOOKUP(D154,product!$A:$A,product!$E:$E,,0)=0,"",_xlfn.XLOOKUP(D154,product!$A:$A,product!$E:$E,,0))</f>
        <v>SCIENCE</v>
      </c>
      <c r="J154" s="5">
        <f>IF(_xlfn.XLOOKUP(D154,product!$A:$A,product!$D:$D,,0)=0,"",_xlfn.XLOOKUP(D154,product!$A:$A,product!$D:$D,,0))</f>
        <v>19.43</v>
      </c>
      <c r="K154" s="7">
        <f t="shared" si="2"/>
        <v>38.86</v>
      </c>
      <c r="L154" s="10" t="str">
        <f>IF(_xlfn.XLOOKUP(D154,product!$A:$A,product!$F:$F,,0)=0,"",_xlfn.XLOOKUP(D154,product!$A:$A,product!$F:$F,,0))</f>
        <v>No</v>
      </c>
      <c r="M154" t="str">
        <f>IF(_xlfn.XLOOKUP(D154,product!$A:$A,product!G:G,,0)=0,"",_xlfn.XLOOKUP(D154,product!$A:$A,product!G:G,,0))</f>
        <v>None</v>
      </c>
      <c r="N154" t="str">
        <f>IF(_xlfn.XLOOKUP(D154,product!$A:$A,product!$B:$B,,0)=0,"",_xlfn.XLOOKUP(D154,product!$A:$A,product!$B:$B,,0))</f>
        <v>Data Secrets</v>
      </c>
    </row>
    <row r="155" spans="1:14" x14ac:dyDescent="0.35">
      <c r="A155" t="s">
        <v>729</v>
      </c>
      <c r="B155" s="3">
        <v>45540</v>
      </c>
      <c r="C155" t="s">
        <v>1211</v>
      </c>
      <c r="D155" t="s">
        <v>5476</v>
      </c>
      <c r="E155">
        <v>2</v>
      </c>
      <c r="F155" t="str">
        <f>_xlfn.XLOOKUP(C155,customers!$A$1:$A$983,customers!$B$1:$B$983,,0)</f>
        <v>Sophia White</v>
      </c>
      <c r="G155" t="str">
        <f>_xlfn.XLOOKUP(C155,customers!$A:$A,customers!$C:$C,,0)</f>
        <v>sophia.white42@yahoo.com</v>
      </c>
      <c r="H155" t="str">
        <f>IF(_xlfn.XLOOKUP(C155,customers!$A:$A,customers!$G:$G,,0)=0,"",_xlfn.XLOOKUP(C155,customers!$A:$A,customers!$G:$G,,0))</f>
        <v>Spain</v>
      </c>
      <c r="I155" t="str">
        <f>IF(_xlfn.XLOOKUP(D155,product!$A:$A,product!$E:$E,,0)=0,"",_xlfn.XLOOKUP(D155,product!$A:$A,product!$E:$E,,0))</f>
        <v>FICTION</v>
      </c>
      <c r="J155" s="5">
        <f>IF(_xlfn.XLOOKUP(D155,product!$A:$A,product!$D:$D,,0)=0,"",_xlfn.XLOOKUP(D155,product!$A:$A,product!$D:$D,,0))</f>
        <v>18.43</v>
      </c>
      <c r="K155" s="7">
        <f t="shared" si="2"/>
        <v>36.86</v>
      </c>
      <c r="L155" s="10" t="str">
        <f>IF(_xlfn.XLOOKUP(D155,product!$A:$A,product!$F:$F,,0)=0,"",_xlfn.XLOOKUP(D155,product!$A:$A,product!$F:$F,,0))</f>
        <v>Yes</v>
      </c>
      <c r="M155" t="str">
        <f>IF(_xlfn.XLOOKUP(D155,product!$A:$A,product!G:G,,0)=0,"",_xlfn.XLOOKUP(D155,product!$A:$A,product!G:G,,0))</f>
        <v>Silver</v>
      </c>
      <c r="N155" t="str">
        <f>IF(_xlfn.XLOOKUP(D155,product!$A:$A,product!$B:$B,,0)=0,"",_xlfn.XLOOKUP(D155,product!$A:$A,product!$B:$B,,0))</f>
        <v>Silent Journey</v>
      </c>
    </row>
    <row r="156" spans="1:14" x14ac:dyDescent="0.35">
      <c r="A156" t="s">
        <v>746</v>
      </c>
      <c r="B156" s="3">
        <v>45020</v>
      </c>
      <c r="C156" t="s">
        <v>3133</v>
      </c>
      <c r="D156" t="s">
        <v>5479</v>
      </c>
      <c r="E156">
        <v>2</v>
      </c>
      <c r="F156" t="str">
        <f>_xlfn.XLOOKUP(C156,customers!$A$1:$A$983,customers!$B$1:$B$983,,0)</f>
        <v>Thomas King</v>
      </c>
      <c r="G156" t="str">
        <f>_xlfn.XLOOKUP(C156,customers!$A:$A,customers!$C:$C,,0)</f>
        <v>thomas.king779@hotmail.com</v>
      </c>
      <c r="H156" t="str">
        <f>IF(_xlfn.XLOOKUP(C156,customers!$A:$A,customers!$G:$G,,0)=0,"",_xlfn.XLOOKUP(C156,customers!$A:$A,customers!$G:$G,,0))</f>
        <v>Egypt</v>
      </c>
      <c r="I156" t="str">
        <f>IF(_xlfn.XLOOKUP(D156,product!$A:$A,product!$E:$E,,0)=0,"",_xlfn.XLOOKUP(D156,product!$A:$A,product!$E:$E,,0))</f>
        <v>HISTORY</v>
      </c>
      <c r="J156" s="5">
        <f>IF(_xlfn.XLOOKUP(D156,product!$A:$A,product!$D:$D,,0)=0,"",_xlfn.XLOOKUP(D156,product!$A:$A,product!$D:$D,,0))</f>
        <v>24.47</v>
      </c>
      <c r="K156" s="7">
        <f t="shared" si="2"/>
        <v>48.94</v>
      </c>
      <c r="L156" s="10" t="str">
        <f>IF(_xlfn.XLOOKUP(D156,product!$A:$A,product!$F:$F,,0)=0,"",_xlfn.XLOOKUP(D156,product!$A:$A,product!$F:$F,,0))</f>
        <v>Yes</v>
      </c>
      <c r="M156" t="str">
        <f>IF(_xlfn.XLOOKUP(D156,product!$A:$A,product!G:G,,0)=0,"",_xlfn.XLOOKUP(D156,product!$A:$A,product!G:G,,0))</f>
        <v>Silver</v>
      </c>
      <c r="N156" t="str">
        <f>IF(_xlfn.XLOOKUP(D156,product!$A:$A,product!$B:$B,,0)=0,"",_xlfn.XLOOKUP(D156,product!$A:$A,product!$B:$B,,0))</f>
        <v>Mind Future</v>
      </c>
    </row>
    <row r="157" spans="1:14" x14ac:dyDescent="0.35">
      <c r="A157" t="s">
        <v>763</v>
      </c>
      <c r="B157" s="3">
        <v>45306</v>
      </c>
      <c r="C157" t="s">
        <v>2912</v>
      </c>
      <c r="D157" t="s">
        <v>5481</v>
      </c>
      <c r="E157">
        <v>2</v>
      </c>
      <c r="F157" t="str">
        <f>_xlfn.XLOOKUP(C157,customers!$A$1:$A$983,customers!$B$1:$B$983,,0)</f>
        <v>Sarah Hall</v>
      </c>
      <c r="G157" t="str">
        <f>_xlfn.XLOOKUP(C157,customers!$A:$A,customers!$C:$C,,0)</f>
        <v>sarah.hall671@hotmail.com</v>
      </c>
      <c r="H157" t="str">
        <f>IF(_xlfn.XLOOKUP(C157,customers!$A:$A,customers!$G:$G,,0)=0,"",_xlfn.XLOOKUP(C157,customers!$A:$A,customers!$G:$G,,0))</f>
        <v>Egypt</v>
      </c>
      <c r="I157" t="str">
        <f>IF(_xlfn.XLOOKUP(D157,product!$A:$A,product!$E:$E,,0)=0,"",_xlfn.XLOOKUP(D157,product!$A:$A,product!$E:$E,,0))</f>
        <v>BUSINESS</v>
      </c>
      <c r="J157" s="5">
        <f>IF(_xlfn.XLOOKUP(D157,product!$A:$A,product!$D:$D,,0)=0,"",_xlfn.XLOOKUP(D157,product!$A:$A,product!$D:$D,,0))</f>
        <v>25.8</v>
      </c>
      <c r="K157" s="7">
        <f t="shared" si="2"/>
        <v>51.6</v>
      </c>
      <c r="L157" s="10" t="str">
        <f>IF(_xlfn.XLOOKUP(D157,product!$A:$A,product!$F:$F,,0)=0,"",_xlfn.XLOOKUP(D157,product!$A:$A,product!$F:$F,,0))</f>
        <v>No</v>
      </c>
      <c r="M157" t="str">
        <f>IF(_xlfn.XLOOKUP(D157,product!$A:$A,product!G:G,,0)=0,"",_xlfn.XLOOKUP(D157,product!$A:$A,product!G:G,,0))</f>
        <v>None</v>
      </c>
      <c r="N157" t="str">
        <f>IF(_xlfn.XLOOKUP(D157,product!$A:$A,product!$B:$B,,0)=0,"",_xlfn.XLOOKUP(D157,product!$A:$A,product!$B:$B,,0))</f>
        <v>Forest Power</v>
      </c>
    </row>
    <row r="158" spans="1:14" x14ac:dyDescent="0.35">
      <c r="A158" t="s">
        <v>780</v>
      </c>
      <c r="B158" s="3">
        <v>45221</v>
      </c>
      <c r="C158" t="s">
        <v>2924</v>
      </c>
      <c r="D158" t="s">
        <v>5482</v>
      </c>
      <c r="E158">
        <v>2</v>
      </c>
      <c r="F158" t="str">
        <f>_xlfn.XLOOKUP(C158,customers!$A$1:$A$983,customers!$B$1:$B$983,,0)</f>
        <v>Steven Garcia</v>
      </c>
      <c r="G158" t="str">
        <f>_xlfn.XLOOKUP(C158,customers!$A:$A,customers!$C:$C,,0)</f>
        <v>steven.garcia677@hotmail.com</v>
      </c>
      <c r="H158" t="str">
        <f>IF(_xlfn.XLOOKUP(C158,customers!$A:$A,customers!$G:$G,,0)=0,"",_xlfn.XLOOKUP(C158,customers!$A:$A,customers!$G:$G,,0))</f>
        <v>UAE</v>
      </c>
      <c r="I158" t="str">
        <f>IF(_xlfn.XLOOKUP(D158,product!$A:$A,product!$E:$E,,0)=0,"",_xlfn.XLOOKUP(D158,product!$A:$A,product!$E:$E,,0))</f>
        <v>HISTORY</v>
      </c>
      <c r="J158" s="5">
        <f>IF(_xlfn.XLOOKUP(D158,product!$A:$A,product!$D:$D,,0)=0,"",_xlfn.XLOOKUP(D158,product!$A:$A,product!$D:$D,,0))</f>
        <v>33.049999999999997</v>
      </c>
      <c r="K158" s="7">
        <f t="shared" si="2"/>
        <v>66.099999999999994</v>
      </c>
      <c r="L158" s="10" t="str">
        <f>IF(_xlfn.XLOOKUP(D158,product!$A:$A,product!$F:$F,,0)=0,"",_xlfn.XLOOKUP(D158,product!$A:$A,product!$F:$F,,0))</f>
        <v>Yes</v>
      </c>
      <c r="M158" t="str">
        <f>IF(_xlfn.XLOOKUP(D158,product!$A:$A,product!G:G,,0)=0,"",_xlfn.XLOOKUP(D158,product!$A:$A,product!G:G,,0))</f>
        <v>None</v>
      </c>
      <c r="N158" t="str">
        <f>IF(_xlfn.XLOOKUP(D158,product!$A:$A,product!$B:$B,,0)=0,"",_xlfn.XLOOKUP(D158,product!$A:$A,product!$B:$B,,0))</f>
        <v>Forest Future</v>
      </c>
    </row>
    <row r="159" spans="1:14" x14ac:dyDescent="0.35">
      <c r="A159" t="s">
        <v>797</v>
      </c>
      <c r="B159" s="3">
        <v>45604</v>
      </c>
      <c r="C159" t="s">
        <v>2353</v>
      </c>
      <c r="D159" t="s">
        <v>5484</v>
      </c>
      <c r="E159">
        <v>2</v>
      </c>
      <c r="F159" t="str">
        <f>_xlfn.XLOOKUP(C159,customers!$A$1:$A$983,customers!$B$1:$B$983,,0)</f>
        <v>Sarah Baker</v>
      </c>
      <c r="G159" t="str">
        <f>_xlfn.XLOOKUP(C159,customers!$A:$A,customers!$C:$C,,0)</f>
        <v>sarah.baker404@gmail.com</v>
      </c>
      <c r="H159" t="str">
        <f>IF(_xlfn.XLOOKUP(C159,customers!$A:$A,customers!$G:$G,,0)=0,"",_xlfn.XLOOKUP(C159,customers!$A:$A,customers!$G:$G,,0))</f>
        <v>Spain</v>
      </c>
      <c r="I159" t="str">
        <f>IF(_xlfn.XLOOKUP(D159,product!$A:$A,product!$E:$E,,0)=0,"",_xlfn.XLOOKUP(D159,product!$A:$A,product!$E:$E,,0))</f>
        <v>HISTORY</v>
      </c>
      <c r="J159" s="5">
        <f>IF(_xlfn.XLOOKUP(D159,product!$A:$A,product!$D:$D,,0)=0,"",_xlfn.XLOOKUP(D159,product!$A:$A,product!$D:$D,,0))</f>
        <v>12.03</v>
      </c>
      <c r="K159" s="7">
        <f t="shared" si="2"/>
        <v>24.06</v>
      </c>
      <c r="L159" s="10" t="str">
        <f>IF(_xlfn.XLOOKUP(D159,product!$A:$A,product!$F:$F,,0)=0,"",_xlfn.XLOOKUP(D159,product!$A:$A,product!$F:$F,,0))</f>
        <v>Yes</v>
      </c>
      <c r="M159" t="str">
        <f>IF(_xlfn.XLOOKUP(D159,product!$A:$A,product!G:G,,0)=0,"",_xlfn.XLOOKUP(D159,product!$A:$A,product!G:G,,0))</f>
        <v>Silver</v>
      </c>
      <c r="N159" t="str">
        <f>IF(_xlfn.XLOOKUP(D159,product!$A:$A,product!$B:$B,,0)=0,"",_xlfn.XLOOKUP(D159,product!$A:$A,product!$B:$B,,0))</f>
        <v>Silent Future</v>
      </c>
    </row>
    <row r="160" spans="1:14" x14ac:dyDescent="0.35">
      <c r="A160" t="s">
        <v>814</v>
      </c>
      <c r="B160" s="3">
        <v>45270</v>
      </c>
      <c r="C160" t="s">
        <v>1100</v>
      </c>
      <c r="D160" t="s">
        <v>5485</v>
      </c>
      <c r="E160">
        <v>2</v>
      </c>
      <c r="F160" t="str">
        <f>_xlfn.XLOOKUP(C160,customers!$A$1:$A$983,customers!$B$1:$B$983,,0)</f>
        <v>Ryan White</v>
      </c>
      <c r="G160" t="str">
        <f>_xlfn.XLOOKUP(C160,customers!$A:$A,customers!$C:$C,,0)</f>
        <v>ryan.white16@hotmail.com</v>
      </c>
      <c r="H160" t="str">
        <f>IF(_xlfn.XLOOKUP(C160,customers!$A:$A,customers!$G:$G,,0)=0,"",_xlfn.XLOOKUP(C160,customers!$A:$A,customers!$G:$G,,0))</f>
        <v>Japan</v>
      </c>
      <c r="I160" t="str">
        <f>IF(_xlfn.XLOOKUP(D160,product!$A:$A,product!$E:$E,,0)=0,"",_xlfn.XLOOKUP(D160,product!$A:$A,product!$E:$E,,0))</f>
        <v>HISTORY</v>
      </c>
      <c r="J160" s="5">
        <f>IF(_xlfn.XLOOKUP(D160,product!$A:$A,product!$D:$D,,0)=0,"",_xlfn.XLOOKUP(D160,product!$A:$A,product!$D:$D,,0))</f>
        <v>32.97</v>
      </c>
      <c r="K160" s="7">
        <f t="shared" si="2"/>
        <v>65.94</v>
      </c>
      <c r="L160" s="10" t="str">
        <f>IF(_xlfn.XLOOKUP(D160,product!$A:$A,product!$F:$F,,0)=0,"",_xlfn.XLOOKUP(D160,product!$A:$A,product!$F:$F,,0))</f>
        <v>Yes</v>
      </c>
      <c r="M160" t="str">
        <f>IF(_xlfn.XLOOKUP(D160,product!$A:$A,product!G:G,,0)=0,"",_xlfn.XLOOKUP(D160,product!$A:$A,product!G:G,,0))</f>
        <v>Silver</v>
      </c>
      <c r="N160" t="str">
        <f>IF(_xlfn.XLOOKUP(D160,product!$A:$A,product!$B:$B,,0)=0,"",_xlfn.XLOOKUP(D160,product!$A:$A,product!$B:$B,,0))</f>
        <v>Quantum Forest</v>
      </c>
    </row>
    <row r="161" spans="1:14" x14ac:dyDescent="0.35">
      <c r="A161" t="s">
        <v>831</v>
      </c>
      <c r="B161" s="3">
        <v>45379</v>
      </c>
      <c r="C161" t="s">
        <v>3408</v>
      </c>
      <c r="D161" t="s">
        <v>5486</v>
      </c>
      <c r="E161">
        <v>2</v>
      </c>
      <c r="F161" t="str">
        <f>_xlfn.XLOOKUP(C161,customers!$A$1:$A$983,customers!$B$1:$B$983,,0)</f>
        <v>Michael Lopez</v>
      </c>
      <c r="G161" t="str">
        <f>_xlfn.XLOOKUP(C161,customers!$A:$A,customers!$C:$C,,0)</f>
        <v>michael.lopez918@yahoo.com</v>
      </c>
      <c r="H161" t="str">
        <f>IF(_xlfn.XLOOKUP(C161,customers!$A:$A,customers!$G:$G,,0)=0,"",_xlfn.XLOOKUP(C161,customers!$A:$A,customers!$G:$G,,0))</f>
        <v>India</v>
      </c>
      <c r="I161" t="str">
        <f>IF(_xlfn.XLOOKUP(D161,product!$A:$A,product!$E:$E,,0)=0,"",_xlfn.XLOOKUP(D161,product!$A:$A,product!$E:$E,,0))</f>
        <v>HISTORY</v>
      </c>
      <c r="J161" s="5">
        <f>IF(_xlfn.XLOOKUP(D161,product!$A:$A,product!$D:$D,,0)=0,"",_xlfn.XLOOKUP(D161,product!$A:$A,product!$D:$D,,0))</f>
        <v>16.170000000000002</v>
      </c>
      <c r="K161" s="7">
        <f t="shared" si="2"/>
        <v>32.340000000000003</v>
      </c>
      <c r="L161" s="10" t="str">
        <f>IF(_xlfn.XLOOKUP(D161,product!$A:$A,product!$F:$F,,0)=0,"",_xlfn.XLOOKUP(D161,product!$A:$A,product!$F:$F,,0))</f>
        <v>Yes</v>
      </c>
      <c r="M161" t="str">
        <f>IF(_xlfn.XLOOKUP(D161,product!$A:$A,product!G:G,,0)=0,"",_xlfn.XLOOKUP(D161,product!$A:$A,product!G:G,,0))</f>
        <v>Silver</v>
      </c>
      <c r="N161" t="str">
        <f>IF(_xlfn.XLOOKUP(D161,product!$A:$A,product!$B:$B,,0)=0,"",_xlfn.XLOOKUP(D161,product!$A:$A,product!$B:$B,,0))</f>
        <v>Silent Quantum</v>
      </c>
    </row>
    <row r="162" spans="1:14" x14ac:dyDescent="0.35">
      <c r="A162" t="s">
        <v>848</v>
      </c>
      <c r="B162" s="3">
        <v>44978</v>
      </c>
      <c r="C162" t="s">
        <v>3236</v>
      </c>
      <c r="D162" t="s">
        <v>5487</v>
      </c>
      <c r="E162">
        <v>2</v>
      </c>
      <c r="F162" t="str">
        <f>_xlfn.XLOOKUP(C162,customers!$A$1:$A$983,customers!$B$1:$B$983,,0)</f>
        <v>Paul Martinez</v>
      </c>
      <c r="G162" t="str">
        <f>_xlfn.XLOOKUP(C162,customers!$A:$A,customers!$C:$C,,0)</f>
        <v>paul.martinez831@outlook.com</v>
      </c>
      <c r="H162" t="str">
        <f>IF(_xlfn.XLOOKUP(C162,customers!$A:$A,customers!$G:$G,,0)=0,"",_xlfn.XLOOKUP(C162,customers!$A:$A,customers!$G:$G,,0))</f>
        <v>Japan</v>
      </c>
      <c r="I162" t="str">
        <f>IF(_xlfn.XLOOKUP(D162,product!$A:$A,product!$E:$E,,0)=0,"",_xlfn.XLOOKUP(D162,product!$A:$A,product!$E:$E,,0))</f>
        <v>BUSINESS</v>
      </c>
      <c r="J162" s="5">
        <f>IF(_xlfn.XLOOKUP(D162,product!$A:$A,product!$D:$D,,0)=0,"",_xlfn.XLOOKUP(D162,product!$A:$A,product!$D:$D,,0))</f>
        <v>31.72</v>
      </c>
      <c r="K162" s="7">
        <f t="shared" si="2"/>
        <v>63.44</v>
      </c>
      <c r="L162" s="10" t="str">
        <f>IF(_xlfn.XLOOKUP(D162,product!$A:$A,product!$F:$F,,0)=0,"",_xlfn.XLOOKUP(D162,product!$A:$A,product!$F:$F,,0))</f>
        <v>Yes</v>
      </c>
      <c r="M162" t="str">
        <f>IF(_xlfn.XLOOKUP(D162,product!$A:$A,product!G:G,,0)=0,"",_xlfn.XLOOKUP(D162,product!$A:$A,product!G:G,,0))</f>
        <v>None</v>
      </c>
      <c r="N162" t="str">
        <f>IF(_xlfn.XLOOKUP(D162,product!$A:$A,product!$B:$B,,0)=0,"",_xlfn.XLOOKUP(D162,product!$A:$A,product!$B:$B,,0))</f>
        <v>Silent Power</v>
      </c>
    </row>
    <row r="163" spans="1:14" x14ac:dyDescent="0.35">
      <c r="A163" t="s">
        <v>865</v>
      </c>
      <c r="B163" s="3">
        <v>45467</v>
      </c>
      <c r="C163" t="s">
        <v>3435</v>
      </c>
      <c r="D163" t="s">
        <v>5489</v>
      </c>
      <c r="E163">
        <v>2</v>
      </c>
      <c r="F163" t="str">
        <f>_xlfn.XLOOKUP(C163,customers!$A$1:$A$983,customers!$B$1:$B$983,,0)</f>
        <v>Sarah Anderson</v>
      </c>
      <c r="G163" t="str">
        <f>_xlfn.XLOOKUP(C163,customers!$A:$A,customers!$C:$C,,0)</f>
        <v>sarah.anderson932@yahoo.com</v>
      </c>
      <c r="H163" t="str">
        <f>IF(_xlfn.XLOOKUP(C163,customers!$A:$A,customers!$G:$G,,0)=0,"",_xlfn.XLOOKUP(C163,customers!$A:$A,customers!$G:$G,,0))</f>
        <v>Spain</v>
      </c>
      <c r="I163" t="str">
        <f>IF(_xlfn.XLOOKUP(D163,product!$A:$A,product!$E:$E,,0)=0,"",_xlfn.XLOOKUP(D163,product!$A:$A,product!$E:$E,,0))</f>
        <v>SCIENCE</v>
      </c>
      <c r="J163" s="5">
        <f>IF(_xlfn.XLOOKUP(D163,product!$A:$A,product!$D:$D,,0)=0,"",_xlfn.XLOOKUP(D163,product!$A:$A,product!$D:$D,,0))</f>
        <v>28.7</v>
      </c>
      <c r="K163" s="7">
        <f t="shared" si="2"/>
        <v>57.4</v>
      </c>
      <c r="L163" s="10" t="str">
        <f>IF(_xlfn.XLOOKUP(D163,product!$A:$A,product!$F:$F,,0)=0,"",_xlfn.XLOOKUP(D163,product!$A:$A,product!$F:$F,,0))</f>
        <v>Yes</v>
      </c>
      <c r="M163" t="str">
        <f>IF(_xlfn.XLOOKUP(D163,product!$A:$A,product!G:G,,0)=0,"",_xlfn.XLOOKUP(D163,product!$A:$A,product!G:G,,0))</f>
        <v>Silver</v>
      </c>
      <c r="N163" t="str">
        <f>IF(_xlfn.XLOOKUP(D163,product!$A:$A,product!$B:$B,,0)=0,"",_xlfn.XLOOKUP(D163,product!$A:$A,product!$B:$B,,0))</f>
        <v>Science Mind</v>
      </c>
    </row>
    <row r="164" spans="1:14" x14ac:dyDescent="0.35">
      <c r="A164" t="s">
        <v>882</v>
      </c>
      <c r="B164" s="3">
        <v>45073</v>
      </c>
      <c r="C164" t="s">
        <v>2725</v>
      </c>
      <c r="D164" t="s">
        <v>5490</v>
      </c>
      <c r="E164">
        <v>2</v>
      </c>
      <c r="F164" t="str">
        <f>_xlfn.XLOOKUP(C164,customers!$A$1:$A$983,customers!$B$1:$B$983,,0)</f>
        <v>William King</v>
      </c>
      <c r="G164" t="str">
        <f>_xlfn.XLOOKUP(C164,customers!$A:$A,customers!$C:$C,,0)</f>
        <v>william.king580@yahoo.com</v>
      </c>
      <c r="H164" t="str">
        <f>IF(_xlfn.XLOOKUP(C164,customers!$A:$A,customers!$G:$G,,0)=0,"",_xlfn.XLOOKUP(C164,customers!$A:$A,customers!$G:$G,,0))</f>
        <v>Sweden</v>
      </c>
      <c r="I164" t="str">
        <f>IF(_xlfn.XLOOKUP(D164,product!$A:$A,product!$E:$E,,0)=0,"",_xlfn.XLOOKUP(D164,product!$A:$A,product!$E:$E,,0))</f>
        <v>SCIENCE</v>
      </c>
      <c r="J164" s="5">
        <f>IF(_xlfn.XLOOKUP(D164,product!$A:$A,product!$D:$D,,0)=0,"",_xlfn.XLOOKUP(D164,product!$A:$A,product!$D:$D,,0))</f>
        <v>35.270000000000003</v>
      </c>
      <c r="K164" s="7">
        <f t="shared" si="2"/>
        <v>70.540000000000006</v>
      </c>
      <c r="L164" s="10" t="str">
        <f>IF(_xlfn.XLOOKUP(D164,product!$A:$A,product!$F:$F,,0)=0,"",_xlfn.XLOOKUP(D164,product!$A:$A,product!$F:$F,,0))</f>
        <v>Yes</v>
      </c>
      <c r="M164" t="str">
        <f>IF(_xlfn.XLOOKUP(D164,product!$A:$A,product!G:G,,0)=0,"",_xlfn.XLOOKUP(D164,product!$A:$A,product!G:G,,0))</f>
        <v>None</v>
      </c>
      <c r="N164" t="str">
        <f>IF(_xlfn.XLOOKUP(D164,product!$A:$A,product!$B:$B,,0)=0,"",_xlfn.XLOOKUP(D164,product!$A:$A,product!$B:$B,,0))</f>
        <v>Quantum Power</v>
      </c>
    </row>
    <row r="165" spans="1:14" x14ac:dyDescent="0.35">
      <c r="A165" t="s">
        <v>899</v>
      </c>
      <c r="B165" s="3">
        <v>45569</v>
      </c>
      <c r="C165" t="s">
        <v>3325</v>
      </c>
      <c r="D165" t="s">
        <v>5491</v>
      </c>
      <c r="E165">
        <v>2</v>
      </c>
      <c r="F165" t="str">
        <f>_xlfn.XLOOKUP(C165,customers!$A$1:$A$983,customers!$B$1:$B$983,,0)</f>
        <v>Mia Garcia</v>
      </c>
      <c r="G165" t="str">
        <f>_xlfn.XLOOKUP(C165,customers!$A:$A,customers!$C:$C,,0)</f>
        <v>mia.garcia876@hotmail.com</v>
      </c>
      <c r="H165" t="str">
        <f>IF(_xlfn.XLOOKUP(C165,customers!$A:$A,customers!$G:$G,,0)=0,"",_xlfn.XLOOKUP(C165,customers!$A:$A,customers!$G:$G,,0))</f>
        <v>Japan</v>
      </c>
      <c r="I165" t="str">
        <f>IF(_xlfn.XLOOKUP(D165,product!$A:$A,product!$E:$E,,0)=0,"",_xlfn.XLOOKUP(D165,product!$A:$A,product!$E:$E,,0))</f>
        <v>FICTION</v>
      </c>
      <c r="J165" s="5">
        <f>IF(_xlfn.XLOOKUP(D165,product!$A:$A,product!$D:$D,,0)=0,"",_xlfn.XLOOKUP(D165,product!$A:$A,product!$D:$D,,0))</f>
        <v>22.4</v>
      </c>
      <c r="K165" s="7">
        <f t="shared" si="2"/>
        <v>44.8</v>
      </c>
      <c r="L165" s="10" t="str">
        <f>IF(_xlfn.XLOOKUP(D165,product!$A:$A,product!$F:$F,,0)=0,"",_xlfn.XLOOKUP(D165,product!$A:$A,product!$F:$F,,0))</f>
        <v>No</v>
      </c>
      <c r="M165" t="str">
        <f>IF(_xlfn.XLOOKUP(D165,product!$A:$A,product!G:G,,0)=0,"",_xlfn.XLOOKUP(D165,product!$A:$A,product!G:G,,0))</f>
        <v>None</v>
      </c>
      <c r="N165" t="str">
        <f>IF(_xlfn.XLOOKUP(D165,product!$A:$A,product!$B:$B,,0)=0,"",_xlfn.XLOOKUP(D165,product!$A:$A,product!$B:$B,,0))</f>
        <v>Journey Power</v>
      </c>
    </row>
    <row r="166" spans="1:14" x14ac:dyDescent="0.35">
      <c r="A166" t="s">
        <v>916</v>
      </c>
      <c r="B166" s="3">
        <v>45133</v>
      </c>
      <c r="C166" t="s">
        <v>2760</v>
      </c>
      <c r="D166" t="s">
        <v>5492</v>
      </c>
      <c r="E166">
        <v>2</v>
      </c>
      <c r="F166" t="str">
        <f>_xlfn.XLOOKUP(C166,customers!$A$1:$A$983,customers!$B$1:$B$983,,0)</f>
        <v>Anna Lopez</v>
      </c>
      <c r="G166" t="str">
        <f>_xlfn.XLOOKUP(C166,customers!$A:$A,customers!$C:$C,,0)</f>
        <v>anna.lopez597@outlook.com</v>
      </c>
      <c r="H166" t="str">
        <f>IF(_xlfn.XLOOKUP(C166,customers!$A:$A,customers!$G:$G,,0)=0,"",_xlfn.XLOOKUP(C166,customers!$A:$A,customers!$G:$G,,0))</f>
        <v>Japan</v>
      </c>
      <c r="I166" t="str">
        <f>IF(_xlfn.XLOOKUP(D166,product!$A:$A,product!$E:$E,,0)=0,"",_xlfn.XLOOKUP(D166,product!$A:$A,product!$E:$E,,0))</f>
        <v>BUSINESS</v>
      </c>
      <c r="J166" s="5">
        <f>IF(_xlfn.XLOOKUP(D166,product!$A:$A,product!$D:$D,,0)=0,"",_xlfn.XLOOKUP(D166,product!$A:$A,product!$D:$D,,0))</f>
        <v>14.38</v>
      </c>
      <c r="K166" s="7">
        <f t="shared" si="2"/>
        <v>28.76</v>
      </c>
      <c r="L166" s="10" t="str">
        <f>IF(_xlfn.XLOOKUP(D166,product!$A:$A,product!$F:$F,,0)=0,"",_xlfn.XLOOKUP(D166,product!$A:$A,product!$F:$F,,0))</f>
        <v>No</v>
      </c>
      <c r="M166" t="str">
        <f>IF(_xlfn.XLOOKUP(D166,product!$A:$A,product!G:G,,0)=0,"",_xlfn.XLOOKUP(D166,product!$A:$A,product!G:G,,0))</f>
        <v>None</v>
      </c>
      <c r="N166" t="str">
        <f>IF(_xlfn.XLOOKUP(D166,product!$A:$A,product!$B:$B,,0)=0,"",_xlfn.XLOOKUP(D166,product!$A:$A,product!$B:$B,,0))</f>
        <v>Science Journey</v>
      </c>
    </row>
    <row r="167" spans="1:14" x14ac:dyDescent="0.35">
      <c r="A167" t="s">
        <v>933</v>
      </c>
      <c r="B167" s="3">
        <v>45513</v>
      </c>
      <c r="C167" t="s">
        <v>2669</v>
      </c>
      <c r="D167" t="s">
        <v>5493</v>
      </c>
      <c r="E167">
        <v>2</v>
      </c>
      <c r="F167" t="str">
        <f>_xlfn.XLOOKUP(C167,customers!$A$1:$A$983,customers!$B$1:$B$983,,0)</f>
        <v>Anna Lee</v>
      </c>
      <c r="G167" t="str">
        <f>_xlfn.XLOOKUP(C167,customers!$A:$A,customers!$C:$C,,0)</f>
        <v>anna.lee553@hotmail.com</v>
      </c>
      <c r="H167" t="str">
        <f>IF(_xlfn.XLOOKUP(C167,customers!$A:$A,customers!$G:$G,,0)=0,"",_xlfn.XLOOKUP(C167,customers!$A:$A,customers!$G:$G,,0))</f>
        <v>Sweden</v>
      </c>
      <c r="I167" t="str">
        <f>IF(_xlfn.XLOOKUP(D167,product!$A:$A,product!$E:$E,,0)=0,"",_xlfn.XLOOKUP(D167,product!$A:$A,product!$E:$E,,0))</f>
        <v>HISTORY</v>
      </c>
      <c r="J167" s="5">
        <f>IF(_xlfn.XLOOKUP(D167,product!$A:$A,product!$D:$D,,0)=0,"",_xlfn.XLOOKUP(D167,product!$A:$A,product!$D:$D,,0))</f>
        <v>38.299999999999997</v>
      </c>
      <c r="K167" s="7">
        <f t="shared" si="2"/>
        <v>76.599999999999994</v>
      </c>
      <c r="L167" s="10" t="str">
        <f>IF(_xlfn.XLOOKUP(D167,product!$A:$A,product!$F:$F,,0)=0,"",_xlfn.XLOOKUP(D167,product!$A:$A,product!$F:$F,,0))</f>
        <v>No</v>
      </c>
      <c r="M167" t="str">
        <f>IF(_xlfn.XLOOKUP(D167,product!$A:$A,product!G:G,,0)=0,"",_xlfn.XLOOKUP(D167,product!$A:$A,product!G:G,,0))</f>
        <v>None</v>
      </c>
      <c r="N167" t="str">
        <f>IF(_xlfn.XLOOKUP(D167,product!$A:$A,product!$B:$B,,0)=0,"",_xlfn.XLOOKUP(D167,product!$A:$A,product!$B:$B,,0))</f>
        <v>Quantum Future</v>
      </c>
    </row>
    <row r="168" spans="1:14" x14ac:dyDescent="0.35">
      <c r="A168" t="s">
        <v>950</v>
      </c>
      <c r="B168" s="3">
        <v>44938</v>
      </c>
      <c r="C168" t="s">
        <v>2308</v>
      </c>
      <c r="D168" t="s">
        <v>5495</v>
      </c>
      <c r="E168">
        <v>2</v>
      </c>
      <c r="F168" t="str">
        <f>_xlfn.XLOOKUP(C168,customers!$A$1:$A$983,customers!$B$1:$B$983,,0)</f>
        <v>Robert Smith</v>
      </c>
      <c r="G168" t="str">
        <f>_xlfn.XLOOKUP(C168,customers!$A:$A,customers!$C:$C,,0)</f>
        <v>robert.smith383@outlook.com</v>
      </c>
      <c r="H168" t="str">
        <f>IF(_xlfn.XLOOKUP(C168,customers!$A:$A,customers!$G:$G,,0)=0,"",_xlfn.XLOOKUP(C168,customers!$A:$A,customers!$G:$G,,0))</f>
        <v>Egypt</v>
      </c>
      <c r="I168" t="str">
        <f>IF(_xlfn.XLOOKUP(D168,product!$A:$A,product!$E:$E,,0)=0,"",_xlfn.XLOOKUP(D168,product!$A:$A,product!$E:$E,,0))</f>
        <v>SCIENCE</v>
      </c>
      <c r="J168" s="5">
        <f>IF(_xlfn.XLOOKUP(D168,product!$A:$A,product!$D:$D,,0)=0,"",_xlfn.XLOOKUP(D168,product!$A:$A,product!$D:$D,,0))</f>
        <v>35.75</v>
      </c>
      <c r="K168" s="7">
        <f t="shared" si="2"/>
        <v>71.5</v>
      </c>
      <c r="L168" s="10" t="str">
        <f>IF(_xlfn.XLOOKUP(D168,product!$A:$A,product!$F:$F,,0)=0,"",_xlfn.XLOOKUP(D168,product!$A:$A,product!$F:$F,,0))</f>
        <v>No</v>
      </c>
      <c r="M168" t="str">
        <f>IF(_xlfn.XLOOKUP(D168,product!$A:$A,product!G:G,,0)=0,"",_xlfn.XLOOKUP(D168,product!$A:$A,product!G:G,,0))</f>
        <v>None</v>
      </c>
      <c r="N168" t="str">
        <f>IF(_xlfn.XLOOKUP(D168,product!$A:$A,product!$B:$B,,0)=0,"",_xlfn.XLOOKUP(D168,product!$A:$A,product!$B:$B,,0))</f>
        <v>Mind Secrets</v>
      </c>
    </row>
    <row r="169" spans="1:14" x14ac:dyDescent="0.35">
      <c r="A169" t="s">
        <v>967</v>
      </c>
      <c r="B169" s="3">
        <v>45399</v>
      </c>
      <c r="C169" t="s">
        <v>2059</v>
      </c>
      <c r="D169" t="s">
        <v>5496</v>
      </c>
      <c r="E169">
        <v>2</v>
      </c>
      <c r="F169" t="str">
        <f>_xlfn.XLOOKUP(C169,customers!$A$1:$A$983,customers!$B$1:$B$983,,0)</f>
        <v>Emily Baker</v>
      </c>
      <c r="G169" t="str">
        <f>_xlfn.XLOOKUP(C169,customers!$A:$A,customers!$C:$C,,0)</f>
        <v>emily.baker281@yahoo.com</v>
      </c>
      <c r="H169" t="str">
        <f>IF(_xlfn.XLOOKUP(C169,customers!$A:$A,customers!$G:$G,,0)=0,"",_xlfn.XLOOKUP(C169,customers!$A:$A,customers!$G:$G,,0))</f>
        <v>Pakistan</v>
      </c>
      <c r="I169" t="str">
        <f>IF(_xlfn.XLOOKUP(D169,product!$A:$A,product!$E:$E,,0)=0,"",_xlfn.XLOOKUP(D169,product!$A:$A,product!$E:$E,,0))</f>
        <v>HISTORY</v>
      </c>
      <c r="J169" s="5">
        <f>IF(_xlfn.XLOOKUP(D169,product!$A:$A,product!$D:$D,,0)=0,"",_xlfn.XLOOKUP(D169,product!$A:$A,product!$D:$D,,0))</f>
        <v>23.82</v>
      </c>
      <c r="K169" s="7">
        <f t="shared" si="2"/>
        <v>47.64</v>
      </c>
      <c r="L169" s="10" t="str">
        <f>IF(_xlfn.XLOOKUP(D169,product!$A:$A,product!$F:$F,,0)=0,"",_xlfn.XLOOKUP(D169,product!$A:$A,product!$F:$F,,0))</f>
        <v>No</v>
      </c>
      <c r="M169" t="str">
        <f>IF(_xlfn.XLOOKUP(D169,product!$A:$A,product!G:G,,0)=0,"",_xlfn.XLOOKUP(D169,product!$A:$A,product!G:G,,0))</f>
        <v>Gold</v>
      </c>
      <c r="N169" t="str">
        <f>IF(_xlfn.XLOOKUP(D169,product!$A:$A,product!$B:$B,,0)=0,"",_xlfn.XLOOKUP(D169,product!$A:$A,product!$B:$B,,0))</f>
        <v>Science Future</v>
      </c>
    </row>
    <row r="170" spans="1:14" x14ac:dyDescent="0.35">
      <c r="A170" t="s">
        <v>984</v>
      </c>
      <c r="B170" s="3">
        <v>45179</v>
      </c>
      <c r="C170" t="s">
        <v>2553</v>
      </c>
      <c r="D170" t="s">
        <v>5498</v>
      </c>
      <c r="E170">
        <v>2</v>
      </c>
      <c r="F170" t="str">
        <f>_xlfn.XLOOKUP(C170,customers!$A$1:$A$983,customers!$B$1:$B$983,,0)</f>
        <v>Olivia Thompson</v>
      </c>
      <c r="G170" t="str">
        <f>_xlfn.XLOOKUP(C170,customers!$A:$A,customers!$C:$C,,0)</f>
        <v>olivia.thompson497@hotmail.com</v>
      </c>
      <c r="H170" t="str">
        <f>IF(_xlfn.XLOOKUP(C170,customers!$A:$A,customers!$G:$G,,0)=0,"",_xlfn.XLOOKUP(C170,customers!$A:$A,customers!$G:$G,,0))</f>
        <v>Pakistan</v>
      </c>
      <c r="I170" t="str">
        <f>IF(_xlfn.XLOOKUP(D170,product!$A:$A,product!$E:$E,,0)=0,"",_xlfn.XLOOKUP(D170,product!$A:$A,product!$E:$E,,0))</f>
        <v>FICTION</v>
      </c>
      <c r="J170" s="5">
        <f>IF(_xlfn.XLOOKUP(D170,product!$A:$A,product!$D:$D,,0)=0,"",_xlfn.XLOOKUP(D170,product!$A:$A,product!$D:$D,,0))</f>
        <v>33.82</v>
      </c>
      <c r="K170" s="7">
        <f t="shared" si="2"/>
        <v>67.64</v>
      </c>
      <c r="L170" s="10" t="str">
        <f>IF(_xlfn.XLOOKUP(D170,product!$A:$A,product!$F:$F,,0)=0,"",_xlfn.XLOOKUP(D170,product!$A:$A,product!$F:$F,,0))</f>
        <v>No</v>
      </c>
      <c r="M170" t="str">
        <f>IF(_xlfn.XLOOKUP(D170,product!$A:$A,product!G:G,,0)=0,"",_xlfn.XLOOKUP(D170,product!$A:$A,product!G:G,,0))</f>
        <v>Gold</v>
      </c>
      <c r="N170" t="str">
        <f>IF(_xlfn.XLOOKUP(D170,product!$A:$A,product!$B:$B,,0)=0,"",_xlfn.XLOOKUP(D170,product!$A:$A,product!$B:$B,,0))</f>
        <v>Forest Journey</v>
      </c>
    </row>
    <row r="171" spans="1:14" x14ac:dyDescent="0.35">
      <c r="A171" t="s">
        <v>1001</v>
      </c>
      <c r="B171" s="3">
        <v>45647</v>
      </c>
      <c r="C171" t="s">
        <v>3064</v>
      </c>
      <c r="D171" t="s">
        <v>5500</v>
      </c>
      <c r="E171">
        <v>2</v>
      </c>
      <c r="F171" t="str">
        <f>_xlfn.XLOOKUP(C171,customers!$A$1:$A$983,customers!$B$1:$B$983,,0)</f>
        <v>Amelia Martin</v>
      </c>
      <c r="G171" t="str">
        <f>_xlfn.XLOOKUP(C171,customers!$A:$A,customers!$C:$C,,0)</f>
        <v>amelia.martin744@gmail.com</v>
      </c>
      <c r="H171" t="str">
        <f>IF(_xlfn.XLOOKUP(C171,customers!$A:$A,customers!$G:$G,,0)=0,"",_xlfn.XLOOKUP(C171,customers!$A:$A,customers!$G:$G,,0))</f>
        <v>Spain</v>
      </c>
      <c r="I171" t="str">
        <f>IF(_xlfn.XLOOKUP(D171,product!$A:$A,product!$E:$E,,0)=0,"",_xlfn.XLOOKUP(D171,product!$A:$A,product!$E:$E,,0))</f>
        <v>SCIENCE</v>
      </c>
      <c r="J171" s="5">
        <f>IF(_xlfn.XLOOKUP(D171,product!$A:$A,product!$D:$D,,0)=0,"",_xlfn.XLOOKUP(D171,product!$A:$A,product!$D:$D,,0))</f>
        <v>10.87</v>
      </c>
      <c r="K171" s="7">
        <f t="shared" si="2"/>
        <v>21.74</v>
      </c>
      <c r="L171" s="10" t="str">
        <f>IF(_xlfn.XLOOKUP(D171,product!$A:$A,product!$F:$F,,0)=0,"",_xlfn.XLOOKUP(D171,product!$A:$A,product!$F:$F,,0))</f>
        <v>Yes</v>
      </c>
      <c r="M171" t="str">
        <f>IF(_xlfn.XLOOKUP(D171,product!$A:$A,product!G:G,,0)=0,"",_xlfn.XLOOKUP(D171,product!$A:$A,product!G:G,,0))</f>
        <v>Gold</v>
      </c>
      <c r="N171" t="str">
        <f>IF(_xlfn.XLOOKUP(D171,product!$A:$A,product!$B:$B,,0)=0,"",_xlfn.XLOOKUP(D171,product!$A:$A,product!$B:$B,,0))</f>
        <v>Quantum Power</v>
      </c>
    </row>
    <row r="172" spans="1:14" x14ac:dyDescent="0.35">
      <c r="A172" t="s">
        <v>1018</v>
      </c>
      <c r="B172" s="3">
        <v>44998</v>
      </c>
      <c r="C172" t="s">
        <v>1405</v>
      </c>
      <c r="D172" t="s">
        <v>5501</v>
      </c>
      <c r="E172">
        <v>2</v>
      </c>
      <c r="F172" t="str">
        <f>_xlfn.XLOOKUP(C172,customers!$A$1:$A$983,customers!$B$1:$B$983,,0)</f>
        <v>Olivia Johnson</v>
      </c>
      <c r="G172" t="str">
        <f>_xlfn.XLOOKUP(C172,customers!$A:$A,customers!$C:$C,,0)</f>
        <v>olivia.johnson94@hotmail.com</v>
      </c>
      <c r="H172" t="str">
        <f>IF(_xlfn.XLOOKUP(C172,customers!$A:$A,customers!$G:$G,,0)=0,"",_xlfn.XLOOKUP(C172,customers!$A:$A,customers!$G:$G,,0))</f>
        <v>Sweden</v>
      </c>
      <c r="I172" t="str">
        <f>IF(_xlfn.XLOOKUP(D172,product!$A:$A,product!$E:$E,,0)=0,"",_xlfn.XLOOKUP(D172,product!$A:$A,product!$E:$E,,0))</f>
        <v>TECH</v>
      </c>
      <c r="J172" s="5">
        <f>IF(_xlfn.XLOOKUP(D172,product!$A:$A,product!$D:$D,,0)=0,"",_xlfn.XLOOKUP(D172,product!$A:$A,product!$D:$D,,0))</f>
        <v>15.84</v>
      </c>
      <c r="K172" s="7">
        <f t="shared" si="2"/>
        <v>31.68</v>
      </c>
      <c r="L172" s="10" t="str">
        <f>IF(_xlfn.XLOOKUP(D172,product!$A:$A,product!$F:$F,,0)=0,"",_xlfn.XLOOKUP(D172,product!$A:$A,product!$F:$F,,0))</f>
        <v>Yes</v>
      </c>
      <c r="M172" t="str">
        <f>IF(_xlfn.XLOOKUP(D172,product!$A:$A,product!G:G,,0)=0,"",_xlfn.XLOOKUP(D172,product!$A:$A,product!G:G,,0))</f>
        <v>None</v>
      </c>
      <c r="N172" t="str">
        <f>IF(_xlfn.XLOOKUP(D172,product!$A:$A,product!$B:$B,,0)=0,"",_xlfn.XLOOKUP(D172,product!$A:$A,product!$B:$B,,0))</f>
        <v>Journey Secrets</v>
      </c>
    </row>
    <row r="173" spans="1:14" x14ac:dyDescent="0.35">
      <c r="A173" t="s">
        <v>1035</v>
      </c>
      <c r="B173" s="3">
        <v>45327</v>
      </c>
      <c r="C173" t="s">
        <v>2511</v>
      </c>
      <c r="D173" t="s">
        <v>5503</v>
      </c>
      <c r="E173">
        <v>2</v>
      </c>
      <c r="F173" t="str">
        <f>_xlfn.XLOOKUP(C173,customers!$A$1:$A$983,customers!$B$1:$B$983,,0)</f>
        <v>Anna Young</v>
      </c>
      <c r="G173" t="str">
        <f>_xlfn.XLOOKUP(C173,customers!$A:$A,customers!$C:$C,,0)</f>
        <v>anna.young477@gmail.com</v>
      </c>
      <c r="H173" t="str">
        <f>IF(_xlfn.XLOOKUP(C173,customers!$A:$A,customers!$G:$G,,0)=0,"",_xlfn.XLOOKUP(C173,customers!$A:$A,customers!$G:$G,,0))</f>
        <v>Germany</v>
      </c>
      <c r="I173" t="str">
        <f>IF(_xlfn.XLOOKUP(D173,product!$A:$A,product!$E:$E,,0)=0,"",_xlfn.XLOOKUP(D173,product!$A:$A,product!$E:$E,,0))</f>
        <v>FICTION</v>
      </c>
      <c r="J173" s="5">
        <f>IF(_xlfn.XLOOKUP(D173,product!$A:$A,product!$D:$D,,0)=0,"",_xlfn.XLOOKUP(D173,product!$A:$A,product!$D:$D,,0))</f>
        <v>30.18</v>
      </c>
      <c r="K173" s="7">
        <f t="shared" si="2"/>
        <v>60.36</v>
      </c>
      <c r="L173" s="10" t="str">
        <f>IF(_xlfn.XLOOKUP(D173,product!$A:$A,product!$F:$F,,0)=0,"",_xlfn.XLOOKUP(D173,product!$A:$A,product!$F:$F,,0))</f>
        <v>No</v>
      </c>
      <c r="M173" t="str">
        <f>IF(_xlfn.XLOOKUP(D173,product!$A:$A,product!G:G,,0)=0,"",_xlfn.XLOOKUP(D173,product!$A:$A,product!G:G,,0))</f>
        <v>Gold</v>
      </c>
      <c r="N173" t="str">
        <f>IF(_xlfn.XLOOKUP(D173,product!$A:$A,product!$B:$B,,0)=0,"",_xlfn.XLOOKUP(D173,product!$A:$A,product!$B:$B,,0))</f>
        <v>Mind Forest</v>
      </c>
    </row>
    <row r="174" spans="1:14" x14ac:dyDescent="0.35">
      <c r="A174" t="s">
        <v>1052</v>
      </c>
      <c r="B174" s="3">
        <v>45160</v>
      </c>
      <c r="C174" t="s">
        <v>2567</v>
      </c>
      <c r="D174" t="s">
        <v>5506</v>
      </c>
      <c r="E174">
        <v>2</v>
      </c>
      <c r="F174" t="str">
        <f>_xlfn.XLOOKUP(C174,customers!$A$1:$A$983,customers!$B$1:$B$983,,0)</f>
        <v>Lucy Lopez</v>
      </c>
      <c r="G174" t="str">
        <f>_xlfn.XLOOKUP(C174,customers!$A:$A,customers!$C:$C,,0)</f>
        <v>lucy.lopez504@outlook.com</v>
      </c>
      <c r="H174" t="str">
        <f>IF(_xlfn.XLOOKUP(C174,customers!$A:$A,customers!$G:$G,,0)=0,"",_xlfn.XLOOKUP(C174,customers!$A:$A,customers!$G:$G,,0))</f>
        <v>Germany</v>
      </c>
      <c r="I174" t="str">
        <f>IF(_xlfn.XLOOKUP(D174,product!$A:$A,product!$E:$E,,0)=0,"",_xlfn.XLOOKUP(D174,product!$A:$A,product!$E:$E,,0))</f>
        <v>HISTORY</v>
      </c>
      <c r="J174" s="5">
        <f>IF(_xlfn.XLOOKUP(D174,product!$A:$A,product!$D:$D,,0)=0,"",_xlfn.XLOOKUP(D174,product!$A:$A,product!$D:$D,,0))</f>
        <v>21.41</v>
      </c>
      <c r="K174" s="7">
        <f t="shared" si="2"/>
        <v>42.82</v>
      </c>
      <c r="L174" s="10" t="str">
        <f>IF(_xlfn.XLOOKUP(D174,product!$A:$A,product!$F:$F,,0)=0,"",_xlfn.XLOOKUP(D174,product!$A:$A,product!$F:$F,,0))</f>
        <v>No</v>
      </c>
      <c r="M174" t="str">
        <f>IF(_xlfn.XLOOKUP(D174,product!$A:$A,product!G:G,,0)=0,"",_xlfn.XLOOKUP(D174,product!$A:$A,product!G:G,,0))</f>
        <v>None</v>
      </c>
      <c r="N174" t="str">
        <f>IF(_xlfn.XLOOKUP(D174,product!$A:$A,product!$B:$B,,0)=0,"",_xlfn.XLOOKUP(D174,product!$A:$A,product!$B:$B,,0))</f>
        <v>Silent Future</v>
      </c>
    </row>
    <row r="175" spans="1:14" x14ac:dyDescent="0.35">
      <c r="A175" t="s">
        <v>18</v>
      </c>
      <c r="B175" s="3">
        <v>45424</v>
      </c>
      <c r="C175" t="s">
        <v>3370</v>
      </c>
      <c r="D175" t="s">
        <v>5507</v>
      </c>
      <c r="E175">
        <v>3</v>
      </c>
      <c r="F175" t="str">
        <f>_xlfn.XLOOKUP(C175,customers!$A$1:$A$983,customers!$B$1:$B$983,,0)</f>
        <v>Steven Rodriguez</v>
      </c>
      <c r="G175" t="str">
        <f>_xlfn.XLOOKUP(C175,customers!$A:$A,customers!$C:$C,,0)</f>
        <v>steven.rodriguez899@hotmail.com</v>
      </c>
      <c r="H175" t="str">
        <f>IF(_xlfn.XLOOKUP(C175,customers!$A:$A,customers!$G:$G,,0)=0,"",_xlfn.XLOOKUP(C175,customers!$A:$A,customers!$G:$G,,0))</f>
        <v>Singapore</v>
      </c>
      <c r="I175" t="str">
        <f>IF(_xlfn.XLOOKUP(D175,product!$A:$A,product!$E:$E,,0)=0,"",_xlfn.XLOOKUP(D175,product!$A:$A,product!$E:$E,,0))</f>
        <v>SCIENCE</v>
      </c>
      <c r="J175" s="5">
        <f>IF(_xlfn.XLOOKUP(D175,product!$A:$A,product!$D:$D,,0)=0,"",_xlfn.XLOOKUP(D175,product!$A:$A,product!$D:$D,,0))</f>
        <v>32.11</v>
      </c>
      <c r="K175" s="7">
        <f t="shared" si="2"/>
        <v>96.33</v>
      </c>
      <c r="L175" s="10" t="str">
        <f>IF(_xlfn.XLOOKUP(D175,product!$A:$A,product!$F:$F,,0)=0,"",_xlfn.XLOOKUP(D175,product!$A:$A,product!$F:$F,,0))</f>
        <v>No</v>
      </c>
      <c r="M175" t="str">
        <f>IF(_xlfn.XLOOKUP(D175,product!$A:$A,product!G:G,,0)=0,"",_xlfn.XLOOKUP(D175,product!$A:$A,product!G:G,,0))</f>
        <v>Gold</v>
      </c>
      <c r="N175" t="str">
        <f>IF(_xlfn.XLOOKUP(D175,product!$A:$A,product!$B:$B,,0)=0,"",_xlfn.XLOOKUP(D175,product!$A:$A,product!$B:$B,,0))</f>
        <v>Science Forest</v>
      </c>
    </row>
    <row r="176" spans="1:14" x14ac:dyDescent="0.35">
      <c r="A176" t="s">
        <v>29</v>
      </c>
      <c r="B176" s="3">
        <v>45245</v>
      </c>
      <c r="C176" t="s">
        <v>1751</v>
      </c>
      <c r="D176" t="s">
        <v>5508</v>
      </c>
      <c r="E176">
        <v>1</v>
      </c>
      <c r="F176" t="str">
        <f>_xlfn.XLOOKUP(C176,customers!$A$1:$A$983,customers!$B$1:$B$983,,0)</f>
        <v>Edward Scott</v>
      </c>
      <c r="G176" t="str">
        <f>_xlfn.XLOOKUP(C176,customers!$A:$A,customers!$C:$C,,0)</f>
        <v>edward.scott184@gmail.com</v>
      </c>
      <c r="H176" t="str">
        <f>IF(_xlfn.XLOOKUP(C176,customers!$A:$A,customers!$G:$G,,0)=0,"",_xlfn.XLOOKUP(C176,customers!$A:$A,customers!$G:$G,,0))</f>
        <v>Sweden</v>
      </c>
      <c r="I176" t="str">
        <f>IF(_xlfn.XLOOKUP(D176,product!$A:$A,product!$E:$E,,0)=0,"",_xlfn.XLOOKUP(D176,product!$A:$A,product!$E:$E,,0))</f>
        <v>BUSINESS</v>
      </c>
      <c r="J176" s="5">
        <f>IF(_xlfn.XLOOKUP(D176,product!$A:$A,product!$D:$D,,0)=0,"",_xlfn.XLOOKUP(D176,product!$A:$A,product!$D:$D,,0))</f>
        <v>20.73</v>
      </c>
      <c r="K176" s="7">
        <f t="shared" si="2"/>
        <v>20.73</v>
      </c>
      <c r="L176" s="10" t="str">
        <f>IF(_xlfn.XLOOKUP(D176,product!$A:$A,product!$F:$F,,0)=0,"",_xlfn.XLOOKUP(D176,product!$A:$A,product!$F:$F,,0))</f>
        <v>No</v>
      </c>
      <c r="M176" t="str">
        <f>IF(_xlfn.XLOOKUP(D176,product!$A:$A,product!G:G,,0)=0,"",_xlfn.XLOOKUP(D176,product!$A:$A,product!G:G,,0))</f>
        <v>Silver</v>
      </c>
      <c r="N176" t="str">
        <f>IF(_xlfn.XLOOKUP(D176,product!$A:$A,product!$B:$B,,0)=0,"",_xlfn.XLOOKUP(D176,product!$A:$A,product!$B:$B,,0))</f>
        <v>Power Secrets</v>
      </c>
    </row>
    <row r="177" spans="1:14" x14ac:dyDescent="0.35">
      <c r="A177" t="s">
        <v>46</v>
      </c>
      <c r="B177" s="3">
        <v>45492</v>
      </c>
      <c r="C177" t="s">
        <v>1373</v>
      </c>
      <c r="D177" t="s">
        <v>5509</v>
      </c>
      <c r="E177">
        <v>3</v>
      </c>
      <c r="F177" t="str">
        <f>_xlfn.XLOOKUP(C177,customers!$A$1:$A$983,customers!$B$1:$B$983,,0)</f>
        <v>Brian Robinson</v>
      </c>
      <c r="G177" t="str">
        <f>_xlfn.XLOOKUP(C177,customers!$A:$A,customers!$C:$C,,0)</f>
        <v>brian.robinson84@gmail.com</v>
      </c>
      <c r="H177" t="str">
        <f>IF(_xlfn.XLOOKUP(C177,customers!$A:$A,customers!$G:$G,,0)=0,"",_xlfn.XLOOKUP(C177,customers!$A:$A,customers!$G:$G,,0))</f>
        <v>Japan</v>
      </c>
      <c r="I177" t="str">
        <f>IF(_xlfn.XLOOKUP(D177,product!$A:$A,product!$E:$E,,0)=0,"",_xlfn.XLOOKUP(D177,product!$A:$A,product!$E:$E,,0))</f>
        <v>SCIENCE</v>
      </c>
      <c r="J177" s="5">
        <f>IF(_xlfn.XLOOKUP(D177,product!$A:$A,product!$D:$D,,0)=0,"",_xlfn.XLOOKUP(D177,product!$A:$A,product!$D:$D,,0))</f>
        <v>30.52</v>
      </c>
      <c r="K177" s="7">
        <f t="shared" si="2"/>
        <v>91.56</v>
      </c>
      <c r="L177" s="10" t="str">
        <f>IF(_xlfn.XLOOKUP(D177,product!$A:$A,product!$F:$F,,0)=0,"",_xlfn.XLOOKUP(D177,product!$A:$A,product!$F:$F,,0))</f>
        <v>No</v>
      </c>
      <c r="M177" t="str">
        <f>IF(_xlfn.XLOOKUP(D177,product!$A:$A,product!G:G,,0)=0,"",_xlfn.XLOOKUP(D177,product!$A:$A,product!G:G,,0))</f>
        <v>None</v>
      </c>
      <c r="N177" t="str">
        <f>IF(_xlfn.XLOOKUP(D177,product!$A:$A,product!$B:$B,,0)=0,"",_xlfn.XLOOKUP(D177,product!$A:$A,product!$B:$B,,0))</f>
        <v>Forest Journey</v>
      </c>
    </row>
    <row r="178" spans="1:14" x14ac:dyDescent="0.35">
      <c r="A178" t="s">
        <v>133</v>
      </c>
      <c r="B178" s="3">
        <v>45078</v>
      </c>
      <c r="C178" t="s">
        <v>1725</v>
      </c>
      <c r="D178" t="s">
        <v>5511</v>
      </c>
      <c r="E178">
        <v>1</v>
      </c>
      <c r="F178" t="str">
        <f>_xlfn.XLOOKUP(C178,customers!$A$1:$A$983,customers!$B$1:$B$983,,0)</f>
        <v>Anthony Martinez</v>
      </c>
      <c r="G178" t="str">
        <f>_xlfn.XLOOKUP(C178,customers!$A:$A,customers!$C:$C,,0)</f>
        <v>anthony.martinez177@gmail.com</v>
      </c>
      <c r="H178" t="str">
        <f>IF(_xlfn.XLOOKUP(C178,customers!$A:$A,customers!$G:$G,,0)=0,"",_xlfn.XLOOKUP(C178,customers!$A:$A,customers!$G:$G,,0))</f>
        <v>Spain</v>
      </c>
      <c r="I178" t="str">
        <f>IF(_xlfn.XLOOKUP(D178,product!$A:$A,product!$E:$E,,0)=0,"",_xlfn.XLOOKUP(D178,product!$A:$A,product!$E:$E,,0))</f>
        <v>SCIENCE</v>
      </c>
      <c r="J178" s="5">
        <f>IF(_xlfn.XLOOKUP(D178,product!$A:$A,product!$D:$D,,0)=0,"",_xlfn.XLOOKUP(D178,product!$A:$A,product!$D:$D,,0))</f>
        <v>12.67</v>
      </c>
      <c r="K178" s="7">
        <f t="shared" si="2"/>
        <v>12.67</v>
      </c>
      <c r="L178" s="10" t="str">
        <f>IF(_xlfn.XLOOKUP(D178,product!$A:$A,product!$F:$F,,0)=0,"",_xlfn.XLOOKUP(D178,product!$A:$A,product!$F:$F,,0))</f>
        <v>No</v>
      </c>
      <c r="M178" t="str">
        <f>IF(_xlfn.XLOOKUP(D178,product!$A:$A,product!G:G,,0)=0,"",_xlfn.XLOOKUP(D178,product!$A:$A,product!G:G,,0))</f>
        <v>None</v>
      </c>
      <c r="N178" t="str">
        <f>IF(_xlfn.XLOOKUP(D178,product!$A:$A,product!$B:$B,,0)=0,"",_xlfn.XLOOKUP(D178,product!$A:$A,product!$B:$B,,0))</f>
        <v>Silent Journey</v>
      </c>
    </row>
    <row r="179" spans="1:14" x14ac:dyDescent="0.35">
      <c r="A179" t="s">
        <v>150</v>
      </c>
      <c r="B179" s="3">
        <v>45564</v>
      </c>
      <c r="C179" t="s">
        <v>2474</v>
      </c>
      <c r="D179" t="s">
        <v>5512</v>
      </c>
      <c r="E179">
        <v>2</v>
      </c>
      <c r="F179" t="str">
        <f>_xlfn.XLOOKUP(C179,customers!$A$1:$A$983,customers!$B$1:$B$983,,0)</f>
        <v>Emma Walker</v>
      </c>
      <c r="G179" t="str">
        <f>_xlfn.XLOOKUP(C179,customers!$A:$A,customers!$C:$C,,0)</f>
        <v>emma.walker459@hotmail.com</v>
      </c>
      <c r="H179" t="str">
        <f>IF(_xlfn.XLOOKUP(C179,customers!$A:$A,customers!$G:$G,,0)=0,"",_xlfn.XLOOKUP(C179,customers!$A:$A,customers!$G:$G,,0))</f>
        <v>Germany</v>
      </c>
      <c r="I179" t="str">
        <f>IF(_xlfn.XLOOKUP(D179,product!$A:$A,product!$E:$E,,0)=0,"",_xlfn.XLOOKUP(D179,product!$A:$A,product!$E:$E,,0))</f>
        <v>HISTORY</v>
      </c>
      <c r="J179" s="5">
        <f>IF(_xlfn.XLOOKUP(D179,product!$A:$A,product!$D:$D,,0)=0,"",_xlfn.XLOOKUP(D179,product!$A:$A,product!$D:$D,,0))</f>
        <v>19.309999999999999</v>
      </c>
      <c r="K179" s="7">
        <f t="shared" si="2"/>
        <v>38.619999999999997</v>
      </c>
      <c r="L179" s="10" t="str">
        <f>IF(_xlfn.XLOOKUP(D179,product!$A:$A,product!$F:$F,,0)=0,"",_xlfn.XLOOKUP(D179,product!$A:$A,product!$F:$F,,0))</f>
        <v>No</v>
      </c>
      <c r="M179" t="str">
        <f>IF(_xlfn.XLOOKUP(D179,product!$A:$A,product!G:G,,0)=0,"",_xlfn.XLOOKUP(D179,product!$A:$A,product!G:G,,0))</f>
        <v>Gold</v>
      </c>
      <c r="N179" t="str">
        <f>IF(_xlfn.XLOOKUP(D179,product!$A:$A,product!$B:$B,,0)=0,"",_xlfn.XLOOKUP(D179,product!$A:$A,product!$B:$B,,0))</f>
        <v>Data Quantum</v>
      </c>
    </row>
    <row r="180" spans="1:14" x14ac:dyDescent="0.35">
      <c r="A180" t="s">
        <v>167</v>
      </c>
      <c r="B180" s="3">
        <v>45040</v>
      </c>
      <c r="C180" t="s">
        <v>2735</v>
      </c>
      <c r="D180" t="s">
        <v>5513</v>
      </c>
      <c r="E180">
        <v>3</v>
      </c>
      <c r="F180" t="str">
        <f>_xlfn.XLOOKUP(C180,customers!$A$1:$A$983,customers!$B$1:$B$983,,0)</f>
        <v>Mark Green</v>
      </c>
      <c r="G180" t="str">
        <f>_xlfn.XLOOKUP(C180,customers!$A:$A,customers!$C:$C,,0)</f>
        <v>mark.green585@gmail.com</v>
      </c>
      <c r="H180" t="str">
        <f>IF(_xlfn.XLOOKUP(C180,customers!$A:$A,customers!$G:$G,,0)=0,"",_xlfn.XLOOKUP(C180,customers!$A:$A,customers!$G:$G,,0))</f>
        <v>Germany</v>
      </c>
      <c r="I180" t="str">
        <f>IF(_xlfn.XLOOKUP(D180,product!$A:$A,product!$E:$E,,0)=0,"",_xlfn.XLOOKUP(D180,product!$A:$A,product!$E:$E,,0))</f>
        <v>SCIENCE</v>
      </c>
      <c r="J180" s="5">
        <f>IF(_xlfn.XLOOKUP(D180,product!$A:$A,product!$D:$D,,0)=0,"",_xlfn.XLOOKUP(D180,product!$A:$A,product!$D:$D,,0))</f>
        <v>32.78</v>
      </c>
      <c r="K180" s="7">
        <f t="shared" si="2"/>
        <v>98.34</v>
      </c>
      <c r="L180" s="10" t="str">
        <f>IF(_xlfn.XLOOKUP(D180,product!$A:$A,product!$F:$F,,0)=0,"",_xlfn.XLOOKUP(D180,product!$A:$A,product!$F:$F,,0))</f>
        <v>Yes</v>
      </c>
      <c r="M180" t="str">
        <f>IF(_xlfn.XLOOKUP(D180,product!$A:$A,product!G:G,,0)=0,"",_xlfn.XLOOKUP(D180,product!$A:$A,product!G:G,,0))</f>
        <v>Silver</v>
      </c>
      <c r="N180" t="str">
        <f>IF(_xlfn.XLOOKUP(D180,product!$A:$A,product!$B:$B,,0)=0,"",_xlfn.XLOOKUP(D180,product!$A:$A,product!$B:$B,,0))</f>
        <v>Data Secrets</v>
      </c>
    </row>
    <row r="181" spans="1:14" x14ac:dyDescent="0.35">
      <c r="A181" t="s">
        <v>184</v>
      </c>
      <c r="B181" s="3">
        <v>45294</v>
      </c>
      <c r="C181" t="s">
        <v>2515</v>
      </c>
      <c r="D181" t="s">
        <v>5514</v>
      </c>
      <c r="E181">
        <v>3</v>
      </c>
      <c r="F181" t="str">
        <f>_xlfn.XLOOKUP(C181,customers!$A$1:$A$983,customers!$B$1:$B$983,,0)</f>
        <v>Brian Robinson</v>
      </c>
      <c r="G181" t="str">
        <f>_xlfn.XLOOKUP(C181,customers!$A:$A,customers!$C:$C,,0)</f>
        <v>brian.robinson479@hotmail.com</v>
      </c>
      <c r="H181" t="str">
        <f>IF(_xlfn.XLOOKUP(C181,customers!$A:$A,customers!$G:$G,,0)=0,"",_xlfn.XLOOKUP(C181,customers!$A:$A,customers!$G:$G,,0))</f>
        <v>Pakistan</v>
      </c>
      <c r="I181" t="str">
        <f>IF(_xlfn.XLOOKUP(D181,product!$A:$A,product!$E:$E,,0)=0,"",_xlfn.XLOOKUP(D181,product!$A:$A,product!$E:$E,,0))</f>
        <v>SCIENCE</v>
      </c>
      <c r="J181" s="5">
        <f>IF(_xlfn.XLOOKUP(D181,product!$A:$A,product!$D:$D,,0)=0,"",_xlfn.XLOOKUP(D181,product!$A:$A,product!$D:$D,,0))</f>
        <v>26.02</v>
      </c>
      <c r="K181" s="7">
        <f t="shared" si="2"/>
        <v>78.06</v>
      </c>
      <c r="L181" s="10" t="str">
        <f>IF(_xlfn.XLOOKUP(D181,product!$A:$A,product!$F:$F,,0)=0,"",_xlfn.XLOOKUP(D181,product!$A:$A,product!$F:$F,,0))</f>
        <v>No</v>
      </c>
      <c r="M181" t="str">
        <f>IF(_xlfn.XLOOKUP(D181,product!$A:$A,product!G:G,,0)=0,"",_xlfn.XLOOKUP(D181,product!$A:$A,product!G:G,,0))</f>
        <v>Gold</v>
      </c>
      <c r="N181" t="str">
        <f>IF(_xlfn.XLOOKUP(D181,product!$A:$A,product!$B:$B,,0)=0,"",_xlfn.XLOOKUP(D181,product!$A:$A,product!$B:$B,,0))</f>
        <v>Quantum Science</v>
      </c>
    </row>
    <row r="182" spans="1:14" x14ac:dyDescent="0.35">
      <c r="A182" t="s">
        <v>201</v>
      </c>
      <c r="B182" s="3">
        <v>45210</v>
      </c>
      <c r="C182" t="s">
        <v>2489</v>
      </c>
      <c r="D182" t="s">
        <v>5517</v>
      </c>
      <c r="E182">
        <v>3</v>
      </c>
      <c r="F182" t="str">
        <f>_xlfn.XLOOKUP(C182,customers!$A$1:$A$983,customers!$B$1:$B$983,,0)</f>
        <v>Emma Scott</v>
      </c>
      <c r="G182" t="str">
        <f>_xlfn.XLOOKUP(C182,customers!$A:$A,customers!$C:$C,,0)</f>
        <v>emma.scott466@hotmail.com</v>
      </c>
      <c r="H182" t="str">
        <f>IF(_xlfn.XLOOKUP(C182,customers!$A:$A,customers!$G:$G,,0)=0,"",_xlfn.XLOOKUP(C182,customers!$A:$A,customers!$G:$G,,0))</f>
        <v>Japan</v>
      </c>
      <c r="I182" t="str">
        <f>IF(_xlfn.XLOOKUP(D182,product!$A:$A,product!$E:$E,,0)=0,"",_xlfn.XLOOKUP(D182,product!$A:$A,product!$E:$E,,0))</f>
        <v>FICTION</v>
      </c>
      <c r="J182" s="5">
        <f>IF(_xlfn.XLOOKUP(D182,product!$A:$A,product!$D:$D,,0)=0,"",_xlfn.XLOOKUP(D182,product!$A:$A,product!$D:$D,,0))</f>
        <v>26.95</v>
      </c>
      <c r="K182" s="7">
        <f t="shared" si="2"/>
        <v>80.849999999999994</v>
      </c>
      <c r="L182" s="10" t="str">
        <f>IF(_xlfn.XLOOKUP(D182,product!$A:$A,product!$F:$F,,0)=0,"",_xlfn.XLOOKUP(D182,product!$A:$A,product!$F:$F,,0))</f>
        <v>Yes</v>
      </c>
      <c r="M182" t="str">
        <f>IF(_xlfn.XLOOKUP(D182,product!$A:$A,product!G:G,,0)=0,"",_xlfn.XLOOKUP(D182,product!$A:$A,product!G:G,,0))</f>
        <v>Silver</v>
      </c>
      <c r="N182" t="str">
        <f>IF(_xlfn.XLOOKUP(D182,product!$A:$A,product!$B:$B,,0)=0,"",_xlfn.XLOOKUP(D182,product!$A:$A,product!$B:$B,,0))</f>
        <v>Journey Silent</v>
      </c>
    </row>
    <row r="183" spans="1:14" x14ac:dyDescent="0.35">
      <c r="A183" t="s">
        <v>218</v>
      </c>
      <c r="B183" s="3">
        <v>45617</v>
      </c>
      <c r="C183" t="s">
        <v>2435</v>
      </c>
      <c r="D183" t="s">
        <v>5518</v>
      </c>
      <c r="E183">
        <v>3</v>
      </c>
      <c r="F183" t="str">
        <f>_xlfn.XLOOKUP(C183,customers!$A$1:$A$983,customers!$B$1:$B$983,,0)</f>
        <v>Steven Wright</v>
      </c>
      <c r="G183" t="str">
        <f>_xlfn.XLOOKUP(C183,customers!$A:$A,customers!$C:$C,,0)</f>
        <v>steven.wright441@hotmail.com</v>
      </c>
      <c r="H183" t="str">
        <f>IF(_xlfn.XLOOKUP(C183,customers!$A:$A,customers!$G:$G,,0)=0,"",_xlfn.XLOOKUP(C183,customers!$A:$A,customers!$G:$G,,0))</f>
        <v>Germany</v>
      </c>
      <c r="I183" t="str">
        <f>IF(_xlfn.XLOOKUP(D183,product!$A:$A,product!$E:$E,,0)=0,"",_xlfn.XLOOKUP(D183,product!$A:$A,product!$E:$E,,0))</f>
        <v>SCIENCE</v>
      </c>
      <c r="J183" s="5">
        <f>IF(_xlfn.XLOOKUP(D183,product!$A:$A,product!$D:$D,,0)=0,"",_xlfn.XLOOKUP(D183,product!$A:$A,product!$D:$D,,0))</f>
        <v>35.6</v>
      </c>
      <c r="K183" s="7">
        <f t="shared" si="2"/>
        <v>106.80000000000001</v>
      </c>
      <c r="L183" s="10" t="str">
        <f>IF(_xlfn.XLOOKUP(D183,product!$A:$A,product!$F:$F,,0)=0,"",_xlfn.XLOOKUP(D183,product!$A:$A,product!$F:$F,,0))</f>
        <v>No</v>
      </c>
      <c r="M183" t="str">
        <f>IF(_xlfn.XLOOKUP(D183,product!$A:$A,product!G:G,,0)=0,"",_xlfn.XLOOKUP(D183,product!$A:$A,product!G:G,,0))</f>
        <v>None</v>
      </c>
      <c r="N183" t="str">
        <f>IF(_xlfn.XLOOKUP(D183,product!$A:$A,product!$B:$B,,0)=0,"",_xlfn.XLOOKUP(D183,product!$A:$A,product!$B:$B,,0))</f>
        <v>Power Forest</v>
      </c>
    </row>
    <row r="184" spans="1:14" x14ac:dyDescent="0.35">
      <c r="A184" t="s">
        <v>235</v>
      </c>
      <c r="B184" s="3">
        <v>45287</v>
      </c>
      <c r="C184" t="s">
        <v>1904</v>
      </c>
      <c r="D184" t="s">
        <v>5520</v>
      </c>
      <c r="E184">
        <v>3</v>
      </c>
      <c r="F184" t="str">
        <f>_xlfn.XLOOKUP(C184,customers!$A$1:$A$983,customers!$B$1:$B$983,,0)</f>
        <v>Ava Lewis</v>
      </c>
      <c r="G184" t="str">
        <f>_xlfn.XLOOKUP(C184,customers!$A:$A,customers!$C:$C,,0)</f>
        <v>ava.lewis230@hotmail.com</v>
      </c>
      <c r="H184" t="str">
        <f>IF(_xlfn.XLOOKUP(C184,customers!$A:$A,customers!$G:$G,,0)=0,"",_xlfn.XLOOKUP(C184,customers!$A:$A,customers!$G:$G,,0))</f>
        <v>Egypt</v>
      </c>
      <c r="I184" t="str">
        <f>IF(_xlfn.XLOOKUP(D184,product!$A:$A,product!$E:$E,,0)=0,"",_xlfn.XLOOKUP(D184,product!$A:$A,product!$E:$E,,0))</f>
        <v>HISTORY</v>
      </c>
      <c r="J184" s="5">
        <f>IF(_xlfn.XLOOKUP(D184,product!$A:$A,product!$D:$D,,0)=0,"",_xlfn.XLOOKUP(D184,product!$A:$A,product!$D:$D,,0))</f>
        <v>21.51</v>
      </c>
      <c r="K184" s="7">
        <f t="shared" si="2"/>
        <v>64.53</v>
      </c>
      <c r="L184" s="10" t="str">
        <f>IF(_xlfn.XLOOKUP(D184,product!$A:$A,product!$F:$F,,0)=0,"",_xlfn.XLOOKUP(D184,product!$A:$A,product!$F:$F,,0))</f>
        <v>No</v>
      </c>
      <c r="M184" t="str">
        <f>IF(_xlfn.XLOOKUP(D184,product!$A:$A,product!G:G,,0)=0,"",_xlfn.XLOOKUP(D184,product!$A:$A,product!G:G,,0))</f>
        <v>None</v>
      </c>
      <c r="N184" t="str">
        <f>IF(_xlfn.XLOOKUP(D184,product!$A:$A,product!$B:$B,,0)=0,"",_xlfn.XLOOKUP(D184,product!$A:$A,product!$B:$B,,0))</f>
        <v>Secrets Silent</v>
      </c>
    </row>
    <row r="185" spans="1:14" x14ac:dyDescent="0.35">
      <c r="A185" t="s">
        <v>252</v>
      </c>
      <c r="B185" s="3">
        <v>45365</v>
      </c>
      <c r="C185" t="s">
        <v>3352</v>
      </c>
      <c r="D185" t="s">
        <v>5521</v>
      </c>
      <c r="E185">
        <v>3</v>
      </c>
      <c r="F185" t="str">
        <f>_xlfn.XLOOKUP(C185,customers!$A$1:$A$983,customers!$B$1:$B$983,,0)</f>
        <v>Edward Robinson</v>
      </c>
      <c r="G185" t="str">
        <f>_xlfn.XLOOKUP(C185,customers!$A:$A,customers!$C:$C,,0)</f>
        <v>edward.robinson890@gmail.com</v>
      </c>
      <c r="H185" t="str">
        <f>IF(_xlfn.XLOOKUP(C185,customers!$A:$A,customers!$G:$G,,0)=0,"",_xlfn.XLOOKUP(C185,customers!$A:$A,customers!$G:$G,,0))</f>
        <v>USA</v>
      </c>
      <c r="I185" t="str">
        <f>IF(_xlfn.XLOOKUP(D185,product!$A:$A,product!$E:$E,,0)=0,"",_xlfn.XLOOKUP(D185,product!$A:$A,product!$E:$E,,0))</f>
        <v>BUSINESS</v>
      </c>
      <c r="J185" s="5">
        <f>IF(_xlfn.XLOOKUP(D185,product!$A:$A,product!$D:$D,,0)=0,"",_xlfn.XLOOKUP(D185,product!$A:$A,product!$D:$D,,0))</f>
        <v>25.95</v>
      </c>
      <c r="K185" s="7">
        <f t="shared" si="2"/>
        <v>77.849999999999994</v>
      </c>
      <c r="L185" s="10" t="str">
        <f>IF(_xlfn.XLOOKUP(D185,product!$A:$A,product!$F:$F,,0)=0,"",_xlfn.XLOOKUP(D185,product!$A:$A,product!$F:$F,,0))</f>
        <v>Yes</v>
      </c>
      <c r="M185" t="str">
        <f>IF(_xlfn.XLOOKUP(D185,product!$A:$A,product!G:G,,0)=0,"",_xlfn.XLOOKUP(D185,product!$A:$A,product!G:G,,0))</f>
        <v>None</v>
      </c>
      <c r="N185" t="str">
        <f>IF(_xlfn.XLOOKUP(D185,product!$A:$A,product!$B:$B,,0)=0,"",_xlfn.XLOOKUP(D185,product!$A:$A,product!$B:$B,,0))</f>
        <v>Silent Forest</v>
      </c>
    </row>
    <row r="186" spans="1:14" x14ac:dyDescent="0.35">
      <c r="A186" t="s">
        <v>269</v>
      </c>
      <c r="B186" s="3">
        <v>44973</v>
      </c>
      <c r="C186" t="s">
        <v>3250</v>
      </c>
      <c r="D186" t="s">
        <v>5522</v>
      </c>
      <c r="E186">
        <v>3</v>
      </c>
      <c r="F186" t="str">
        <f>_xlfn.XLOOKUP(C186,customers!$A$1:$A$983,customers!$B$1:$B$983,,0)</f>
        <v>George Green</v>
      </c>
      <c r="G186" t="str">
        <f>_xlfn.XLOOKUP(C186,customers!$A:$A,customers!$C:$C,,0)</f>
        <v>george.green838@yahoo.com</v>
      </c>
      <c r="H186" t="str">
        <f>IF(_xlfn.XLOOKUP(C186,customers!$A:$A,customers!$G:$G,,0)=0,"",_xlfn.XLOOKUP(C186,customers!$A:$A,customers!$G:$G,,0))</f>
        <v>Germany</v>
      </c>
      <c r="I186" t="str">
        <f>IF(_xlfn.XLOOKUP(D186,product!$A:$A,product!$E:$E,,0)=0,"",_xlfn.XLOOKUP(D186,product!$A:$A,product!$E:$E,,0))</f>
        <v>FICTION</v>
      </c>
      <c r="J186" s="5">
        <f>IF(_xlfn.XLOOKUP(D186,product!$A:$A,product!$D:$D,,0)=0,"",_xlfn.XLOOKUP(D186,product!$A:$A,product!$D:$D,,0))</f>
        <v>25.65</v>
      </c>
      <c r="K186" s="7">
        <f t="shared" si="2"/>
        <v>76.949999999999989</v>
      </c>
      <c r="L186" s="10" t="str">
        <f>IF(_xlfn.XLOOKUP(D186,product!$A:$A,product!$F:$F,,0)=0,"",_xlfn.XLOOKUP(D186,product!$A:$A,product!$F:$F,,0))</f>
        <v>Yes</v>
      </c>
      <c r="M186" t="str">
        <f>IF(_xlfn.XLOOKUP(D186,product!$A:$A,product!G:G,,0)=0,"",_xlfn.XLOOKUP(D186,product!$A:$A,product!G:G,,0))</f>
        <v>Gold</v>
      </c>
      <c r="N186" t="str">
        <f>IF(_xlfn.XLOOKUP(D186,product!$A:$A,product!$B:$B,,0)=0,"",_xlfn.XLOOKUP(D186,product!$A:$A,product!$B:$B,,0))</f>
        <v>Silent Data</v>
      </c>
    </row>
    <row r="187" spans="1:14" x14ac:dyDescent="0.35">
      <c r="A187" t="s">
        <v>286</v>
      </c>
      <c r="B187" s="3">
        <v>45448</v>
      </c>
      <c r="C187" t="s">
        <v>3155</v>
      </c>
      <c r="D187" t="s">
        <v>5524</v>
      </c>
      <c r="E187">
        <v>3</v>
      </c>
      <c r="F187" t="str">
        <f>_xlfn.XLOOKUP(C187,customers!$A$1:$A$983,customers!$B$1:$B$983,,0)</f>
        <v>Laura Thompson</v>
      </c>
      <c r="G187" t="str">
        <f>_xlfn.XLOOKUP(C187,customers!$A:$A,customers!$C:$C,,0)</f>
        <v>laura.thompson790@outlook.com</v>
      </c>
      <c r="H187" t="str">
        <f>IF(_xlfn.XLOOKUP(C187,customers!$A:$A,customers!$G:$G,,0)=0,"",_xlfn.XLOOKUP(C187,customers!$A:$A,customers!$G:$G,,0))</f>
        <v>Japan</v>
      </c>
      <c r="I187" t="str">
        <f>IF(_xlfn.XLOOKUP(D187,product!$A:$A,product!$E:$E,,0)=0,"",_xlfn.XLOOKUP(D187,product!$A:$A,product!$E:$E,,0))</f>
        <v>TECH</v>
      </c>
      <c r="J187" s="5">
        <f>IF(_xlfn.XLOOKUP(D187,product!$A:$A,product!$D:$D,,0)=0,"",_xlfn.XLOOKUP(D187,product!$A:$A,product!$D:$D,,0))</f>
        <v>10.74</v>
      </c>
      <c r="K187" s="7">
        <f t="shared" si="2"/>
        <v>32.22</v>
      </c>
      <c r="L187" s="10" t="str">
        <f>IF(_xlfn.XLOOKUP(D187,product!$A:$A,product!$F:$F,,0)=0,"",_xlfn.XLOOKUP(D187,product!$A:$A,product!$F:$F,,0))</f>
        <v>Yes</v>
      </c>
      <c r="M187" t="str">
        <f>IF(_xlfn.XLOOKUP(D187,product!$A:$A,product!G:G,,0)=0,"",_xlfn.XLOOKUP(D187,product!$A:$A,product!G:G,,0))</f>
        <v>Gold</v>
      </c>
      <c r="N187" t="str">
        <f>IF(_xlfn.XLOOKUP(D187,product!$A:$A,product!$B:$B,,0)=0,"",_xlfn.XLOOKUP(D187,product!$A:$A,product!$B:$B,,0))</f>
        <v>Secrets Silent</v>
      </c>
    </row>
    <row r="188" spans="1:14" x14ac:dyDescent="0.35">
      <c r="A188" t="s">
        <v>303</v>
      </c>
      <c r="B188" s="3">
        <v>45065</v>
      </c>
      <c r="C188" t="s">
        <v>1469</v>
      </c>
      <c r="D188" t="s">
        <v>5525</v>
      </c>
      <c r="E188">
        <v>3</v>
      </c>
      <c r="F188" t="str">
        <f>_xlfn.XLOOKUP(C188,customers!$A$1:$A$983,customers!$B$1:$B$983,,0)</f>
        <v>James Adams</v>
      </c>
      <c r="G188" t="str">
        <f>_xlfn.XLOOKUP(C188,customers!$A:$A,customers!$C:$C,,0)</f>
        <v>james.adams113@gmail.com</v>
      </c>
      <c r="H188" t="str">
        <f>IF(_xlfn.XLOOKUP(C188,customers!$A:$A,customers!$G:$G,,0)=0,"",_xlfn.XLOOKUP(C188,customers!$A:$A,customers!$G:$G,,0))</f>
        <v>Egypt</v>
      </c>
      <c r="I188" t="str">
        <f>IF(_xlfn.XLOOKUP(D188,product!$A:$A,product!$E:$E,,0)=0,"",_xlfn.XLOOKUP(D188,product!$A:$A,product!$E:$E,,0))</f>
        <v>BUSINESS</v>
      </c>
      <c r="J188" s="5">
        <f>IF(_xlfn.XLOOKUP(D188,product!$A:$A,product!$D:$D,,0)=0,"",_xlfn.XLOOKUP(D188,product!$A:$A,product!$D:$D,,0))</f>
        <v>24</v>
      </c>
      <c r="K188" s="7">
        <f t="shared" si="2"/>
        <v>72</v>
      </c>
      <c r="L188" s="10" t="str">
        <f>IF(_xlfn.XLOOKUP(D188,product!$A:$A,product!$F:$F,,0)=0,"",_xlfn.XLOOKUP(D188,product!$A:$A,product!$F:$F,,0))</f>
        <v>No</v>
      </c>
      <c r="M188" t="str">
        <f>IF(_xlfn.XLOOKUP(D188,product!$A:$A,product!G:G,,0)=0,"",_xlfn.XLOOKUP(D188,product!$A:$A,product!G:G,,0))</f>
        <v>Silver</v>
      </c>
      <c r="N188" t="str">
        <f>IF(_xlfn.XLOOKUP(D188,product!$A:$A,product!$B:$B,,0)=0,"",_xlfn.XLOOKUP(D188,product!$A:$A,product!$B:$B,,0))</f>
        <v>Silent Science</v>
      </c>
    </row>
    <row r="189" spans="1:14" x14ac:dyDescent="0.35">
      <c r="A189" t="s">
        <v>320</v>
      </c>
      <c r="B189" s="3">
        <v>45591</v>
      </c>
      <c r="C189" t="s">
        <v>2660</v>
      </c>
      <c r="D189" t="s">
        <v>5526</v>
      </c>
      <c r="E189">
        <v>3</v>
      </c>
      <c r="F189" t="str">
        <f>_xlfn.XLOOKUP(C189,customers!$A$1:$A$983,customers!$B$1:$B$983,,0)</f>
        <v>Robert Jackson</v>
      </c>
      <c r="G189" t="str">
        <f>_xlfn.XLOOKUP(C189,customers!$A:$A,customers!$C:$C,,0)</f>
        <v>robert.jackson549@gmail.com</v>
      </c>
      <c r="H189" t="str">
        <f>IF(_xlfn.XLOOKUP(C189,customers!$A:$A,customers!$G:$G,,0)=0,"",_xlfn.XLOOKUP(C189,customers!$A:$A,customers!$G:$G,,0))</f>
        <v>Germany</v>
      </c>
      <c r="I189" t="str">
        <f>IF(_xlfn.XLOOKUP(D189,product!$A:$A,product!$E:$E,,0)=0,"",_xlfn.XLOOKUP(D189,product!$A:$A,product!$E:$E,,0))</f>
        <v>FICTION</v>
      </c>
      <c r="J189" s="5">
        <f>IF(_xlfn.XLOOKUP(D189,product!$A:$A,product!$D:$D,,0)=0,"",_xlfn.XLOOKUP(D189,product!$A:$A,product!$D:$D,,0))</f>
        <v>36.42</v>
      </c>
      <c r="K189" s="7">
        <f t="shared" si="2"/>
        <v>109.26</v>
      </c>
      <c r="L189" s="10" t="str">
        <f>IF(_xlfn.XLOOKUP(D189,product!$A:$A,product!$F:$F,,0)=0,"",_xlfn.XLOOKUP(D189,product!$A:$A,product!$F:$F,,0))</f>
        <v>No</v>
      </c>
      <c r="M189" t="str">
        <f>IF(_xlfn.XLOOKUP(D189,product!$A:$A,product!G:G,,0)=0,"",_xlfn.XLOOKUP(D189,product!$A:$A,product!G:G,,0))</f>
        <v>None</v>
      </c>
      <c r="N189" t="str">
        <f>IF(_xlfn.XLOOKUP(D189,product!$A:$A,product!$B:$B,,0)=0,"",_xlfn.XLOOKUP(D189,product!$A:$A,product!$B:$B,,0))</f>
        <v>Science Secrets</v>
      </c>
    </row>
    <row r="190" spans="1:14" x14ac:dyDescent="0.35">
      <c r="A190" t="s">
        <v>337</v>
      </c>
      <c r="B190" s="3">
        <v>45116</v>
      </c>
      <c r="C190" t="s">
        <v>3163</v>
      </c>
      <c r="D190" t="s">
        <v>5528</v>
      </c>
      <c r="E190">
        <v>3</v>
      </c>
      <c r="F190" t="str">
        <f>_xlfn.XLOOKUP(C190,customers!$A$1:$A$983,customers!$B$1:$B$983,,0)</f>
        <v>Thomas Lewis</v>
      </c>
      <c r="G190" t="str">
        <f>_xlfn.XLOOKUP(C190,customers!$A:$A,customers!$C:$C,,0)</f>
        <v>thomas.lewis794@outlook.com</v>
      </c>
      <c r="H190" t="str">
        <f>IF(_xlfn.XLOOKUP(C190,customers!$A:$A,customers!$G:$G,,0)=0,"",_xlfn.XLOOKUP(C190,customers!$A:$A,customers!$G:$G,,0))</f>
        <v>USA</v>
      </c>
      <c r="I190" t="str">
        <f>IF(_xlfn.XLOOKUP(D190,product!$A:$A,product!$E:$E,,0)=0,"",_xlfn.XLOOKUP(D190,product!$A:$A,product!$E:$E,,0))</f>
        <v>HISTORY</v>
      </c>
      <c r="J190" s="5">
        <f>IF(_xlfn.XLOOKUP(D190,product!$A:$A,product!$D:$D,,0)=0,"",_xlfn.XLOOKUP(D190,product!$A:$A,product!$D:$D,,0))</f>
        <v>12.98</v>
      </c>
      <c r="K190" s="7">
        <f t="shared" si="2"/>
        <v>38.94</v>
      </c>
      <c r="L190" s="10" t="str">
        <f>IF(_xlfn.XLOOKUP(D190,product!$A:$A,product!$F:$F,,0)=0,"",_xlfn.XLOOKUP(D190,product!$A:$A,product!$F:$F,,0))</f>
        <v>Yes</v>
      </c>
      <c r="M190" t="str">
        <f>IF(_xlfn.XLOOKUP(D190,product!$A:$A,product!G:G,,0)=0,"",_xlfn.XLOOKUP(D190,product!$A:$A,product!G:G,,0))</f>
        <v>Gold</v>
      </c>
      <c r="N190" t="str">
        <f>IF(_xlfn.XLOOKUP(D190,product!$A:$A,product!$B:$B,,0)=0,"",_xlfn.XLOOKUP(D190,product!$A:$A,product!$B:$B,,0))</f>
        <v>Future Science</v>
      </c>
    </row>
    <row r="191" spans="1:14" x14ac:dyDescent="0.35">
      <c r="A191" t="s">
        <v>354</v>
      </c>
      <c r="B191" s="3">
        <v>45528</v>
      </c>
      <c r="C191" t="s">
        <v>2157</v>
      </c>
      <c r="D191" t="s">
        <v>5529</v>
      </c>
      <c r="E191">
        <v>3</v>
      </c>
      <c r="F191" t="str">
        <f>_xlfn.XLOOKUP(C191,customers!$A$1:$A$983,customers!$B$1:$B$983,,0)</f>
        <v>Paul Anderson</v>
      </c>
      <c r="G191" t="str">
        <f>_xlfn.XLOOKUP(C191,customers!$A:$A,customers!$C:$C,,0)</f>
        <v>paul.anderson318@gmail.com</v>
      </c>
      <c r="H191" t="str">
        <f>IF(_xlfn.XLOOKUP(C191,customers!$A:$A,customers!$G:$G,,0)=0,"",_xlfn.XLOOKUP(C191,customers!$A:$A,customers!$G:$G,,0))</f>
        <v>Japan</v>
      </c>
      <c r="I191" t="str">
        <f>IF(_xlfn.XLOOKUP(D191,product!$A:$A,product!$E:$E,,0)=0,"",_xlfn.XLOOKUP(D191,product!$A:$A,product!$E:$E,,0))</f>
        <v>TECH</v>
      </c>
      <c r="J191" s="5">
        <f>IF(_xlfn.XLOOKUP(D191,product!$A:$A,product!$D:$D,,0)=0,"",_xlfn.XLOOKUP(D191,product!$A:$A,product!$D:$D,,0))</f>
        <v>12.49</v>
      </c>
      <c r="K191" s="7">
        <f t="shared" si="2"/>
        <v>37.47</v>
      </c>
      <c r="L191" s="10" t="str">
        <f>IF(_xlfn.XLOOKUP(D191,product!$A:$A,product!$F:$F,,0)=0,"",_xlfn.XLOOKUP(D191,product!$A:$A,product!$F:$F,,0))</f>
        <v>No</v>
      </c>
      <c r="M191" t="str">
        <f>IF(_xlfn.XLOOKUP(D191,product!$A:$A,product!G:G,,0)=0,"",_xlfn.XLOOKUP(D191,product!$A:$A,product!G:G,,0))</f>
        <v>Silver</v>
      </c>
      <c r="N191" t="str">
        <f>IF(_xlfn.XLOOKUP(D191,product!$A:$A,product!$B:$B,,0)=0,"",_xlfn.XLOOKUP(D191,product!$A:$A,product!$B:$B,,0))</f>
        <v>Journey Secrets</v>
      </c>
    </row>
    <row r="192" spans="1:14" x14ac:dyDescent="0.35">
      <c r="A192" t="s">
        <v>371</v>
      </c>
      <c r="B192" s="3">
        <v>44957</v>
      </c>
      <c r="C192" t="s">
        <v>3216</v>
      </c>
      <c r="D192" t="s">
        <v>5530</v>
      </c>
      <c r="E192">
        <v>3</v>
      </c>
      <c r="F192" t="str">
        <f>_xlfn.XLOOKUP(C192,customers!$A$1:$A$983,customers!$B$1:$B$983,,0)</f>
        <v>Daniel Jackson</v>
      </c>
      <c r="G192" t="str">
        <f>_xlfn.XLOOKUP(C192,customers!$A:$A,customers!$C:$C,,0)</f>
        <v>daniel.jackson821@gmail.com</v>
      </c>
      <c r="H192" t="str">
        <f>IF(_xlfn.XLOOKUP(C192,customers!$A:$A,customers!$G:$G,,0)=0,"",_xlfn.XLOOKUP(C192,customers!$A:$A,customers!$G:$G,,0))</f>
        <v>Bangladesh</v>
      </c>
      <c r="I192" t="str">
        <f>IF(_xlfn.XLOOKUP(D192,product!$A:$A,product!$E:$E,,0)=0,"",_xlfn.XLOOKUP(D192,product!$A:$A,product!$E:$E,,0))</f>
        <v>SCIENCE</v>
      </c>
      <c r="J192" s="5">
        <f>IF(_xlfn.XLOOKUP(D192,product!$A:$A,product!$D:$D,,0)=0,"",_xlfn.XLOOKUP(D192,product!$A:$A,product!$D:$D,,0))</f>
        <v>20.63</v>
      </c>
      <c r="K192" s="7">
        <f t="shared" si="2"/>
        <v>61.89</v>
      </c>
      <c r="L192" s="10" t="str">
        <f>IF(_xlfn.XLOOKUP(D192,product!$A:$A,product!$F:$F,,0)=0,"",_xlfn.XLOOKUP(D192,product!$A:$A,product!$F:$F,,0))</f>
        <v>No</v>
      </c>
      <c r="M192" t="str">
        <f>IF(_xlfn.XLOOKUP(D192,product!$A:$A,product!G:G,,0)=0,"",_xlfn.XLOOKUP(D192,product!$A:$A,product!G:G,,0))</f>
        <v>Silver</v>
      </c>
      <c r="N192" t="str">
        <f>IF(_xlfn.XLOOKUP(D192,product!$A:$A,product!$B:$B,,0)=0,"",_xlfn.XLOOKUP(D192,product!$A:$A,product!$B:$B,,0))</f>
        <v>Silent Forest</v>
      </c>
    </row>
    <row r="193" spans="1:14" x14ac:dyDescent="0.35">
      <c r="A193" t="s">
        <v>388</v>
      </c>
      <c r="B193" s="3">
        <v>45404</v>
      </c>
      <c r="C193" t="s">
        <v>2472</v>
      </c>
      <c r="D193" t="s">
        <v>5531</v>
      </c>
      <c r="E193">
        <v>3</v>
      </c>
      <c r="F193" t="str">
        <f>_xlfn.XLOOKUP(C193,customers!$A$1:$A$983,customers!$B$1:$B$983,,0)</f>
        <v>Michael Harris</v>
      </c>
      <c r="G193" t="str">
        <f>_xlfn.XLOOKUP(C193,customers!$A:$A,customers!$C:$C,,0)</f>
        <v>michael.harris458@outlook.com</v>
      </c>
      <c r="H193" t="str">
        <f>IF(_xlfn.XLOOKUP(C193,customers!$A:$A,customers!$G:$G,,0)=0,"",_xlfn.XLOOKUP(C193,customers!$A:$A,customers!$G:$G,,0))</f>
        <v>Spain</v>
      </c>
      <c r="I193" t="str">
        <f>IF(_xlfn.XLOOKUP(D193,product!$A:$A,product!$E:$E,,0)=0,"",_xlfn.XLOOKUP(D193,product!$A:$A,product!$E:$E,,0))</f>
        <v>BUSINESS</v>
      </c>
      <c r="J193" s="5">
        <f>IF(_xlfn.XLOOKUP(D193,product!$A:$A,product!$D:$D,,0)=0,"",_xlfn.XLOOKUP(D193,product!$A:$A,product!$D:$D,,0))</f>
        <v>28.25</v>
      </c>
      <c r="K193" s="7">
        <f t="shared" si="2"/>
        <v>84.75</v>
      </c>
      <c r="L193" s="10" t="str">
        <f>IF(_xlfn.XLOOKUP(D193,product!$A:$A,product!$F:$F,,0)=0,"",_xlfn.XLOOKUP(D193,product!$A:$A,product!$F:$F,,0))</f>
        <v>No</v>
      </c>
      <c r="M193" t="str">
        <f>IF(_xlfn.XLOOKUP(D193,product!$A:$A,product!G:G,,0)=0,"",_xlfn.XLOOKUP(D193,product!$A:$A,product!G:G,,0))</f>
        <v>None</v>
      </c>
      <c r="N193" t="str">
        <f>IF(_xlfn.XLOOKUP(D193,product!$A:$A,product!$B:$B,,0)=0,"",_xlfn.XLOOKUP(D193,product!$A:$A,product!$B:$B,,0))</f>
        <v>Journey Mind</v>
      </c>
    </row>
    <row r="194" spans="1:14" x14ac:dyDescent="0.35">
      <c r="A194" t="s">
        <v>405</v>
      </c>
      <c r="B194" s="3">
        <v>45174</v>
      </c>
      <c r="C194" t="s">
        <v>2610</v>
      </c>
      <c r="D194" t="s">
        <v>5532</v>
      </c>
      <c r="E194">
        <v>3</v>
      </c>
      <c r="F194" t="str">
        <f>_xlfn.XLOOKUP(C194,customers!$A$1:$A$983,customers!$B$1:$B$983,,0)</f>
        <v>Ryan Allen</v>
      </c>
      <c r="G194" t="str">
        <f>_xlfn.XLOOKUP(C194,customers!$A:$A,customers!$C:$C,,0)</f>
        <v>ryan.allen525@yahoo.com</v>
      </c>
      <c r="H194" t="str">
        <f>IF(_xlfn.XLOOKUP(C194,customers!$A:$A,customers!$G:$G,,0)=0,"",_xlfn.XLOOKUP(C194,customers!$A:$A,customers!$G:$G,,0))</f>
        <v>Japan</v>
      </c>
      <c r="I194" t="str">
        <f>IF(_xlfn.XLOOKUP(D194,product!$A:$A,product!$E:$E,,0)=0,"",_xlfn.XLOOKUP(D194,product!$A:$A,product!$E:$E,,0))</f>
        <v>TECH</v>
      </c>
      <c r="J194" s="5">
        <f>IF(_xlfn.XLOOKUP(D194,product!$A:$A,product!$D:$D,,0)=0,"",_xlfn.XLOOKUP(D194,product!$A:$A,product!$D:$D,,0))</f>
        <v>32.229999999999997</v>
      </c>
      <c r="K194" s="7">
        <f t="shared" si="2"/>
        <v>96.69</v>
      </c>
      <c r="L194" s="10" t="str">
        <f>IF(_xlfn.XLOOKUP(D194,product!$A:$A,product!$F:$F,,0)=0,"",_xlfn.XLOOKUP(D194,product!$A:$A,product!$F:$F,,0))</f>
        <v>Yes</v>
      </c>
      <c r="M194" t="str">
        <f>IF(_xlfn.XLOOKUP(D194,product!$A:$A,product!G:G,,0)=0,"",_xlfn.XLOOKUP(D194,product!$A:$A,product!G:G,,0))</f>
        <v>Silver</v>
      </c>
      <c r="N194" t="str">
        <f>IF(_xlfn.XLOOKUP(D194,product!$A:$A,product!$B:$B,,0)=0,"",_xlfn.XLOOKUP(D194,product!$A:$A,product!$B:$B,,0))</f>
        <v>Data Secrets</v>
      </c>
    </row>
    <row r="195" spans="1:14" x14ac:dyDescent="0.35">
      <c r="A195" t="s">
        <v>422</v>
      </c>
      <c r="B195" s="3">
        <v>45642</v>
      </c>
      <c r="C195" t="s">
        <v>2371</v>
      </c>
      <c r="D195" t="s">
        <v>5533</v>
      </c>
      <c r="E195">
        <v>3</v>
      </c>
      <c r="F195" t="str">
        <f>_xlfn.XLOOKUP(C195,customers!$A$1:$A$983,customers!$B$1:$B$983,,0)</f>
        <v>Lily Walker</v>
      </c>
      <c r="G195" t="str">
        <f>_xlfn.XLOOKUP(C195,customers!$A:$A,customers!$C:$C,,0)</f>
        <v>lily.walker412@outlook.com</v>
      </c>
      <c r="H195" t="str">
        <f>IF(_xlfn.XLOOKUP(C195,customers!$A:$A,customers!$G:$G,,0)=0,"",_xlfn.XLOOKUP(C195,customers!$A:$A,customers!$G:$G,,0))</f>
        <v>Japan</v>
      </c>
      <c r="I195" t="str">
        <f>IF(_xlfn.XLOOKUP(D195,product!$A:$A,product!$E:$E,,0)=0,"",_xlfn.XLOOKUP(D195,product!$A:$A,product!$E:$E,,0))</f>
        <v>BUSINESS</v>
      </c>
      <c r="J195" s="5">
        <f>IF(_xlfn.XLOOKUP(D195,product!$A:$A,product!$D:$D,,0)=0,"",_xlfn.XLOOKUP(D195,product!$A:$A,product!$D:$D,,0))</f>
        <v>24.75</v>
      </c>
      <c r="K195" s="7">
        <f t="shared" ref="K195:K258" si="3">J195*E195</f>
        <v>74.25</v>
      </c>
      <c r="L195" s="10" t="str">
        <f>IF(_xlfn.XLOOKUP(D195,product!$A:$A,product!$F:$F,,0)=0,"",_xlfn.XLOOKUP(D195,product!$A:$A,product!$F:$F,,0))</f>
        <v>Yes</v>
      </c>
      <c r="M195" t="str">
        <f>IF(_xlfn.XLOOKUP(D195,product!$A:$A,product!G:G,,0)=0,"",_xlfn.XLOOKUP(D195,product!$A:$A,product!G:G,,0))</f>
        <v>None</v>
      </c>
      <c r="N195" t="str">
        <f>IF(_xlfn.XLOOKUP(D195,product!$A:$A,product!$B:$B,,0)=0,"",_xlfn.XLOOKUP(D195,product!$A:$A,product!$B:$B,,0))</f>
        <v>Power Forest</v>
      </c>
    </row>
    <row r="196" spans="1:14" x14ac:dyDescent="0.35">
      <c r="A196" t="s">
        <v>439</v>
      </c>
      <c r="B196" s="3">
        <v>45006</v>
      </c>
      <c r="C196" t="s">
        <v>1118</v>
      </c>
      <c r="D196" t="s">
        <v>5534</v>
      </c>
      <c r="E196">
        <v>3</v>
      </c>
      <c r="F196" t="str">
        <f>_xlfn.XLOOKUP(C196,customers!$A$1:$A$983,customers!$B$1:$B$983,,0)</f>
        <v>Mark Garcia</v>
      </c>
      <c r="G196" t="str">
        <f>_xlfn.XLOOKUP(C196,customers!$A:$A,customers!$C:$C,,0)</f>
        <v>mark.garcia20@outlook.com</v>
      </c>
      <c r="H196" t="str">
        <f>IF(_xlfn.XLOOKUP(C196,customers!$A:$A,customers!$G:$G,,0)=0,"",_xlfn.XLOOKUP(C196,customers!$A:$A,customers!$G:$G,,0))</f>
        <v>Pakistan</v>
      </c>
      <c r="I196" t="str">
        <f>IF(_xlfn.XLOOKUP(D196,product!$A:$A,product!$E:$E,,0)=0,"",_xlfn.XLOOKUP(D196,product!$A:$A,product!$E:$E,,0))</f>
        <v>BUSINESS</v>
      </c>
      <c r="J196" s="5">
        <f>IF(_xlfn.XLOOKUP(D196,product!$A:$A,product!$D:$D,,0)=0,"",_xlfn.XLOOKUP(D196,product!$A:$A,product!$D:$D,,0))</f>
        <v>11.16</v>
      </c>
      <c r="K196" s="7">
        <f t="shared" si="3"/>
        <v>33.480000000000004</v>
      </c>
      <c r="L196" s="10" t="str">
        <f>IF(_xlfn.XLOOKUP(D196,product!$A:$A,product!$F:$F,,0)=0,"",_xlfn.XLOOKUP(D196,product!$A:$A,product!$F:$F,,0))</f>
        <v>Yes</v>
      </c>
      <c r="M196" t="str">
        <f>IF(_xlfn.XLOOKUP(D196,product!$A:$A,product!G:G,,0)=0,"",_xlfn.XLOOKUP(D196,product!$A:$A,product!G:G,,0))</f>
        <v>Silver</v>
      </c>
      <c r="N196" t="str">
        <f>IF(_xlfn.XLOOKUP(D196,product!$A:$A,product!$B:$B,,0)=0,"",_xlfn.XLOOKUP(D196,product!$A:$A,product!$B:$B,,0))</f>
        <v>Future Forest</v>
      </c>
    </row>
    <row r="197" spans="1:14" x14ac:dyDescent="0.35">
      <c r="A197" t="s">
        <v>456</v>
      </c>
      <c r="B197" s="3">
        <v>45333</v>
      </c>
      <c r="C197" t="s">
        <v>2534</v>
      </c>
      <c r="D197" t="s">
        <v>5535</v>
      </c>
      <c r="E197">
        <v>3</v>
      </c>
      <c r="F197" t="str">
        <f>_xlfn.XLOOKUP(C197,customers!$A$1:$A$983,customers!$B$1:$B$983,,0)</f>
        <v>Ava Taylor</v>
      </c>
      <c r="G197" t="str">
        <f>_xlfn.XLOOKUP(C197,customers!$A:$A,customers!$C:$C,,0)</f>
        <v>ava.taylor488@yahoo.com</v>
      </c>
      <c r="H197" t="str">
        <f>IF(_xlfn.XLOOKUP(C197,customers!$A:$A,customers!$G:$G,,0)=0,"",_xlfn.XLOOKUP(C197,customers!$A:$A,customers!$G:$G,,0))</f>
        <v>UAE</v>
      </c>
      <c r="I197" t="str">
        <f>IF(_xlfn.XLOOKUP(D197,product!$A:$A,product!$E:$E,,0)=0,"",_xlfn.XLOOKUP(D197,product!$A:$A,product!$E:$E,,0))</f>
        <v>BUSINESS</v>
      </c>
      <c r="J197" s="5">
        <f>IF(_xlfn.XLOOKUP(D197,product!$A:$A,product!$D:$D,,0)=0,"",_xlfn.XLOOKUP(D197,product!$A:$A,product!$D:$D,,0))</f>
        <v>31.91</v>
      </c>
      <c r="K197" s="7">
        <f t="shared" si="3"/>
        <v>95.73</v>
      </c>
      <c r="L197" s="10" t="str">
        <f>IF(_xlfn.XLOOKUP(D197,product!$A:$A,product!$F:$F,,0)=0,"",_xlfn.XLOOKUP(D197,product!$A:$A,product!$F:$F,,0))</f>
        <v>No</v>
      </c>
      <c r="M197" t="str">
        <f>IF(_xlfn.XLOOKUP(D197,product!$A:$A,product!G:G,,0)=0,"",_xlfn.XLOOKUP(D197,product!$A:$A,product!G:G,,0))</f>
        <v>Gold</v>
      </c>
      <c r="N197" t="str">
        <f>IF(_xlfn.XLOOKUP(D197,product!$A:$A,product!$B:$B,,0)=0,"",_xlfn.XLOOKUP(D197,product!$A:$A,product!$B:$B,,0))</f>
        <v>Quantum Mind</v>
      </c>
    </row>
    <row r="198" spans="1:14" x14ac:dyDescent="0.35">
      <c r="A198" t="s">
        <v>473</v>
      </c>
      <c r="B198" s="3">
        <v>45155</v>
      </c>
      <c r="C198" t="s">
        <v>1531</v>
      </c>
      <c r="D198" t="s">
        <v>5536</v>
      </c>
      <c r="E198">
        <v>3</v>
      </c>
      <c r="F198" t="str">
        <f>_xlfn.XLOOKUP(C198,customers!$A$1:$A$983,customers!$B$1:$B$983,,0)</f>
        <v>Steven Hill</v>
      </c>
      <c r="G198" t="str">
        <f>_xlfn.XLOOKUP(C198,customers!$A:$A,customers!$C:$C,,0)</f>
        <v>steven.hill131@yahoo.com</v>
      </c>
      <c r="H198" t="str">
        <f>IF(_xlfn.XLOOKUP(C198,customers!$A:$A,customers!$G:$G,,0)=0,"",_xlfn.XLOOKUP(C198,customers!$A:$A,customers!$G:$G,,0))</f>
        <v>Egypt</v>
      </c>
      <c r="I198" t="str">
        <f>IF(_xlfn.XLOOKUP(D198,product!$A:$A,product!$E:$E,,0)=0,"",_xlfn.XLOOKUP(D198,product!$A:$A,product!$E:$E,,0))</f>
        <v>BUSINESS</v>
      </c>
      <c r="J198" s="5">
        <f>IF(_xlfn.XLOOKUP(D198,product!$A:$A,product!$D:$D,,0)=0,"",_xlfn.XLOOKUP(D198,product!$A:$A,product!$D:$D,,0))</f>
        <v>10.9</v>
      </c>
      <c r="K198" s="7">
        <f t="shared" si="3"/>
        <v>32.700000000000003</v>
      </c>
      <c r="L198" s="10" t="str">
        <f>IF(_xlfn.XLOOKUP(D198,product!$A:$A,product!$F:$F,,0)=0,"",_xlfn.XLOOKUP(D198,product!$A:$A,product!$F:$F,,0))</f>
        <v>Yes</v>
      </c>
      <c r="M198" t="str">
        <f>IF(_xlfn.XLOOKUP(D198,product!$A:$A,product!G:G,,0)=0,"",_xlfn.XLOOKUP(D198,product!$A:$A,product!G:G,,0))</f>
        <v>Silver</v>
      </c>
      <c r="N198" t="str">
        <f>IF(_xlfn.XLOOKUP(D198,product!$A:$A,product!$B:$B,,0)=0,"",_xlfn.XLOOKUP(D198,product!$A:$A,product!$B:$B,,0))</f>
        <v>Forest Quantum</v>
      </c>
    </row>
    <row r="199" spans="1:14" x14ac:dyDescent="0.35">
      <c r="A199" t="s">
        <v>490</v>
      </c>
      <c r="B199" s="3">
        <v>45419</v>
      </c>
      <c r="C199" t="s">
        <v>3206</v>
      </c>
      <c r="D199" t="s">
        <v>5538</v>
      </c>
      <c r="E199">
        <v>3</v>
      </c>
      <c r="F199" t="str">
        <f>_xlfn.XLOOKUP(C199,customers!$A$1:$A$983,customers!$B$1:$B$983,,0)</f>
        <v>Emma Lewis</v>
      </c>
      <c r="G199" t="str">
        <f>_xlfn.XLOOKUP(C199,customers!$A:$A,customers!$C:$C,,0)</f>
        <v>emma.lewis816@yahoo.com</v>
      </c>
      <c r="H199" t="str">
        <f>IF(_xlfn.XLOOKUP(C199,customers!$A:$A,customers!$G:$G,,0)=0,"",_xlfn.XLOOKUP(C199,customers!$A:$A,customers!$G:$G,,0))</f>
        <v>Brazil</v>
      </c>
      <c r="I199" t="str">
        <f>IF(_xlfn.XLOOKUP(D199,product!$A:$A,product!$E:$E,,0)=0,"",_xlfn.XLOOKUP(D199,product!$A:$A,product!$E:$E,,0))</f>
        <v>SCIENCE</v>
      </c>
      <c r="J199" s="5">
        <f>IF(_xlfn.XLOOKUP(D199,product!$A:$A,product!$D:$D,,0)=0,"",_xlfn.XLOOKUP(D199,product!$A:$A,product!$D:$D,,0))</f>
        <v>18.18</v>
      </c>
      <c r="K199" s="7">
        <f t="shared" si="3"/>
        <v>54.54</v>
      </c>
      <c r="L199" s="10" t="str">
        <f>IF(_xlfn.XLOOKUP(D199,product!$A:$A,product!$F:$F,,0)=0,"",_xlfn.XLOOKUP(D199,product!$A:$A,product!$F:$F,,0))</f>
        <v>Yes</v>
      </c>
      <c r="M199" t="str">
        <f>IF(_xlfn.XLOOKUP(D199,product!$A:$A,product!G:G,,0)=0,"",_xlfn.XLOOKUP(D199,product!$A:$A,product!G:G,,0))</f>
        <v>None</v>
      </c>
      <c r="N199" t="str">
        <f>IF(_xlfn.XLOOKUP(D199,product!$A:$A,product!$B:$B,,0)=0,"",_xlfn.XLOOKUP(D199,product!$A:$A,product!$B:$B,,0))</f>
        <v>Science Future</v>
      </c>
    </row>
    <row r="200" spans="1:14" x14ac:dyDescent="0.35">
      <c r="A200" t="s">
        <v>507</v>
      </c>
      <c r="B200" s="3">
        <v>45235</v>
      </c>
      <c r="C200" t="s">
        <v>2189</v>
      </c>
      <c r="D200" t="s">
        <v>5539</v>
      </c>
      <c r="E200">
        <v>3</v>
      </c>
      <c r="F200" t="str">
        <f>_xlfn.XLOOKUP(C200,customers!$A$1:$A$983,customers!$B$1:$B$983,,0)</f>
        <v>Zoe Lewis</v>
      </c>
      <c r="G200" t="str">
        <f>_xlfn.XLOOKUP(C200,customers!$A:$A,customers!$C:$C,,0)</f>
        <v>zoe.lewis332@gmail.com</v>
      </c>
      <c r="H200" t="str">
        <f>IF(_xlfn.XLOOKUP(C200,customers!$A:$A,customers!$G:$G,,0)=0,"",_xlfn.XLOOKUP(C200,customers!$A:$A,customers!$G:$G,,0))</f>
        <v>Spain</v>
      </c>
      <c r="I200" t="str">
        <f>IF(_xlfn.XLOOKUP(D200,product!$A:$A,product!$E:$E,,0)=0,"",_xlfn.XLOOKUP(D200,product!$A:$A,product!$E:$E,,0))</f>
        <v>HISTORY</v>
      </c>
      <c r="J200" s="5">
        <f>IF(_xlfn.XLOOKUP(D200,product!$A:$A,product!$D:$D,,0)=0,"",_xlfn.XLOOKUP(D200,product!$A:$A,product!$D:$D,,0))</f>
        <v>26.14</v>
      </c>
      <c r="K200" s="7">
        <f t="shared" si="3"/>
        <v>78.42</v>
      </c>
      <c r="L200" s="10" t="str">
        <f>IF(_xlfn.XLOOKUP(D200,product!$A:$A,product!$F:$F,,0)=0,"",_xlfn.XLOOKUP(D200,product!$A:$A,product!$F:$F,,0))</f>
        <v>No</v>
      </c>
      <c r="M200" t="str">
        <f>IF(_xlfn.XLOOKUP(D200,product!$A:$A,product!G:G,,0)=0,"",_xlfn.XLOOKUP(D200,product!$A:$A,product!G:G,,0))</f>
        <v>Silver</v>
      </c>
      <c r="N200" t="str">
        <f>IF(_xlfn.XLOOKUP(D200,product!$A:$A,product!$B:$B,,0)=0,"",_xlfn.XLOOKUP(D200,product!$A:$A,product!$B:$B,,0))</f>
        <v>Journey Data</v>
      </c>
    </row>
    <row r="201" spans="1:14" x14ac:dyDescent="0.35">
      <c r="A201" t="s">
        <v>524</v>
      </c>
      <c r="B201" s="3">
        <v>45499</v>
      </c>
      <c r="C201" t="s">
        <v>3180</v>
      </c>
      <c r="D201" t="s">
        <v>5540</v>
      </c>
      <c r="E201">
        <v>3</v>
      </c>
      <c r="F201" t="str">
        <f>_xlfn.XLOOKUP(C201,customers!$A$1:$A$983,customers!$B$1:$B$983,,0)</f>
        <v>Peter Thomas</v>
      </c>
      <c r="G201" t="str">
        <f>_xlfn.XLOOKUP(C201,customers!$A:$A,customers!$C:$C,,0)</f>
        <v>peter.thomas803@hotmail.com</v>
      </c>
      <c r="H201" t="str">
        <f>IF(_xlfn.XLOOKUP(C201,customers!$A:$A,customers!$G:$G,,0)=0,"",_xlfn.XLOOKUP(C201,customers!$A:$A,customers!$G:$G,,0))</f>
        <v>USA</v>
      </c>
      <c r="I201" t="str">
        <f>IF(_xlfn.XLOOKUP(D201,product!$A:$A,product!$E:$E,,0)=0,"",_xlfn.XLOOKUP(D201,product!$A:$A,product!$E:$E,,0))</f>
        <v>BUSINESS</v>
      </c>
      <c r="J201" s="5">
        <f>IF(_xlfn.XLOOKUP(D201,product!$A:$A,product!$D:$D,,0)=0,"",_xlfn.XLOOKUP(D201,product!$A:$A,product!$D:$D,,0))</f>
        <v>16.89</v>
      </c>
      <c r="K201" s="7">
        <f t="shared" si="3"/>
        <v>50.67</v>
      </c>
      <c r="L201" s="10" t="str">
        <f>IF(_xlfn.XLOOKUP(D201,product!$A:$A,product!$F:$F,,0)=0,"",_xlfn.XLOOKUP(D201,product!$A:$A,product!$F:$F,,0))</f>
        <v>No</v>
      </c>
      <c r="M201" t="str">
        <f>IF(_xlfn.XLOOKUP(D201,product!$A:$A,product!G:G,,0)=0,"",_xlfn.XLOOKUP(D201,product!$A:$A,product!G:G,,0))</f>
        <v>None</v>
      </c>
      <c r="N201" t="str">
        <f>IF(_xlfn.XLOOKUP(D201,product!$A:$A,product!$B:$B,,0)=0,"",_xlfn.XLOOKUP(D201,product!$A:$A,product!$B:$B,,0))</f>
        <v>Power Data</v>
      </c>
    </row>
    <row r="202" spans="1:14" x14ac:dyDescent="0.35">
      <c r="A202" t="s">
        <v>541</v>
      </c>
      <c r="B202" s="3">
        <v>45094</v>
      </c>
      <c r="C202" t="s">
        <v>3522</v>
      </c>
      <c r="D202" t="s">
        <v>5541</v>
      </c>
      <c r="E202">
        <v>3</v>
      </c>
      <c r="F202" t="str">
        <f>_xlfn.XLOOKUP(C202,customers!$A$1:$A$983,customers!$B$1:$B$983,,0)</f>
        <v>Sophia Thomas</v>
      </c>
      <c r="G202" t="str">
        <f>_xlfn.XLOOKUP(C202,customers!$A:$A,customers!$C:$C,,0)</f>
        <v>sophia.thomas976@outlook.com</v>
      </c>
      <c r="H202" t="str">
        <f>IF(_xlfn.XLOOKUP(C202,customers!$A:$A,customers!$G:$G,,0)=0,"",_xlfn.XLOOKUP(C202,customers!$A:$A,customers!$G:$G,,0))</f>
        <v>Switzerland</v>
      </c>
      <c r="I202" t="str">
        <f>IF(_xlfn.XLOOKUP(D202,product!$A:$A,product!$E:$E,,0)=0,"",_xlfn.XLOOKUP(D202,product!$A:$A,product!$E:$E,,0))</f>
        <v>SCIENCE</v>
      </c>
      <c r="J202" s="5">
        <f>IF(_xlfn.XLOOKUP(D202,product!$A:$A,product!$D:$D,,0)=0,"",_xlfn.XLOOKUP(D202,product!$A:$A,product!$D:$D,,0))</f>
        <v>19.36</v>
      </c>
      <c r="K202" s="7">
        <f t="shared" si="3"/>
        <v>58.08</v>
      </c>
      <c r="L202" s="10" t="str">
        <f>IF(_xlfn.XLOOKUP(D202,product!$A:$A,product!$F:$F,,0)=0,"",_xlfn.XLOOKUP(D202,product!$A:$A,product!$F:$F,,0))</f>
        <v>No</v>
      </c>
      <c r="M202" t="str">
        <f>IF(_xlfn.XLOOKUP(D202,product!$A:$A,product!G:G,,0)=0,"",_xlfn.XLOOKUP(D202,product!$A:$A,product!G:G,,0))</f>
        <v>Gold</v>
      </c>
      <c r="N202" t="str">
        <f>IF(_xlfn.XLOOKUP(D202,product!$A:$A,product!$B:$B,,0)=0,"",_xlfn.XLOOKUP(D202,product!$A:$A,product!$B:$B,,0))</f>
        <v>Forest Quantum</v>
      </c>
    </row>
    <row r="203" spans="1:14" x14ac:dyDescent="0.35">
      <c r="A203" t="s">
        <v>558</v>
      </c>
      <c r="B203" s="3">
        <v>45547</v>
      </c>
      <c r="C203" t="s">
        <v>2886</v>
      </c>
      <c r="D203" t="s">
        <v>5542</v>
      </c>
      <c r="E203">
        <v>3</v>
      </c>
      <c r="F203" t="str">
        <f>_xlfn.XLOOKUP(C203,customers!$A$1:$A$983,customers!$B$1:$B$983,,0)</f>
        <v>Paul Hill</v>
      </c>
      <c r="G203" t="str">
        <f>_xlfn.XLOOKUP(C203,customers!$A:$A,customers!$C:$C,,0)</f>
        <v>paul.hill658@hotmail.com</v>
      </c>
      <c r="H203" t="str">
        <f>IF(_xlfn.XLOOKUP(C203,customers!$A:$A,customers!$G:$G,,0)=0,"",_xlfn.XLOOKUP(C203,customers!$A:$A,customers!$G:$G,,0))</f>
        <v>USA</v>
      </c>
      <c r="I203" t="str">
        <f>IF(_xlfn.XLOOKUP(D203,product!$A:$A,product!$E:$E,,0)=0,"",_xlfn.XLOOKUP(D203,product!$A:$A,product!$E:$E,,0))</f>
        <v>FICTION</v>
      </c>
      <c r="J203" s="5">
        <f>IF(_xlfn.XLOOKUP(D203,product!$A:$A,product!$D:$D,,0)=0,"",_xlfn.XLOOKUP(D203,product!$A:$A,product!$D:$D,,0))</f>
        <v>14.28</v>
      </c>
      <c r="K203" s="7">
        <f t="shared" si="3"/>
        <v>42.839999999999996</v>
      </c>
      <c r="L203" s="10" t="str">
        <f>IF(_xlfn.XLOOKUP(D203,product!$A:$A,product!$F:$F,,0)=0,"",_xlfn.XLOOKUP(D203,product!$A:$A,product!$F:$F,,0))</f>
        <v>Yes</v>
      </c>
      <c r="M203" t="str">
        <f>IF(_xlfn.XLOOKUP(D203,product!$A:$A,product!G:G,,0)=0,"",_xlfn.XLOOKUP(D203,product!$A:$A,product!G:G,,0))</f>
        <v>None</v>
      </c>
      <c r="N203" t="str">
        <f>IF(_xlfn.XLOOKUP(D203,product!$A:$A,product!$B:$B,,0)=0,"",_xlfn.XLOOKUP(D203,product!$A:$A,product!$B:$B,,0))</f>
        <v>Secrets Data</v>
      </c>
    </row>
    <row r="204" spans="1:14" x14ac:dyDescent="0.35">
      <c r="A204" t="s">
        <v>575</v>
      </c>
      <c r="B204" s="3">
        <v>45027</v>
      </c>
      <c r="C204" t="s">
        <v>2750</v>
      </c>
      <c r="D204" t="s">
        <v>5543</v>
      </c>
      <c r="E204">
        <v>3</v>
      </c>
      <c r="F204" t="str">
        <f>_xlfn.XLOOKUP(C204,customers!$A$1:$A$983,customers!$B$1:$B$983,,0)</f>
        <v>Hannah Johnson</v>
      </c>
      <c r="G204" t="str">
        <f>_xlfn.XLOOKUP(C204,customers!$A:$A,customers!$C:$C,,0)</f>
        <v>hannah.johnson592@gmail.com</v>
      </c>
      <c r="H204" t="str">
        <f>IF(_xlfn.XLOOKUP(C204,customers!$A:$A,customers!$G:$G,,0)=0,"",_xlfn.XLOOKUP(C204,customers!$A:$A,customers!$G:$G,,0))</f>
        <v>Japan</v>
      </c>
      <c r="I204" t="str">
        <f>IF(_xlfn.XLOOKUP(D204,product!$A:$A,product!$E:$E,,0)=0,"",_xlfn.XLOOKUP(D204,product!$A:$A,product!$E:$E,,0))</f>
        <v>BUSINESS</v>
      </c>
      <c r="J204" s="5">
        <f>IF(_xlfn.XLOOKUP(D204,product!$A:$A,product!$D:$D,,0)=0,"",_xlfn.XLOOKUP(D204,product!$A:$A,product!$D:$D,,0))</f>
        <v>36.11</v>
      </c>
      <c r="K204" s="7">
        <f t="shared" si="3"/>
        <v>108.33</v>
      </c>
      <c r="L204" s="10" t="str">
        <f>IF(_xlfn.XLOOKUP(D204,product!$A:$A,product!$F:$F,,0)=0,"",_xlfn.XLOOKUP(D204,product!$A:$A,product!$F:$F,,0))</f>
        <v>Yes</v>
      </c>
      <c r="M204" t="str">
        <f>IF(_xlfn.XLOOKUP(D204,product!$A:$A,product!G:G,,0)=0,"",_xlfn.XLOOKUP(D204,product!$A:$A,product!G:G,,0))</f>
        <v>None</v>
      </c>
      <c r="N204" t="str">
        <f>IF(_xlfn.XLOOKUP(D204,product!$A:$A,product!$B:$B,,0)=0,"",_xlfn.XLOOKUP(D204,product!$A:$A,product!$B:$B,,0))</f>
        <v>Power Silent</v>
      </c>
    </row>
    <row r="205" spans="1:14" x14ac:dyDescent="0.35">
      <c r="A205" t="s">
        <v>592</v>
      </c>
      <c r="B205" s="3">
        <v>45315</v>
      </c>
      <c r="C205" t="s">
        <v>3378</v>
      </c>
      <c r="D205" t="s">
        <v>5544</v>
      </c>
      <c r="E205">
        <v>3</v>
      </c>
      <c r="F205" t="str">
        <f>_xlfn.XLOOKUP(C205,customers!$A$1:$A$983,customers!$B$1:$B$983,,0)</f>
        <v>Lily Lee</v>
      </c>
      <c r="G205" t="str">
        <f>_xlfn.XLOOKUP(C205,customers!$A:$A,customers!$C:$C,,0)</f>
        <v>lily.lee903@yahoo.com</v>
      </c>
      <c r="H205" t="str">
        <f>IF(_xlfn.XLOOKUP(C205,customers!$A:$A,customers!$G:$G,,0)=0,"",_xlfn.XLOOKUP(C205,customers!$A:$A,customers!$G:$G,,0))</f>
        <v>Czech Republic</v>
      </c>
      <c r="I205" t="str">
        <f>IF(_xlfn.XLOOKUP(D205,product!$A:$A,product!$E:$E,,0)=0,"",_xlfn.XLOOKUP(D205,product!$A:$A,product!$E:$E,,0))</f>
        <v>FICTION</v>
      </c>
      <c r="J205" s="5">
        <f>IF(_xlfn.XLOOKUP(D205,product!$A:$A,product!$D:$D,,0)=0,"",_xlfn.XLOOKUP(D205,product!$A:$A,product!$D:$D,,0))</f>
        <v>31.93</v>
      </c>
      <c r="K205" s="7">
        <f t="shared" si="3"/>
        <v>95.789999999999992</v>
      </c>
      <c r="L205" s="10" t="str">
        <f>IF(_xlfn.XLOOKUP(D205,product!$A:$A,product!$F:$F,,0)=0,"",_xlfn.XLOOKUP(D205,product!$A:$A,product!$F:$F,,0))</f>
        <v>Yes</v>
      </c>
      <c r="M205" t="str">
        <f>IF(_xlfn.XLOOKUP(D205,product!$A:$A,product!G:G,,0)=0,"",_xlfn.XLOOKUP(D205,product!$A:$A,product!G:G,,0))</f>
        <v>Platinum</v>
      </c>
      <c r="N205" t="str">
        <f>IF(_xlfn.XLOOKUP(D205,product!$A:$A,product!$B:$B,,0)=0,"",_xlfn.XLOOKUP(D205,product!$A:$A,product!$B:$B,,0))</f>
        <v>Forest Data</v>
      </c>
    </row>
    <row r="206" spans="1:14" x14ac:dyDescent="0.35">
      <c r="A206" t="s">
        <v>609</v>
      </c>
      <c r="B206" s="3">
        <v>45228</v>
      </c>
      <c r="C206" t="s">
        <v>1096</v>
      </c>
      <c r="D206" t="s">
        <v>5545</v>
      </c>
      <c r="E206">
        <v>3</v>
      </c>
      <c r="F206" t="str">
        <f>_xlfn.XLOOKUP(C206,customers!$A$1:$A$983,customers!$B$1:$B$983,,0)</f>
        <v>William Johnson</v>
      </c>
      <c r="G206" t="str">
        <f>_xlfn.XLOOKUP(C206,customers!$A:$A,customers!$C:$C,,0)</f>
        <v>william.johnson15@gmail.com</v>
      </c>
      <c r="H206" t="str">
        <f>IF(_xlfn.XLOOKUP(C206,customers!$A:$A,customers!$G:$G,,0)=0,"",_xlfn.XLOOKUP(C206,customers!$A:$A,customers!$G:$G,,0))</f>
        <v>Spain</v>
      </c>
      <c r="I206" t="str">
        <f>IF(_xlfn.XLOOKUP(D206,product!$A:$A,product!$E:$E,,0)=0,"",_xlfn.XLOOKUP(D206,product!$A:$A,product!$E:$E,,0))</f>
        <v>SCIENCE</v>
      </c>
      <c r="J206" s="5">
        <f>IF(_xlfn.XLOOKUP(D206,product!$A:$A,product!$D:$D,,0)=0,"",_xlfn.XLOOKUP(D206,product!$A:$A,product!$D:$D,,0))</f>
        <v>21.14</v>
      </c>
      <c r="K206" s="7">
        <f t="shared" si="3"/>
        <v>63.42</v>
      </c>
      <c r="L206" s="10" t="str">
        <f>IF(_xlfn.XLOOKUP(D206,product!$A:$A,product!$F:$F,,0)=0,"",_xlfn.XLOOKUP(D206,product!$A:$A,product!$F:$F,,0))</f>
        <v>Yes</v>
      </c>
      <c r="M206" t="str">
        <f>IF(_xlfn.XLOOKUP(D206,product!$A:$A,product!G:G,,0)=0,"",_xlfn.XLOOKUP(D206,product!$A:$A,product!G:G,,0))</f>
        <v>Gold</v>
      </c>
      <c r="N206" t="str">
        <f>IF(_xlfn.XLOOKUP(D206,product!$A:$A,product!$B:$B,,0)=0,"",_xlfn.XLOOKUP(D206,product!$A:$A,product!$B:$B,,0))</f>
        <v>Future Science</v>
      </c>
    </row>
    <row r="207" spans="1:14" x14ac:dyDescent="0.35">
      <c r="A207" t="s">
        <v>626</v>
      </c>
      <c r="B207" s="3">
        <v>45599</v>
      </c>
      <c r="C207" t="s">
        <v>2254</v>
      </c>
      <c r="D207" t="s">
        <v>5546</v>
      </c>
      <c r="E207">
        <v>3</v>
      </c>
      <c r="F207" t="str">
        <f>_xlfn.XLOOKUP(C207,customers!$A$1:$A$983,customers!$B$1:$B$983,,0)</f>
        <v>Jessica Johnson</v>
      </c>
      <c r="G207" t="str">
        <f>_xlfn.XLOOKUP(C207,customers!$A:$A,customers!$C:$C,,0)</f>
        <v>jessica.johnson360@hotmail.com</v>
      </c>
      <c r="H207" t="str">
        <f>IF(_xlfn.XLOOKUP(C207,customers!$A:$A,customers!$G:$G,,0)=0,"",_xlfn.XLOOKUP(C207,customers!$A:$A,customers!$G:$G,,0))</f>
        <v>Germany</v>
      </c>
      <c r="I207" t="str">
        <f>IF(_xlfn.XLOOKUP(D207,product!$A:$A,product!$E:$E,,0)=0,"",_xlfn.XLOOKUP(D207,product!$A:$A,product!$E:$E,,0))</f>
        <v>FICTION</v>
      </c>
      <c r="J207" s="5">
        <f>IF(_xlfn.XLOOKUP(D207,product!$A:$A,product!$D:$D,,0)=0,"",_xlfn.XLOOKUP(D207,product!$A:$A,product!$D:$D,,0))</f>
        <v>13.46</v>
      </c>
      <c r="K207" s="7">
        <f t="shared" si="3"/>
        <v>40.380000000000003</v>
      </c>
      <c r="L207" s="10" t="str">
        <f>IF(_xlfn.XLOOKUP(D207,product!$A:$A,product!$F:$F,,0)=0,"",_xlfn.XLOOKUP(D207,product!$A:$A,product!$F:$F,,0))</f>
        <v>Yes</v>
      </c>
      <c r="M207" t="str">
        <f>IF(_xlfn.XLOOKUP(D207,product!$A:$A,product!G:G,,0)=0,"",_xlfn.XLOOKUP(D207,product!$A:$A,product!G:G,,0))</f>
        <v>Silver</v>
      </c>
      <c r="N207" t="str">
        <f>IF(_xlfn.XLOOKUP(D207,product!$A:$A,product!$B:$B,,0)=0,"",_xlfn.XLOOKUP(D207,product!$A:$A,product!$B:$B,,0))</f>
        <v>Power Future</v>
      </c>
    </row>
    <row r="208" spans="1:14" x14ac:dyDescent="0.35">
      <c r="A208" t="s">
        <v>643</v>
      </c>
      <c r="B208" s="3">
        <v>45262</v>
      </c>
      <c r="C208" t="s">
        <v>3344</v>
      </c>
      <c r="D208" t="s">
        <v>5547</v>
      </c>
      <c r="E208">
        <v>3</v>
      </c>
      <c r="F208" t="str">
        <f>_xlfn.XLOOKUP(C208,customers!$A$1:$A$983,customers!$B$1:$B$983,,0)</f>
        <v>Olivia Harris</v>
      </c>
      <c r="G208" t="str">
        <f>_xlfn.XLOOKUP(C208,customers!$A:$A,customers!$C:$C,,0)</f>
        <v>olivia.harris886@outlook.com</v>
      </c>
      <c r="H208" t="str">
        <f>IF(_xlfn.XLOOKUP(C208,customers!$A:$A,customers!$G:$G,,0)=0,"",_xlfn.XLOOKUP(C208,customers!$A:$A,customers!$G:$G,,0))</f>
        <v>India</v>
      </c>
      <c r="I208" t="str">
        <f>IF(_xlfn.XLOOKUP(D208,product!$A:$A,product!$E:$E,,0)=0,"",_xlfn.XLOOKUP(D208,product!$A:$A,product!$E:$E,,0))</f>
        <v>TECH</v>
      </c>
      <c r="J208" s="5">
        <f>IF(_xlfn.XLOOKUP(D208,product!$A:$A,product!$D:$D,,0)=0,"",_xlfn.XLOOKUP(D208,product!$A:$A,product!$D:$D,,0))</f>
        <v>22.95</v>
      </c>
      <c r="K208" s="7">
        <f t="shared" si="3"/>
        <v>68.849999999999994</v>
      </c>
      <c r="L208" s="10" t="str">
        <f>IF(_xlfn.XLOOKUP(D208,product!$A:$A,product!$F:$F,,0)=0,"",_xlfn.XLOOKUP(D208,product!$A:$A,product!$F:$F,,0))</f>
        <v>No</v>
      </c>
      <c r="M208" t="str">
        <f>IF(_xlfn.XLOOKUP(D208,product!$A:$A,product!G:G,,0)=0,"",_xlfn.XLOOKUP(D208,product!$A:$A,product!G:G,,0))</f>
        <v>Silver</v>
      </c>
      <c r="N208" t="str">
        <f>IF(_xlfn.XLOOKUP(D208,product!$A:$A,product!$B:$B,,0)=0,"",_xlfn.XLOOKUP(D208,product!$A:$A,product!$B:$B,,0))</f>
        <v>Data Quantum</v>
      </c>
    </row>
    <row r="209" spans="1:14" x14ac:dyDescent="0.35">
      <c r="A209" t="s">
        <v>660</v>
      </c>
      <c r="B209" s="3">
        <v>45372</v>
      </c>
      <c r="C209" t="s">
        <v>1317</v>
      </c>
      <c r="D209" t="s">
        <v>5548</v>
      </c>
      <c r="E209">
        <v>3</v>
      </c>
      <c r="F209" t="str">
        <f>_xlfn.XLOOKUP(C209,customers!$A$1:$A$983,customers!$B$1:$B$983,,0)</f>
        <v>James King</v>
      </c>
      <c r="G209" t="str">
        <f>_xlfn.XLOOKUP(C209,customers!$A:$A,customers!$C:$C,,0)</f>
        <v>james.king68@outlook.com</v>
      </c>
      <c r="H209" t="str">
        <f>IF(_xlfn.XLOOKUP(C209,customers!$A:$A,customers!$G:$G,,0)=0,"",_xlfn.XLOOKUP(C209,customers!$A:$A,customers!$G:$G,,0))</f>
        <v>Egypt</v>
      </c>
      <c r="I209" t="str">
        <f>IF(_xlfn.XLOOKUP(D209,product!$A:$A,product!$E:$E,,0)=0,"",_xlfn.XLOOKUP(D209,product!$A:$A,product!$E:$E,,0))</f>
        <v>BUSINESS</v>
      </c>
      <c r="J209" s="5">
        <f>IF(_xlfn.XLOOKUP(D209,product!$A:$A,product!$D:$D,,0)=0,"",_xlfn.XLOOKUP(D209,product!$A:$A,product!$D:$D,,0))</f>
        <v>19.54</v>
      </c>
      <c r="K209" s="7">
        <f t="shared" si="3"/>
        <v>58.62</v>
      </c>
      <c r="L209" s="10" t="str">
        <f>IF(_xlfn.XLOOKUP(D209,product!$A:$A,product!$F:$F,,0)=0,"",_xlfn.XLOOKUP(D209,product!$A:$A,product!$F:$F,,0))</f>
        <v>Yes</v>
      </c>
      <c r="M209" t="str">
        <f>IF(_xlfn.XLOOKUP(D209,product!$A:$A,product!G:G,,0)=0,"",_xlfn.XLOOKUP(D209,product!$A:$A,product!G:G,,0))</f>
        <v>Silver</v>
      </c>
      <c r="N209" t="str">
        <f>IF(_xlfn.XLOOKUP(D209,product!$A:$A,product!$B:$B,,0)=0,"",_xlfn.XLOOKUP(D209,product!$A:$A,product!$B:$B,,0))</f>
        <v>Quantum Silent</v>
      </c>
    </row>
    <row r="210" spans="1:14" x14ac:dyDescent="0.35">
      <c r="A210" t="s">
        <v>677</v>
      </c>
      <c r="B210" s="3">
        <v>44962</v>
      </c>
      <c r="C210" t="s">
        <v>2616</v>
      </c>
      <c r="D210" t="s">
        <v>5549</v>
      </c>
      <c r="E210">
        <v>3</v>
      </c>
      <c r="F210" t="str">
        <f>_xlfn.XLOOKUP(C210,customers!$A$1:$A$983,customers!$B$1:$B$983,,0)</f>
        <v>Edward Young</v>
      </c>
      <c r="G210" t="str">
        <f>_xlfn.XLOOKUP(C210,customers!$A:$A,customers!$C:$C,,0)</f>
        <v>edward.young528@gmail.com</v>
      </c>
      <c r="H210" t="str">
        <f>IF(_xlfn.XLOOKUP(C210,customers!$A:$A,customers!$G:$G,,0)=0,"",_xlfn.XLOOKUP(C210,customers!$A:$A,customers!$G:$G,,0))</f>
        <v>Spain</v>
      </c>
      <c r="I210" t="str">
        <f>IF(_xlfn.XLOOKUP(D210,product!$A:$A,product!$E:$E,,0)=0,"",_xlfn.XLOOKUP(D210,product!$A:$A,product!$E:$E,,0))</f>
        <v>SCIENCE</v>
      </c>
      <c r="J210" s="5">
        <f>IF(_xlfn.XLOOKUP(D210,product!$A:$A,product!$D:$D,,0)=0,"",_xlfn.XLOOKUP(D210,product!$A:$A,product!$D:$D,,0))</f>
        <v>35.65</v>
      </c>
      <c r="K210" s="7">
        <f t="shared" si="3"/>
        <v>106.94999999999999</v>
      </c>
      <c r="L210" s="10" t="str">
        <f>IF(_xlfn.XLOOKUP(D210,product!$A:$A,product!$F:$F,,0)=0,"",_xlfn.XLOOKUP(D210,product!$A:$A,product!$F:$F,,0))</f>
        <v>No</v>
      </c>
      <c r="M210" t="str">
        <f>IF(_xlfn.XLOOKUP(D210,product!$A:$A,product!G:G,,0)=0,"",_xlfn.XLOOKUP(D210,product!$A:$A,product!G:G,,0))</f>
        <v>Gold</v>
      </c>
      <c r="N210" t="str">
        <f>IF(_xlfn.XLOOKUP(D210,product!$A:$A,product!$B:$B,,0)=0,"",_xlfn.XLOOKUP(D210,product!$A:$A,product!$B:$B,,0))</f>
        <v>Science Quantum</v>
      </c>
    </row>
    <row r="211" spans="1:14" x14ac:dyDescent="0.35">
      <c r="A211" t="s">
        <v>694</v>
      </c>
      <c r="B211" s="3">
        <v>45473</v>
      </c>
      <c r="C211" t="s">
        <v>2806</v>
      </c>
      <c r="D211" t="s">
        <v>5550</v>
      </c>
      <c r="E211">
        <v>3</v>
      </c>
      <c r="F211" t="str">
        <f>_xlfn.XLOOKUP(C211,customers!$A$1:$A$983,customers!$B$1:$B$983,,0)</f>
        <v>Ryan Jackson</v>
      </c>
      <c r="G211" t="str">
        <f>_xlfn.XLOOKUP(C211,customers!$A:$A,customers!$C:$C,,0)</f>
        <v>ryan.jackson619@gmail.com</v>
      </c>
      <c r="H211" t="str">
        <f>IF(_xlfn.XLOOKUP(C211,customers!$A:$A,customers!$G:$G,,0)=0,"",_xlfn.XLOOKUP(C211,customers!$A:$A,customers!$G:$G,,0))</f>
        <v>Japan</v>
      </c>
      <c r="I211" t="str">
        <f>IF(_xlfn.XLOOKUP(D211,product!$A:$A,product!$E:$E,,0)=0,"",_xlfn.XLOOKUP(D211,product!$A:$A,product!$E:$E,,0))</f>
        <v>HISTORY</v>
      </c>
      <c r="J211" s="5">
        <f>IF(_xlfn.XLOOKUP(D211,product!$A:$A,product!$D:$D,,0)=0,"",_xlfn.XLOOKUP(D211,product!$A:$A,product!$D:$D,,0))</f>
        <v>22.95</v>
      </c>
      <c r="K211" s="7">
        <f t="shared" si="3"/>
        <v>68.849999999999994</v>
      </c>
      <c r="L211" s="10" t="str">
        <f>IF(_xlfn.XLOOKUP(D211,product!$A:$A,product!$F:$F,,0)=0,"",_xlfn.XLOOKUP(D211,product!$A:$A,product!$F:$F,,0))</f>
        <v>No</v>
      </c>
      <c r="M211" t="str">
        <f>IF(_xlfn.XLOOKUP(D211,product!$A:$A,product!G:G,,0)=0,"",_xlfn.XLOOKUP(D211,product!$A:$A,product!G:G,,0))</f>
        <v>None</v>
      </c>
      <c r="N211" t="str">
        <f>IF(_xlfn.XLOOKUP(D211,product!$A:$A,product!$B:$B,,0)=0,"",_xlfn.XLOOKUP(D211,product!$A:$A,product!$B:$B,,0))</f>
        <v>Data Silent</v>
      </c>
    </row>
    <row r="212" spans="1:14" x14ac:dyDescent="0.35">
      <c r="A212" t="s">
        <v>711</v>
      </c>
      <c r="B212" s="3">
        <v>45060</v>
      </c>
      <c r="C212" t="s">
        <v>1813</v>
      </c>
      <c r="D212" t="s">
        <v>5551</v>
      </c>
      <c r="E212">
        <v>3</v>
      </c>
      <c r="F212" t="str">
        <f>_xlfn.XLOOKUP(C212,customers!$A$1:$A$983,customers!$B$1:$B$983,,0)</f>
        <v>Amelia Lopez</v>
      </c>
      <c r="G212" t="str">
        <f>_xlfn.XLOOKUP(C212,customers!$A:$A,customers!$C:$C,,0)</f>
        <v>amelia.lopez202@outlook.com</v>
      </c>
      <c r="H212" t="str">
        <f>IF(_xlfn.XLOOKUP(C212,customers!$A:$A,customers!$G:$G,,0)=0,"",_xlfn.XLOOKUP(C212,customers!$A:$A,customers!$G:$G,,0))</f>
        <v>Sweden</v>
      </c>
      <c r="I212" t="str">
        <f>IF(_xlfn.XLOOKUP(D212,product!$A:$A,product!$E:$E,,0)=0,"",_xlfn.XLOOKUP(D212,product!$A:$A,product!$E:$E,,0))</f>
        <v>BUSINESS</v>
      </c>
      <c r="J212" s="5">
        <f>IF(_xlfn.XLOOKUP(D212,product!$A:$A,product!$D:$D,,0)=0,"",_xlfn.XLOOKUP(D212,product!$A:$A,product!$D:$D,,0))</f>
        <v>28.37</v>
      </c>
      <c r="K212" s="7">
        <f t="shared" si="3"/>
        <v>85.11</v>
      </c>
      <c r="L212" s="10" t="str">
        <f>IF(_xlfn.XLOOKUP(D212,product!$A:$A,product!$F:$F,,0)=0,"",_xlfn.XLOOKUP(D212,product!$A:$A,product!$F:$F,,0))</f>
        <v>Yes</v>
      </c>
      <c r="M212" t="str">
        <f>IF(_xlfn.XLOOKUP(D212,product!$A:$A,product!G:G,,0)=0,"",_xlfn.XLOOKUP(D212,product!$A:$A,product!G:G,,0))</f>
        <v>Gold</v>
      </c>
      <c r="N212" t="str">
        <f>IF(_xlfn.XLOOKUP(D212,product!$A:$A,product!$B:$B,,0)=0,"",_xlfn.XLOOKUP(D212,product!$A:$A,product!$B:$B,,0))</f>
        <v>Mind Science</v>
      </c>
    </row>
    <row r="213" spans="1:14" x14ac:dyDescent="0.35">
      <c r="A213" t="s">
        <v>728</v>
      </c>
      <c r="B213" s="3">
        <v>45582</v>
      </c>
      <c r="C213" t="s">
        <v>1889</v>
      </c>
      <c r="D213" t="s">
        <v>5553</v>
      </c>
      <c r="E213">
        <v>3</v>
      </c>
      <c r="F213" t="str">
        <f>_xlfn.XLOOKUP(C213,customers!$A$1:$A$983,customers!$B$1:$B$983,,0)</f>
        <v>Lucy Hall</v>
      </c>
      <c r="G213" t="str">
        <f>_xlfn.XLOOKUP(C213,customers!$A:$A,customers!$C:$C,,0)</f>
        <v>lucy.hall226@outlook.com</v>
      </c>
      <c r="H213" t="str">
        <f>IF(_xlfn.XLOOKUP(C213,customers!$A:$A,customers!$G:$G,,0)=0,"",_xlfn.XLOOKUP(C213,customers!$A:$A,customers!$G:$G,,0))</f>
        <v>USA</v>
      </c>
      <c r="I213" t="str">
        <f>IF(_xlfn.XLOOKUP(D213,product!$A:$A,product!$E:$E,,0)=0,"",_xlfn.XLOOKUP(D213,product!$A:$A,product!$E:$E,,0))</f>
        <v>SCIENCE</v>
      </c>
      <c r="J213" s="5">
        <f>IF(_xlfn.XLOOKUP(D213,product!$A:$A,product!$D:$D,,0)=0,"",_xlfn.XLOOKUP(D213,product!$A:$A,product!$D:$D,,0))</f>
        <v>35.450000000000003</v>
      </c>
      <c r="K213" s="7">
        <f t="shared" si="3"/>
        <v>106.35000000000001</v>
      </c>
      <c r="L213" s="10" t="str">
        <f>IF(_xlfn.XLOOKUP(D213,product!$A:$A,product!$F:$F,,0)=0,"",_xlfn.XLOOKUP(D213,product!$A:$A,product!$F:$F,,0))</f>
        <v>No</v>
      </c>
      <c r="M213" t="str">
        <f>IF(_xlfn.XLOOKUP(D213,product!$A:$A,product!G:G,,0)=0,"",_xlfn.XLOOKUP(D213,product!$A:$A,product!G:G,,0))</f>
        <v>None</v>
      </c>
      <c r="N213" t="str">
        <f>IF(_xlfn.XLOOKUP(D213,product!$A:$A,product!$B:$B,,0)=0,"",_xlfn.XLOOKUP(D213,product!$A:$A,product!$B:$B,,0))</f>
        <v>Quantum Secrets</v>
      </c>
    </row>
    <row r="214" spans="1:14" x14ac:dyDescent="0.35">
      <c r="A214" t="s">
        <v>745</v>
      </c>
      <c r="B214" s="3">
        <v>45131</v>
      </c>
      <c r="C214" t="s">
        <v>2367</v>
      </c>
      <c r="D214" t="s">
        <v>5554</v>
      </c>
      <c r="E214">
        <v>3</v>
      </c>
      <c r="F214" t="str">
        <f>_xlfn.XLOOKUP(C214,customers!$A$1:$A$983,customers!$B$1:$B$983,,0)</f>
        <v>Paul Garcia</v>
      </c>
      <c r="G214" t="str">
        <f>_xlfn.XLOOKUP(C214,customers!$A:$A,customers!$C:$C,,0)</f>
        <v>paul.garcia410@hotmail.com</v>
      </c>
      <c r="H214" t="str">
        <f>IF(_xlfn.XLOOKUP(C214,customers!$A:$A,customers!$G:$G,,0)=0,"",_xlfn.XLOOKUP(C214,customers!$A:$A,customers!$G:$G,,0))</f>
        <v>Egypt</v>
      </c>
      <c r="I214" t="str">
        <f>IF(_xlfn.XLOOKUP(D214,product!$A:$A,product!$E:$E,,0)=0,"",_xlfn.XLOOKUP(D214,product!$A:$A,product!$E:$E,,0))</f>
        <v>TECH</v>
      </c>
      <c r="J214" s="5">
        <f>IF(_xlfn.XLOOKUP(D214,product!$A:$A,product!$D:$D,,0)=0,"",_xlfn.XLOOKUP(D214,product!$A:$A,product!$D:$D,,0))</f>
        <v>26.45</v>
      </c>
      <c r="K214" s="7">
        <f t="shared" si="3"/>
        <v>79.349999999999994</v>
      </c>
      <c r="L214" s="10" t="str">
        <f>IF(_xlfn.XLOOKUP(D214,product!$A:$A,product!$F:$F,,0)=0,"",_xlfn.XLOOKUP(D214,product!$A:$A,product!$F:$F,,0))</f>
        <v>Yes</v>
      </c>
      <c r="M214" t="str">
        <f>IF(_xlfn.XLOOKUP(D214,product!$A:$A,product!G:G,,0)=0,"",_xlfn.XLOOKUP(D214,product!$A:$A,product!G:G,,0))</f>
        <v>None</v>
      </c>
      <c r="N214" t="str">
        <f>IF(_xlfn.XLOOKUP(D214,product!$A:$A,product!$B:$B,,0)=0,"",_xlfn.XLOOKUP(D214,product!$A:$A,product!$B:$B,,0))</f>
        <v>Power Quantum</v>
      </c>
    </row>
    <row r="215" spans="1:14" x14ac:dyDescent="0.35">
      <c r="A215" t="s">
        <v>762</v>
      </c>
      <c r="B215" s="3">
        <v>45506</v>
      </c>
      <c r="C215" t="s">
        <v>3066</v>
      </c>
      <c r="D215" t="s">
        <v>5556</v>
      </c>
      <c r="E215">
        <v>3</v>
      </c>
      <c r="F215" t="str">
        <f>_xlfn.XLOOKUP(C215,customers!$A$1:$A$983,customers!$B$1:$B$983,,0)</f>
        <v>Andrew Johnson</v>
      </c>
      <c r="G215" t="str">
        <f>_xlfn.XLOOKUP(C215,customers!$A:$A,customers!$C:$C,,0)</f>
        <v>andrew.johnson745@outlook.com</v>
      </c>
      <c r="H215" t="str">
        <f>IF(_xlfn.XLOOKUP(C215,customers!$A:$A,customers!$G:$G,,0)=0,"",_xlfn.XLOOKUP(C215,customers!$A:$A,customers!$G:$G,,0))</f>
        <v>Japan</v>
      </c>
      <c r="I215" t="str">
        <f>IF(_xlfn.XLOOKUP(D215,product!$A:$A,product!$E:$E,,0)=0,"",_xlfn.XLOOKUP(D215,product!$A:$A,product!$E:$E,,0))</f>
        <v>SCIENCE</v>
      </c>
      <c r="J215" s="5">
        <f>IF(_xlfn.XLOOKUP(D215,product!$A:$A,product!$D:$D,,0)=0,"",_xlfn.XLOOKUP(D215,product!$A:$A,product!$D:$D,,0))</f>
        <v>12.44</v>
      </c>
      <c r="K215" s="7">
        <f t="shared" si="3"/>
        <v>37.32</v>
      </c>
      <c r="L215" s="10" t="str">
        <f>IF(_xlfn.XLOOKUP(D215,product!$A:$A,product!$F:$F,,0)=0,"",_xlfn.XLOOKUP(D215,product!$A:$A,product!$F:$F,,0))</f>
        <v>Yes</v>
      </c>
      <c r="M215" t="str">
        <f>IF(_xlfn.XLOOKUP(D215,product!$A:$A,product!G:G,,0)=0,"",_xlfn.XLOOKUP(D215,product!$A:$A,product!G:G,,0))</f>
        <v>Gold</v>
      </c>
      <c r="N215" t="str">
        <f>IF(_xlfn.XLOOKUP(D215,product!$A:$A,product!$B:$B,,0)=0,"",_xlfn.XLOOKUP(D215,product!$A:$A,product!$B:$B,,0))</f>
        <v>Science Mind</v>
      </c>
    </row>
    <row r="216" spans="1:14" x14ac:dyDescent="0.35">
      <c r="A216" t="s">
        <v>779</v>
      </c>
      <c r="B216" s="3">
        <v>44944</v>
      </c>
      <c r="C216" t="s">
        <v>3265</v>
      </c>
      <c r="D216" t="s">
        <v>5557</v>
      </c>
      <c r="E216">
        <v>3</v>
      </c>
      <c r="F216" t="str">
        <f>_xlfn.XLOOKUP(C216,customers!$A$1:$A$983,customers!$B$1:$B$983,,0)</f>
        <v>James Allen</v>
      </c>
      <c r="G216" t="str">
        <f>_xlfn.XLOOKUP(C216,customers!$A:$A,customers!$C:$C,,0)</f>
        <v>james.allen846@yahoo.com</v>
      </c>
      <c r="H216" t="str">
        <f>IF(_xlfn.XLOOKUP(C216,customers!$A:$A,customers!$G:$G,,0)=0,"",_xlfn.XLOOKUP(C216,customers!$A:$A,customers!$G:$G,,0))</f>
        <v>China</v>
      </c>
      <c r="I216" t="str">
        <f>IF(_xlfn.XLOOKUP(D216,product!$A:$A,product!$E:$E,,0)=0,"",_xlfn.XLOOKUP(D216,product!$A:$A,product!$E:$E,,0))</f>
        <v>BUSINESS</v>
      </c>
      <c r="J216" s="5">
        <f>IF(_xlfn.XLOOKUP(D216,product!$A:$A,product!$D:$D,,0)=0,"",_xlfn.XLOOKUP(D216,product!$A:$A,product!$D:$D,,0))</f>
        <v>39.770000000000003</v>
      </c>
      <c r="K216" s="7">
        <f t="shared" si="3"/>
        <v>119.31</v>
      </c>
      <c r="L216" s="10" t="str">
        <f>IF(_xlfn.XLOOKUP(D216,product!$A:$A,product!$F:$F,,0)=0,"",_xlfn.XLOOKUP(D216,product!$A:$A,product!$F:$F,,0))</f>
        <v>Yes</v>
      </c>
      <c r="M216" t="str">
        <f>IF(_xlfn.XLOOKUP(D216,product!$A:$A,product!G:G,,0)=0,"",_xlfn.XLOOKUP(D216,product!$A:$A,product!G:G,,0))</f>
        <v>Gold</v>
      </c>
      <c r="N216" t="str">
        <f>IF(_xlfn.XLOOKUP(D216,product!$A:$A,product!$B:$B,,0)=0,"",_xlfn.XLOOKUP(D216,product!$A:$A,product!$B:$B,,0))</f>
        <v>Power Journey</v>
      </c>
    </row>
    <row r="217" spans="1:14" x14ac:dyDescent="0.35">
      <c r="A217" t="s">
        <v>796</v>
      </c>
      <c r="B217" s="3">
        <v>45396</v>
      </c>
      <c r="C217" t="s">
        <v>3339</v>
      </c>
      <c r="D217" t="s">
        <v>5558</v>
      </c>
      <c r="E217">
        <v>3</v>
      </c>
      <c r="F217" t="str">
        <f>_xlfn.XLOOKUP(C217,customers!$A$1:$A$983,customers!$B$1:$B$983,,0)</f>
        <v>James Allen</v>
      </c>
      <c r="G217" t="str">
        <f>_xlfn.XLOOKUP(C217,customers!$A:$A,customers!$C:$C,,0)</f>
        <v>james.allen883@yahoo.com</v>
      </c>
      <c r="H217" t="str">
        <f>IF(_xlfn.XLOOKUP(C217,customers!$A:$A,customers!$G:$G,,0)=0,"",_xlfn.XLOOKUP(C217,customers!$A:$A,customers!$G:$G,,0))</f>
        <v>China</v>
      </c>
      <c r="I217" t="str">
        <f>IF(_xlfn.XLOOKUP(D217,product!$A:$A,product!$E:$E,,0)=0,"",_xlfn.XLOOKUP(D217,product!$A:$A,product!$E:$E,,0))</f>
        <v>TECH</v>
      </c>
      <c r="J217" s="5">
        <f>IF(_xlfn.XLOOKUP(D217,product!$A:$A,product!$D:$D,,0)=0,"",_xlfn.XLOOKUP(D217,product!$A:$A,product!$D:$D,,0))</f>
        <v>23.42</v>
      </c>
      <c r="K217" s="7">
        <f t="shared" si="3"/>
        <v>70.260000000000005</v>
      </c>
      <c r="L217" s="10" t="str">
        <f>IF(_xlfn.XLOOKUP(D217,product!$A:$A,product!$F:$F,,0)=0,"",_xlfn.XLOOKUP(D217,product!$A:$A,product!$F:$F,,0))</f>
        <v>No</v>
      </c>
      <c r="M217" t="str">
        <f>IF(_xlfn.XLOOKUP(D217,product!$A:$A,product!G:G,,0)=0,"",_xlfn.XLOOKUP(D217,product!$A:$A,product!G:G,,0))</f>
        <v>Silver</v>
      </c>
      <c r="N217" t="str">
        <f>IF(_xlfn.XLOOKUP(D217,product!$A:$A,product!$B:$B,,0)=0,"",_xlfn.XLOOKUP(D217,product!$A:$A,product!$B:$B,,0))</f>
        <v>Secrets Mind</v>
      </c>
    </row>
    <row r="218" spans="1:14" x14ac:dyDescent="0.35">
      <c r="A218" t="s">
        <v>813</v>
      </c>
      <c r="B218" s="3">
        <v>45192</v>
      </c>
      <c r="C218" t="s">
        <v>2525</v>
      </c>
      <c r="D218" t="s">
        <v>5559</v>
      </c>
      <c r="E218">
        <v>3</v>
      </c>
      <c r="F218" t="str">
        <f>_xlfn.XLOOKUP(C218,customers!$A$1:$A$983,customers!$B$1:$B$983,,0)</f>
        <v>Joshua Martinez</v>
      </c>
      <c r="G218" t="str">
        <f>_xlfn.XLOOKUP(C218,customers!$A:$A,customers!$C:$C,,0)</f>
        <v>joshua.martinez484@yahoo.com</v>
      </c>
      <c r="H218" t="str">
        <f>IF(_xlfn.XLOOKUP(C218,customers!$A:$A,customers!$G:$G,,0)=0,"",_xlfn.XLOOKUP(C218,customers!$A:$A,customers!$G:$G,,0))</f>
        <v>Japan</v>
      </c>
      <c r="I218" t="str">
        <f>IF(_xlfn.XLOOKUP(D218,product!$A:$A,product!$E:$E,,0)=0,"",_xlfn.XLOOKUP(D218,product!$A:$A,product!$E:$E,,0))</f>
        <v>TECH</v>
      </c>
      <c r="J218" s="5">
        <f>IF(_xlfn.XLOOKUP(D218,product!$A:$A,product!$D:$D,,0)=0,"",_xlfn.XLOOKUP(D218,product!$A:$A,product!$D:$D,,0))</f>
        <v>27.19</v>
      </c>
      <c r="K218" s="7">
        <f t="shared" si="3"/>
        <v>81.570000000000007</v>
      </c>
      <c r="L218" s="10" t="str">
        <f>IF(_xlfn.XLOOKUP(D218,product!$A:$A,product!$F:$F,,0)=0,"",_xlfn.XLOOKUP(D218,product!$A:$A,product!$F:$F,,0))</f>
        <v>No</v>
      </c>
      <c r="M218" t="str">
        <f>IF(_xlfn.XLOOKUP(D218,product!$A:$A,product!G:G,,0)=0,"",_xlfn.XLOOKUP(D218,product!$A:$A,product!G:G,,0))</f>
        <v>None</v>
      </c>
      <c r="N218" t="str">
        <f>IF(_xlfn.XLOOKUP(D218,product!$A:$A,product!$B:$B,,0)=0,"",_xlfn.XLOOKUP(D218,product!$A:$A,product!$B:$B,,0))</f>
        <v>Power Journey</v>
      </c>
    </row>
    <row r="219" spans="1:14" x14ac:dyDescent="0.35">
      <c r="A219" t="s">
        <v>830</v>
      </c>
      <c r="B219" s="3">
        <v>45654</v>
      </c>
      <c r="C219" t="s">
        <v>3167</v>
      </c>
      <c r="D219" t="s">
        <v>5560</v>
      </c>
      <c r="E219">
        <v>3</v>
      </c>
      <c r="F219" t="str">
        <f>_xlfn.XLOOKUP(C219,customers!$A$1:$A$983,customers!$B$1:$B$983,,0)</f>
        <v>Kevin Green</v>
      </c>
      <c r="G219" t="str">
        <f>_xlfn.XLOOKUP(C219,customers!$A:$A,customers!$C:$C,,0)</f>
        <v>kevin.green796@outlook.com</v>
      </c>
      <c r="H219" t="str">
        <f>IF(_xlfn.XLOOKUP(C219,customers!$A:$A,customers!$G:$G,,0)=0,"",_xlfn.XLOOKUP(C219,customers!$A:$A,customers!$G:$G,,0))</f>
        <v>Sweden</v>
      </c>
      <c r="I219" t="str">
        <f>IF(_xlfn.XLOOKUP(D219,product!$A:$A,product!$E:$E,,0)=0,"",_xlfn.XLOOKUP(D219,product!$A:$A,product!$E:$E,,0))</f>
        <v>TECH</v>
      </c>
      <c r="J219" s="5">
        <f>IF(_xlfn.XLOOKUP(D219,product!$A:$A,product!$D:$D,,0)=0,"",_xlfn.XLOOKUP(D219,product!$A:$A,product!$D:$D,,0))</f>
        <v>34.15</v>
      </c>
      <c r="K219" s="7">
        <f t="shared" si="3"/>
        <v>102.44999999999999</v>
      </c>
      <c r="L219" s="10" t="str">
        <f>IF(_xlfn.XLOOKUP(D219,product!$A:$A,product!$F:$F,,0)=0,"",_xlfn.XLOOKUP(D219,product!$A:$A,product!$F:$F,,0))</f>
        <v>No</v>
      </c>
      <c r="M219" t="str">
        <f>IF(_xlfn.XLOOKUP(D219,product!$A:$A,product!G:G,,0)=0,"",_xlfn.XLOOKUP(D219,product!$A:$A,product!G:G,,0))</f>
        <v>Silver</v>
      </c>
      <c r="N219" t="str">
        <f>IF(_xlfn.XLOOKUP(D219,product!$A:$A,product!$B:$B,,0)=0,"",_xlfn.XLOOKUP(D219,product!$A:$A,product!$B:$B,,0))</f>
        <v>Mind Secrets</v>
      </c>
    </row>
    <row r="220" spans="1:14" x14ac:dyDescent="0.35">
      <c r="A220" t="s">
        <v>847</v>
      </c>
      <c r="B220" s="3">
        <v>44987</v>
      </c>
      <c r="C220" t="s">
        <v>1328</v>
      </c>
      <c r="D220" t="s">
        <v>5561</v>
      </c>
      <c r="E220">
        <v>3</v>
      </c>
      <c r="F220" t="str">
        <f>_xlfn.XLOOKUP(C220,customers!$A$1:$A$983,customers!$B$1:$B$983,,0)</f>
        <v>Ryan Martin</v>
      </c>
      <c r="G220" t="str">
        <f>_xlfn.XLOOKUP(C220,customers!$A:$A,customers!$C:$C,,0)</f>
        <v>ryan.martin71@yahoo.com</v>
      </c>
      <c r="H220" t="str">
        <f>IF(_xlfn.XLOOKUP(C220,customers!$A:$A,customers!$G:$G,,0)=0,"",_xlfn.XLOOKUP(C220,customers!$A:$A,customers!$G:$G,,0))</f>
        <v>Spain</v>
      </c>
      <c r="I220" t="str">
        <f>IF(_xlfn.XLOOKUP(D220,product!$A:$A,product!$E:$E,,0)=0,"",_xlfn.XLOOKUP(D220,product!$A:$A,product!$E:$E,,0))</f>
        <v>TECH</v>
      </c>
      <c r="J220" s="5">
        <f>IF(_xlfn.XLOOKUP(D220,product!$A:$A,product!$D:$D,,0)=0,"",_xlfn.XLOOKUP(D220,product!$A:$A,product!$D:$D,,0))</f>
        <v>25.59</v>
      </c>
      <c r="K220" s="7">
        <f t="shared" si="3"/>
        <v>76.77</v>
      </c>
      <c r="L220" s="10" t="str">
        <f>IF(_xlfn.XLOOKUP(D220,product!$A:$A,product!$F:$F,,0)=0,"",_xlfn.XLOOKUP(D220,product!$A:$A,product!$F:$F,,0))</f>
        <v>No</v>
      </c>
      <c r="M220" t="str">
        <f>IF(_xlfn.XLOOKUP(D220,product!$A:$A,product!G:G,,0)=0,"",_xlfn.XLOOKUP(D220,product!$A:$A,product!G:G,,0))</f>
        <v>Gold</v>
      </c>
      <c r="N220" t="str">
        <f>IF(_xlfn.XLOOKUP(D220,product!$A:$A,product!$B:$B,,0)=0,"",_xlfn.XLOOKUP(D220,product!$A:$A,product!$B:$B,,0))</f>
        <v>Power Journey</v>
      </c>
    </row>
    <row r="221" spans="1:14" x14ac:dyDescent="0.35">
      <c r="A221" t="s">
        <v>864</v>
      </c>
      <c r="B221" s="3">
        <v>45345</v>
      </c>
      <c r="C221" t="s">
        <v>2618</v>
      </c>
      <c r="D221" t="s">
        <v>5562</v>
      </c>
      <c r="E221">
        <v>3</v>
      </c>
      <c r="F221" t="str">
        <f>_xlfn.XLOOKUP(C221,customers!$A$1:$A$983,customers!$B$1:$B$983,,0)</f>
        <v>Ella Adams</v>
      </c>
      <c r="G221" t="str">
        <f>_xlfn.XLOOKUP(C221,customers!$A:$A,customers!$C:$C,,0)</f>
        <v>ella.adams529@hotmail.com</v>
      </c>
      <c r="H221" t="str">
        <f>IF(_xlfn.XLOOKUP(C221,customers!$A:$A,customers!$G:$G,,0)=0,"",_xlfn.XLOOKUP(C221,customers!$A:$A,customers!$G:$G,,0))</f>
        <v>Japan</v>
      </c>
      <c r="I221" t="str">
        <f>IF(_xlfn.XLOOKUP(D221,product!$A:$A,product!$E:$E,,0)=0,"",_xlfn.XLOOKUP(D221,product!$A:$A,product!$E:$E,,0))</f>
        <v>HISTORY</v>
      </c>
      <c r="J221" s="5">
        <f>IF(_xlfn.XLOOKUP(D221,product!$A:$A,product!$D:$D,,0)=0,"",_xlfn.XLOOKUP(D221,product!$A:$A,product!$D:$D,,0))</f>
        <v>13.61</v>
      </c>
      <c r="K221" s="7">
        <f t="shared" si="3"/>
        <v>40.83</v>
      </c>
      <c r="L221" s="10" t="str">
        <f>IF(_xlfn.XLOOKUP(D221,product!$A:$A,product!$F:$F,,0)=0,"",_xlfn.XLOOKUP(D221,product!$A:$A,product!$F:$F,,0))</f>
        <v>Yes</v>
      </c>
      <c r="M221" t="str">
        <f>IF(_xlfn.XLOOKUP(D221,product!$A:$A,product!G:G,,0)=0,"",_xlfn.XLOOKUP(D221,product!$A:$A,product!G:G,,0))</f>
        <v>None</v>
      </c>
      <c r="N221" t="str">
        <f>IF(_xlfn.XLOOKUP(D221,product!$A:$A,product!$B:$B,,0)=0,"",_xlfn.XLOOKUP(D221,product!$A:$A,product!$B:$B,,0))</f>
        <v>Science Secrets</v>
      </c>
    </row>
    <row r="222" spans="1:14" x14ac:dyDescent="0.35">
      <c r="A222" t="s">
        <v>881</v>
      </c>
      <c r="B222" s="3">
        <v>45169</v>
      </c>
      <c r="C222" t="s">
        <v>2812</v>
      </c>
      <c r="D222" t="s">
        <v>5563</v>
      </c>
      <c r="E222">
        <v>3</v>
      </c>
      <c r="F222" t="str">
        <f>_xlfn.XLOOKUP(C222,customers!$A$1:$A$983,customers!$B$1:$B$983,,0)</f>
        <v>William Martin</v>
      </c>
      <c r="G222" t="str">
        <f>_xlfn.XLOOKUP(C222,customers!$A:$A,customers!$C:$C,,0)</f>
        <v>william.martin622@gmail.com</v>
      </c>
      <c r="H222" t="str">
        <f>IF(_xlfn.XLOOKUP(C222,customers!$A:$A,customers!$G:$G,,0)=0,"",_xlfn.XLOOKUP(C222,customers!$A:$A,customers!$G:$G,,0))</f>
        <v>USA</v>
      </c>
      <c r="I222" t="str">
        <f>IF(_xlfn.XLOOKUP(D222,product!$A:$A,product!$E:$E,,0)=0,"",_xlfn.XLOOKUP(D222,product!$A:$A,product!$E:$E,,0))</f>
        <v>TECH</v>
      </c>
      <c r="J222" s="5">
        <f>IF(_xlfn.XLOOKUP(D222,product!$A:$A,product!$D:$D,,0)=0,"",_xlfn.XLOOKUP(D222,product!$A:$A,product!$D:$D,,0))</f>
        <v>28.8</v>
      </c>
      <c r="K222" s="7">
        <f t="shared" si="3"/>
        <v>86.4</v>
      </c>
      <c r="L222" s="10" t="str">
        <f>IF(_xlfn.XLOOKUP(D222,product!$A:$A,product!$F:$F,,0)=0,"",_xlfn.XLOOKUP(D222,product!$A:$A,product!$F:$F,,0))</f>
        <v>Yes</v>
      </c>
      <c r="M222" t="str">
        <f>IF(_xlfn.XLOOKUP(D222,product!$A:$A,product!G:G,,0)=0,"",_xlfn.XLOOKUP(D222,product!$A:$A,product!G:G,,0))</f>
        <v>None</v>
      </c>
      <c r="N222" t="str">
        <f>IF(_xlfn.XLOOKUP(D222,product!$A:$A,product!$B:$B,,0)=0,"",_xlfn.XLOOKUP(D222,product!$A:$A,product!$B:$B,,0))</f>
        <v>Future Silent</v>
      </c>
    </row>
    <row r="223" spans="1:14" x14ac:dyDescent="0.35">
      <c r="A223" t="s">
        <v>898</v>
      </c>
      <c r="B223" s="3">
        <v>45431</v>
      </c>
      <c r="C223" t="s">
        <v>2513</v>
      </c>
      <c r="D223" t="s">
        <v>5564</v>
      </c>
      <c r="E223">
        <v>3</v>
      </c>
      <c r="F223" t="str">
        <f>_xlfn.XLOOKUP(C223,customers!$A$1:$A$983,customers!$B$1:$B$983,,0)</f>
        <v>Thomas Rodriguez</v>
      </c>
      <c r="G223" t="str">
        <f>_xlfn.XLOOKUP(C223,customers!$A:$A,customers!$C:$C,,0)</f>
        <v>thomas.rodriguez478@gmail.com</v>
      </c>
      <c r="H223" t="str">
        <f>IF(_xlfn.XLOOKUP(C223,customers!$A:$A,customers!$G:$G,,0)=0,"",_xlfn.XLOOKUP(C223,customers!$A:$A,customers!$G:$G,,0))</f>
        <v>USA</v>
      </c>
      <c r="I223" t="str">
        <f>IF(_xlfn.XLOOKUP(D223,product!$A:$A,product!$E:$E,,0)=0,"",_xlfn.XLOOKUP(D223,product!$A:$A,product!$E:$E,,0))</f>
        <v>TECH</v>
      </c>
      <c r="J223" s="5">
        <f>IF(_xlfn.XLOOKUP(D223,product!$A:$A,product!$D:$D,,0)=0,"",_xlfn.XLOOKUP(D223,product!$A:$A,product!$D:$D,,0))</f>
        <v>28.79</v>
      </c>
      <c r="K223" s="7">
        <f t="shared" si="3"/>
        <v>86.37</v>
      </c>
      <c r="L223" s="10" t="str">
        <f>IF(_xlfn.XLOOKUP(D223,product!$A:$A,product!$F:$F,,0)=0,"",_xlfn.XLOOKUP(D223,product!$A:$A,product!$F:$F,,0))</f>
        <v>Yes</v>
      </c>
      <c r="M223" t="str">
        <f>IF(_xlfn.XLOOKUP(D223,product!$A:$A,product!G:G,,0)=0,"",_xlfn.XLOOKUP(D223,product!$A:$A,product!G:G,,0))</f>
        <v>None</v>
      </c>
      <c r="N223" t="str">
        <f>IF(_xlfn.XLOOKUP(D223,product!$A:$A,product!$B:$B,,0)=0,"",_xlfn.XLOOKUP(D223,product!$A:$A,product!$B:$B,,0))</f>
        <v>Science Silent</v>
      </c>
    </row>
    <row r="224" spans="1:14" x14ac:dyDescent="0.35">
      <c r="A224" t="s">
        <v>915</v>
      </c>
      <c r="B224" s="3">
        <v>45241</v>
      </c>
      <c r="C224" t="s">
        <v>3113</v>
      </c>
      <c r="D224" t="s">
        <v>5565</v>
      </c>
      <c r="E224">
        <v>3</v>
      </c>
      <c r="F224" t="str">
        <f>_xlfn.XLOOKUP(C224,customers!$A$1:$A$983,customers!$B$1:$B$983,,0)</f>
        <v>Zoe Martin</v>
      </c>
      <c r="G224" t="str">
        <f>_xlfn.XLOOKUP(C224,customers!$A:$A,customers!$C:$C,,0)</f>
        <v>zoe.martin769@gmail.com</v>
      </c>
      <c r="H224" t="str">
        <f>IF(_xlfn.XLOOKUP(C224,customers!$A:$A,customers!$G:$G,,0)=0,"",_xlfn.XLOOKUP(C224,customers!$A:$A,customers!$G:$G,,0))</f>
        <v>Sweden</v>
      </c>
      <c r="I224" t="str">
        <f>IF(_xlfn.XLOOKUP(D224,product!$A:$A,product!$E:$E,,0)=0,"",_xlfn.XLOOKUP(D224,product!$A:$A,product!$E:$E,,0))</f>
        <v>SCIENCE</v>
      </c>
      <c r="J224" s="5">
        <f>IF(_xlfn.XLOOKUP(D224,product!$A:$A,product!$D:$D,,0)=0,"",_xlfn.XLOOKUP(D224,product!$A:$A,product!$D:$D,,0))</f>
        <v>30.98</v>
      </c>
      <c r="K224" s="7">
        <f t="shared" si="3"/>
        <v>92.94</v>
      </c>
      <c r="L224" s="10" t="str">
        <f>IF(_xlfn.XLOOKUP(D224,product!$A:$A,product!$F:$F,,0)=0,"",_xlfn.XLOOKUP(D224,product!$A:$A,product!$F:$F,,0))</f>
        <v>No</v>
      </c>
      <c r="M224" t="str">
        <f>IF(_xlfn.XLOOKUP(D224,product!$A:$A,product!G:G,,0)=0,"",_xlfn.XLOOKUP(D224,product!$A:$A,product!G:G,,0))</f>
        <v>None</v>
      </c>
      <c r="N224" t="str">
        <f>IF(_xlfn.XLOOKUP(D224,product!$A:$A,product!$B:$B,,0)=0,"",_xlfn.XLOOKUP(D224,product!$A:$A,product!$B:$B,,0))</f>
        <v>Science Forest</v>
      </c>
    </row>
    <row r="225" spans="1:14" x14ac:dyDescent="0.35">
      <c r="A225" t="s">
        <v>932</v>
      </c>
      <c r="B225" s="3">
        <v>45479</v>
      </c>
      <c r="C225" t="s">
        <v>1333</v>
      </c>
      <c r="D225" t="s">
        <v>5566</v>
      </c>
      <c r="E225">
        <v>3</v>
      </c>
      <c r="F225" t="str">
        <f>_xlfn.XLOOKUP(C225,customers!$A$1:$A$983,customers!$B$1:$B$983,,0)</f>
        <v>Ava King</v>
      </c>
      <c r="G225" t="str">
        <f>_xlfn.XLOOKUP(C225,customers!$A:$A,customers!$C:$C,,0)</f>
        <v>ava.king72@hotmail.com</v>
      </c>
      <c r="H225" t="str">
        <f>IF(_xlfn.XLOOKUP(C225,customers!$A:$A,customers!$G:$G,,0)=0,"",_xlfn.XLOOKUP(C225,customers!$A:$A,customers!$G:$G,,0))</f>
        <v>Germany</v>
      </c>
      <c r="I225" t="str">
        <f>IF(_xlfn.XLOOKUP(D225,product!$A:$A,product!$E:$E,,0)=0,"",_xlfn.XLOOKUP(D225,product!$A:$A,product!$E:$E,,0))</f>
        <v>SCIENCE</v>
      </c>
      <c r="J225" s="5">
        <f>IF(_xlfn.XLOOKUP(D225,product!$A:$A,product!$D:$D,,0)=0,"",_xlfn.XLOOKUP(D225,product!$A:$A,product!$D:$D,,0))</f>
        <v>29.4</v>
      </c>
      <c r="K225" s="7">
        <f t="shared" si="3"/>
        <v>88.199999999999989</v>
      </c>
      <c r="L225" s="10" t="str">
        <f>IF(_xlfn.XLOOKUP(D225,product!$A:$A,product!$F:$F,,0)=0,"",_xlfn.XLOOKUP(D225,product!$A:$A,product!$F:$F,,0))</f>
        <v>Yes</v>
      </c>
      <c r="M225" t="str">
        <f>IF(_xlfn.XLOOKUP(D225,product!$A:$A,product!G:G,,0)=0,"",_xlfn.XLOOKUP(D225,product!$A:$A,product!G:G,,0))</f>
        <v>Gold</v>
      </c>
      <c r="N225" t="str">
        <f>IF(_xlfn.XLOOKUP(D225,product!$A:$A,product!$B:$B,,0)=0,"",_xlfn.XLOOKUP(D225,product!$A:$A,product!$B:$B,,0))</f>
        <v>Journey Mind</v>
      </c>
    </row>
    <row r="226" spans="1:14" x14ac:dyDescent="0.35">
      <c r="A226" t="s">
        <v>949</v>
      </c>
      <c r="B226" s="3">
        <v>45099</v>
      </c>
      <c r="C226" t="s">
        <v>1188</v>
      </c>
      <c r="D226" t="s">
        <v>5567</v>
      </c>
      <c r="E226">
        <v>3</v>
      </c>
      <c r="F226" t="str">
        <f>_xlfn.XLOOKUP(C226,customers!$A$1:$A$983,customers!$B$1:$B$983,,0)</f>
        <v>Peter Thompson</v>
      </c>
      <c r="G226" t="str">
        <f>_xlfn.XLOOKUP(C226,customers!$A:$A,customers!$C:$C,,0)</f>
        <v>peter.thompson36@gmail.com</v>
      </c>
      <c r="H226" t="str">
        <f>IF(_xlfn.XLOOKUP(C226,customers!$A:$A,customers!$G:$G,,0)=0,"",_xlfn.XLOOKUP(C226,customers!$A:$A,customers!$G:$G,,0))</f>
        <v>Germany</v>
      </c>
      <c r="I226" t="str">
        <f>IF(_xlfn.XLOOKUP(D226,product!$A:$A,product!$E:$E,,0)=0,"",_xlfn.XLOOKUP(D226,product!$A:$A,product!$E:$E,,0))</f>
        <v>FICTION</v>
      </c>
      <c r="J226" s="5">
        <f>IF(_xlfn.XLOOKUP(D226,product!$A:$A,product!$D:$D,,0)=0,"",_xlfn.XLOOKUP(D226,product!$A:$A,product!$D:$D,,0))</f>
        <v>29.7</v>
      </c>
      <c r="K226" s="7">
        <f t="shared" si="3"/>
        <v>89.1</v>
      </c>
      <c r="L226" s="10" t="str">
        <f>IF(_xlfn.XLOOKUP(D226,product!$A:$A,product!$F:$F,,0)=0,"",_xlfn.XLOOKUP(D226,product!$A:$A,product!$F:$F,,0))</f>
        <v>No</v>
      </c>
      <c r="M226" t="str">
        <f>IF(_xlfn.XLOOKUP(D226,product!$A:$A,product!G:G,,0)=0,"",_xlfn.XLOOKUP(D226,product!$A:$A,product!G:G,,0))</f>
        <v>Platinum</v>
      </c>
      <c r="N226" t="str">
        <f>IF(_xlfn.XLOOKUP(D226,product!$A:$A,product!$B:$B,,0)=0,"",_xlfn.XLOOKUP(D226,product!$A:$A,product!$B:$B,,0))</f>
        <v>Forest Future</v>
      </c>
    </row>
    <row r="227" spans="1:14" x14ac:dyDescent="0.35">
      <c r="A227" t="s">
        <v>966</v>
      </c>
      <c r="B227" s="3">
        <v>45560</v>
      </c>
      <c r="C227" t="s">
        <v>126</v>
      </c>
      <c r="D227" t="s">
        <v>5568</v>
      </c>
      <c r="E227">
        <v>3</v>
      </c>
      <c r="F227" t="str">
        <f>_xlfn.XLOOKUP(C227,customers!$A$1:$A$983,customers!$B$1:$B$983,,0)</f>
        <v>Lily Johnson</v>
      </c>
      <c r="G227" t="str">
        <f>_xlfn.XLOOKUP(C227,customers!$A:$A,customers!$C:$C,,0)</f>
        <v>lily.johnson7@outlook.com</v>
      </c>
      <c r="H227" t="str">
        <f>IF(_xlfn.XLOOKUP(C227,customers!$A:$A,customers!$G:$G,,0)=0,"",_xlfn.XLOOKUP(C227,customers!$A:$A,customers!$G:$G,,0))</f>
        <v/>
      </c>
      <c r="I227" t="str">
        <f>IF(_xlfn.XLOOKUP(D227,product!$A:$A,product!$E:$E,,0)=0,"",_xlfn.XLOOKUP(D227,product!$A:$A,product!$E:$E,,0))</f>
        <v>HISTORY</v>
      </c>
      <c r="J227" s="5">
        <f>IF(_xlfn.XLOOKUP(D227,product!$A:$A,product!$D:$D,,0)=0,"",_xlfn.XLOOKUP(D227,product!$A:$A,product!$D:$D,,0))</f>
        <v>29.97</v>
      </c>
      <c r="K227" s="7">
        <f t="shared" si="3"/>
        <v>89.91</v>
      </c>
      <c r="L227" s="10" t="str">
        <f>IF(_xlfn.XLOOKUP(D227,product!$A:$A,product!$F:$F,,0)=0,"",_xlfn.XLOOKUP(D227,product!$A:$A,product!$F:$F,,0))</f>
        <v>Yes</v>
      </c>
      <c r="M227" t="str">
        <f>IF(_xlfn.XLOOKUP(D227,product!$A:$A,product!G:G,,0)=0,"",_xlfn.XLOOKUP(D227,product!$A:$A,product!G:G,,0))</f>
        <v>None</v>
      </c>
      <c r="N227" t="str">
        <f>IF(_xlfn.XLOOKUP(D227,product!$A:$A,product!$B:$B,,0)=0,"",_xlfn.XLOOKUP(D227,product!$A:$A,product!$B:$B,,0))</f>
        <v>Future Forest</v>
      </c>
    </row>
    <row r="228" spans="1:14" x14ac:dyDescent="0.35">
      <c r="A228" t="s">
        <v>983</v>
      </c>
      <c r="B228" s="3">
        <v>45045</v>
      </c>
      <c r="C228" t="s">
        <v>2938</v>
      </c>
      <c r="D228" t="s">
        <v>5569</v>
      </c>
      <c r="E228">
        <v>3</v>
      </c>
      <c r="F228" t="str">
        <f>_xlfn.XLOOKUP(C228,customers!$A$1:$A$983,customers!$B$1:$B$983,,0)</f>
        <v>William Anderson</v>
      </c>
      <c r="G228" t="str">
        <f>_xlfn.XLOOKUP(C228,customers!$A:$A,customers!$C:$C,,0)</f>
        <v>william.anderson684@hotmail.com</v>
      </c>
      <c r="H228" t="str">
        <f>IF(_xlfn.XLOOKUP(C228,customers!$A:$A,customers!$G:$G,,0)=0,"",_xlfn.XLOOKUP(C228,customers!$A:$A,customers!$G:$G,,0))</f>
        <v>Germany</v>
      </c>
      <c r="I228" t="str">
        <f>IF(_xlfn.XLOOKUP(D228,product!$A:$A,product!$E:$E,,0)=0,"",_xlfn.XLOOKUP(D228,product!$A:$A,product!$E:$E,,0))</f>
        <v>BUSINESS</v>
      </c>
      <c r="J228" s="5">
        <f>IF(_xlfn.XLOOKUP(D228,product!$A:$A,product!$D:$D,,0)=0,"",_xlfn.XLOOKUP(D228,product!$A:$A,product!$D:$D,,0))</f>
        <v>38.83</v>
      </c>
      <c r="K228" s="7">
        <f t="shared" si="3"/>
        <v>116.49</v>
      </c>
      <c r="L228" s="10" t="str">
        <f>IF(_xlfn.XLOOKUP(D228,product!$A:$A,product!$F:$F,,0)=0,"",_xlfn.XLOOKUP(D228,product!$A:$A,product!$F:$F,,0))</f>
        <v>Yes</v>
      </c>
      <c r="M228" t="str">
        <f>IF(_xlfn.XLOOKUP(D228,product!$A:$A,product!G:G,,0)=0,"",_xlfn.XLOOKUP(D228,product!$A:$A,product!G:G,,0))</f>
        <v>Silver</v>
      </c>
      <c r="N228" t="str">
        <f>IF(_xlfn.XLOOKUP(D228,product!$A:$A,product!$B:$B,,0)=0,"",_xlfn.XLOOKUP(D228,product!$A:$A,product!$B:$B,,0))</f>
        <v>Forest Silent</v>
      </c>
    </row>
    <row r="229" spans="1:14" x14ac:dyDescent="0.35">
      <c r="A229" t="s">
        <v>1000</v>
      </c>
      <c r="B229" s="3">
        <v>45310</v>
      </c>
      <c r="C229" t="s">
        <v>2317</v>
      </c>
      <c r="D229" t="s">
        <v>5570</v>
      </c>
      <c r="E229">
        <v>3</v>
      </c>
      <c r="F229" t="str">
        <f>_xlfn.XLOOKUP(C229,customers!$A$1:$A$983,customers!$B$1:$B$983,,0)</f>
        <v>Anna Allen</v>
      </c>
      <c r="G229" t="str">
        <f>_xlfn.XLOOKUP(C229,customers!$A:$A,customers!$C:$C,,0)</f>
        <v>anna.allen387@hotmail.com</v>
      </c>
      <c r="H229" t="str">
        <f>IF(_xlfn.XLOOKUP(C229,customers!$A:$A,customers!$G:$G,,0)=0,"",_xlfn.XLOOKUP(C229,customers!$A:$A,customers!$G:$G,,0))</f>
        <v>Germany</v>
      </c>
      <c r="I229" t="str">
        <f>IF(_xlfn.XLOOKUP(D229,product!$A:$A,product!$E:$E,,0)=0,"",_xlfn.XLOOKUP(D229,product!$A:$A,product!$E:$E,,0))</f>
        <v>TECH</v>
      </c>
      <c r="J229" s="5">
        <f>IF(_xlfn.XLOOKUP(D229,product!$A:$A,product!$D:$D,,0)=0,"",_xlfn.XLOOKUP(D229,product!$A:$A,product!$D:$D,,0))</f>
        <v>18.11</v>
      </c>
      <c r="K229" s="7">
        <f t="shared" si="3"/>
        <v>54.33</v>
      </c>
      <c r="L229" s="10" t="str">
        <f>IF(_xlfn.XLOOKUP(D229,product!$A:$A,product!$F:$F,,0)=0,"",_xlfn.XLOOKUP(D229,product!$A:$A,product!$F:$F,,0))</f>
        <v>Yes</v>
      </c>
      <c r="M229" t="str">
        <f>IF(_xlfn.XLOOKUP(D229,product!$A:$A,product!G:G,,0)=0,"",_xlfn.XLOOKUP(D229,product!$A:$A,product!G:G,,0))</f>
        <v>Silver</v>
      </c>
      <c r="N229" t="str">
        <f>IF(_xlfn.XLOOKUP(D229,product!$A:$A,product!$B:$B,,0)=0,"",_xlfn.XLOOKUP(D229,product!$A:$A,product!$B:$B,,0))</f>
        <v>Mind Quantum</v>
      </c>
    </row>
    <row r="230" spans="1:14" x14ac:dyDescent="0.35">
      <c r="A230" t="s">
        <v>1017</v>
      </c>
      <c r="B230" s="3">
        <v>45205</v>
      </c>
      <c r="C230" t="s">
        <v>2022</v>
      </c>
      <c r="D230" t="s">
        <v>5571</v>
      </c>
      <c r="E230">
        <v>3</v>
      </c>
      <c r="F230" t="str">
        <f>_xlfn.XLOOKUP(C230,customers!$A$1:$A$983,customers!$B$1:$B$983,,0)</f>
        <v>Emily Johnson</v>
      </c>
      <c r="G230" t="str">
        <f>_xlfn.XLOOKUP(C230,customers!$A:$A,customers!$C:$C,,0)</f>
        <v>emily.johnson268@outlook.com</v>
      </c>
      <c r="H230" t="str">
        <f>IF(_xlfn.XLOOKUP(C230,customers!$A:$A,customers!$G:$G,,0)=0,"",_xlfn.XLOOKUP(C230,customers!$A:$A,customers!$G:$G,,0))</f>
        <v>Japan</v>
      </c>
      <c r="I230" t="str">
        <f>IF(_xlfn.XLOOKUP(D230,product!$A:$A,product!$E:$E,,0)=0,"",_xlfn.XLOOKUP(D230,product!$A:$A,product!$E:$E,,0))</f>
        <v>TECH</v>
      </c>
      <c r="J230" s="5">
        <f>IF(_xlfn.XLOOKUP(D230,product!$A:$A,product!$D:$D,,0)=0,"",_xlfn.XLOOKUP(D230,product!$A:$A,product!$D:$D,,0))</f>
        <v>20.48</v>
      </c>
      <c r="K230" s="7">
        <f t="shared" si="3"/>
        <v>61.44</v>
      </c>
      <c r="L230" s="10" t="str">
        <f>IF(_xlfn.XLOOKUP(D230,product!$A:$A,product!$F:$F,,0)=0,"",_xlfn.XLOOKUP(D230,product!$A:$A,product!$F:$F,,0))</f>
        <v>No</v>
      </c>
      <c r="M230" t="str">
        <f>IF(_xlfn.XLOOKUP(D230,product!$A:$A,product!G:G,,0)=0,"",_xlfn.XLOOKUP(D230,product!$A:$A,product!G:G,,0))</f>
        <v>Silver</v>
      </c>
      <c r="N230" t="str">
        <f>IF(_xlfn.XLOOKUP(D230,product!$A:$A,product!$B:$B,,0)=0,"",_xlfn.XLOOKUP(D230,product!$A:$A,product!$B:$B,,0))</f>
        <v>Science Silent</v>
      </c>
    </row>
    <row r="231" spans="1:14" x14ac:dyDescent="0.35">
      <c r="A231" t="s">
        <v>1034</v>
      </c>
      <c r="B231" s="3">
        <v>45608</v>
      </c>
      <c r="C231" t="s">
        <v>2310</v>
      </c>
      <c r="D231" t="s">
        <v>5572</v>
      </c>
      <c r="E231">
        <v>3</v>
      </c>
      <c r="F231" t="str">
        <f>_xlfn.XLOOKUP(C231,customers!$A$1:$A$983,customers!$B$1:$B$983,,0)</f>
        <v>David Jackson</v>
      </c>
      <c r="G231" t="str">
        <f>_xlfn.XLOOKUP(C231,customers!$A:$A,customers!$C:$C,,0)</f>
        <v>david.jackson384@hotmail.com</v>
      </c>
      <c r="H231" t="str">
        <f>IF(_xlfn.XLOOKUP(C231,customers!$A:$A,customers!$G:$G,,0)=0,"",_xlfn.XLOOKUP(C231,customers!$A:$A,customers!$G:$G,,0))</f>
        <v>Spain</v>
      </c>
      <c r="I231" t="str">
        <f>IF(_xlfn.XLOOKUP(D231,product!$A:$A,product!$E:$E,,0)=0,"",_xlfn.XLOOKUP(D231,product!$A:$A,product!$E:$E,,0))</f>
        <v>FICTION</v>
      </c>
      <c r="J231" s="5">
        <f>IF(_xlfn.XLOOKUP(D231,product!$A:$A,product!$D:$D,,0)=0,"",_xlfn.XLOOKUP(D231,product!$A:$A,product!$D:$D,,0))</f>
        <v>27.27</v>
      </c>
      <c r="K231" s="7">
        <f t="shared" si="3"/>
        <v>81.81</v>
      </c>
      <c r="L231" s="10" t="str">
        <f>IF(_xlfn.XLOOKUP(D231,product!$A:$A,product!$F:$F,,0)=0,"",_xlfn.XLOOKUP(D231,product!$A:$A,product!$F:$F,,0))</f>
        <v>No</v>
      </c>
      <c r="M231" t="str">
        <f>IF(_xlfn.XLOOKUP(D231,product!$A:$A,product!G:G,,0)=0,"",_xlfn.XLOOKUP(D231,product!$A:$A,product!G:G,,0))</f>
        <v>Silver</v>
      </c>
      <c r="N231" t="str">
        <f>IF(_xlfn.XLOOKUP(D231,product!$A:$A,product!$B:$B,,0)=0,"",_xlfn.XLOOKUP(D231,product!$A:$A,product!$B:$B,,0))</f>
        <v>Mind Future</v>
      </c>
    </row>
    <row r="232" spans="1:14" x14ac:dyDescent="0.35">
      <c r="A232" t="s">
        <v>1051</v>
      </c>
      <c r="B232" s="3">
        <v>45279</v>
      </c>
      <c r="C232" t="s">
        <v>2940</v>
      </c>
      <c r="D232" t="s">
        <v>5573</v>
      </c>
      <c r="E232">
        <v>3</v>
      </c>
      <c r="F232" t="str">
        <f>_xlfn.XLOOKUP(C232,customers!$A$1:$A$983,customers!$B$1:$B$983,,0)</f>
        <v>Chloe Jackson</v>
      </c>
      <c r="G232" t="str">
        <f>_xlfn.XLOOKUP(C232,customers!$A:$A,customers!$C:$C,,0)</f>
        <v>chloe.jackson685@outlook.com</v>
      </c>
      <c r="H232" t="str">
        <f>IF(_xlfn.XLOOKUP(C232,customers!$A:$A,customers!$G:$G,,0)=0,"",_xlfn.XLOOKUP(C232,customers!$A:$A,customers!$G:$G,,0))</f>
        <v>USA</v>
      </c>
      <c r="I232" t="str">
        <f>IF(_xlfn.XLOOKUP(D232,product!$A:$A,product!$E:$E,,0)=0,"",_xlfn.XLOOKUP(D232,product!$A:$A,product!$E:$E,,0))</f>
        <v>HISTORY</v>
      </c>
      <c r="J232" s="5">
        <f>IF(_xlfn.XLOOKUP(D232,product!$A:$A,product!$D:$D,,0)=0,"",_xlfn.XLOOKUP(D232,product!$A:$A,product!$D:$D,,0))</f>
        <v>16.489999999999998</v>
      </c>
      <c r="K232" s="7">
        <f t="shared" si="3"/>
        <v>49.47</v>
      </c>
      <c r="L232" s="10" t="str">
        <f>IF(_xlfn.XLOOKUP(D232,product!$A:$A,product!$F:$F,,0)=0,"",_xlfn.XLOOKUP(D232,product!$A:$A,product!$F:$F,,0))</f>
        <v>Yes</v>
      </c>
      <c r="M232" t="str">
        <f>IF(_xlfn.XLOOKUP(D232,product!$A:$A,product!G:G,,0)=0,"",_xlfn.XLOOKUP(D232,product!$A:$A,product!G:G,,0))</f>
        <v>None</v>
      </c>
      <c r="N232" t="str">
        <f>IF(_xlfn.XLOOKUP(D232,product!$A:$A,product!$B:$B,,0)=0,"",_xlfn.XLOOKUP(D232,product!$A:$A,product!$B:$B,,0))</f>
        <v>Quantum Science</v>
      </c>
    </row>
    <row r="233" spans="1:14" x14ac:dyDescent="0.35">
      <c r="A233" t="s">
        <v>13</v>
      </c>
      <c r="B233" s="3">
        <v>45361</v>
      </c>
      <c r="C233" t="s">
        <v>2351</v>
      </c>
      <c r="D233" t="s">
        <v>5574</v>
      </c>
      <c r="E233">
        <v>2</v>
      </c>
      <c r="F233" t="str">
        <f>_xlfn.XLOOKUP(C233,customers!$A$1:$A$983,customers!$B$1:$B$983,,0)</f>
        <v>Ella Garcia</v>
      </c>
      <c r="G233" t="str">
        <f>_xlfn.XLOOKUP(C233,customers!$A:$A,customers!$C:$C,,0)</f>
        <v>ella.garcia403@gmail.com</v>
      </c>
      <c r="H233" t="str">
        <f>IF(_xlfn.XLOOKUP(C233,customers!$A:$A,customers!$G:$G,,0)=0,"",_xlfn.XLOOKUP(C233,customers!$A:$A,customers!$G:$G,,0))</f>
        <v>Japan</v>
      </c>
      <c r="I233" t="str">
        <f>IF(_xlfn.XLOOKUP(D233,product!$A:$A,product!$E:$E,,0)=0,"",_xlfn.XLOOKUP(D233,product!$A:$A,product!$E:$E,,0))</f>
        <v>BUSINESS</v>
      </c>
      <c r="J233" s="5">
        <f>IF(_xlfn.XLOOKUP(D233,product!$A:$A,product!$D:$D,,0)=0,"",_xlfn.XLOOKUP(D233,product!$A:$A,product!$D:$D,,0))</f>
        <v>17.27</v>
      </c>
      <c r="K233" s="7">
        <f t="shared" si="3"/>
        <v>34.54</v>
      </c>
      <c r="L233" s="10" t="str">
        <f>IF(_xlfn.XLOOKUP(D233,product!$A:$A,product!$F:$F,,0)=0,"",_xlfn.XLOOKUP(D233,product!$A:$A,product!$F:$F,,0))</f>
        <v>No</v>
      </c>
      <c r="M233" t="str">
        <f>IF(_xlfn.XLOOKUP(D233,product!$A:$A,product!G:G,,0)=0,"",_xlfn.XLOOKUP(D233,product!$A:$A,product!G:G,,0))</f>
        <v>Platinum</v>
      </c>
      <c r="N233" t="str">
        <f>IF(_xlfn.XLOOKUP(D233,product!$A:$A,product!$B:$B,,0)=0,"",_xlfn.XLOOKUP(D233,product!$A:$A,product!$B:$B,,0))</f>
        <v>Power Secrets</v>
      </c>
    </row>
    <row r="234" spans="1:14" x14ac:dyDescent="0.35">
      <c r="A234" t="s">
        <v>34</v>
      </c>
      <c r="B234" s="3">
        <v>44984</v>
      </c>
      <c r="C234" t="s">
        <v>1835</v>
      </c>
      <c r="D234" t="s">
        <v>5575</v>
      </c>
      <c r="E234">
        <v>2</v>
      </c>
      <c r="F234" t="str">
        <f>_xlfn.XLOOKUP(C234,customers!$A$1:$A$983,customers!$B$1:$B$983,,0)</f>
        <v>Amelia Thompson</v>
      </c>
      <c r="G234" t="str">
        <f>_xlfn.XLOOKUP(C234,customers!$A:$A,customers!$C:$C,,0)</f>
        <v>amelia.thompson209@hotmail.com</v>
      </c>
      <c r="H234" t="str">
        <f>IF(_xlfn.XLOOKUP(C234,customers!$A:$A,customers!$G:$G,,0)=0,"",_xlfn.XLOOKUP(C234,customers!$A:$A,customers!$G:$G,,0))</f>
        <v>Pakistan</v>
      </c>
      <c r="I234" t="str">
        <f>IF(_xlfn.XLOOKUP(D234,product!$A:$A,product!$E:$E,,0)=0,"",_xlfn.XLOOKUP(D234,product!$A:$A,product!$E:$E,,0))</f>
        <v>SCIENCE</v>
      </c>
      <c r="J234" s="5">
        <f>IF(_xlfn.XLOOKUP(D234,product!$A:$A,product!$D:$D,,0)=0,"",_xlfn.XLOOKUP(D234,product!$A:$A,product!$D:$D,,0))</f>
        <v>13.48</v>
      </c>
      <c r="K234" s="7">
        <f t="shared" si="3"/>
        <v>26.96</v>
      </c>
      <c r="L234" s="10" t="str">
        <f>IF(_xlfn.XLOOKUP(D234,product!$A:$A,product!$F:$F,,0)=0,"",_xlfn.XLOOKUP(D234,product!$A:$A,product!$F:$F,,0))</f>
        <v>Yes</v>
      </c>
      <c r="M234" t="str">
        <f>IF(_xlfn.XLOOKUP(D234,product!$A:$A,product!G:G,,0)=0,"",_xlfn.XLOOKUP(D234,product!$A:$A,product!G:G,,0))</f>
        <v>Silver</v>
      </c>
      <c r="N234" t="str">
        <f>IF(_xlfn.XLOOKUP(D234,product!$A:$A,product!$B:$B,,0)=0,"",_xlfn.XLOOKUP(D234,product!$A:$A,product!$B:$B,,0))</f>
        <v>Power Future</v>
      </c>
    </row>
    <row r="235" spans="1:14" x14ac:dyDescent="0.35">
      <c r="A235" t="s">
        <v>51</v>
      </c>
      <c r="B235" s="3">
        <v>45456</v>
      </c>
      <c r="C235" t="s">
        <v>2800</v>
      </c>
      <c r="D235" t="s">
        <v>5576</v>
      </c>
      <c r="E235">
        <v>1</v>
      </c>
      <c r="F235" t="str">
        <f>_xlfn.XLOOKUP(C235,customers!$A$1:$A$983,customers!$B$1:$B$983,,0)</f>
        <v>Kevin Adams</v>
      </c>
      <c r="G235" t="str">
        <f>_xlfn.XLOOKUP(C235,customers!$A:$A,customers!$C:$C,,0)</f>
        <v>kevin.adams616@gmail.com</v>
      </c>
      <c r="H235" t="str">
        <f>IF(_xlfn.XLOOKUP(C235,customers!$A:$A,customers!$G:$G,,0)=0,"",_xlfn.XLOOKUP(C235,customers!$A:$A,customers!$G:$G,,0))</f>
        <v>Sweden</v>
      </c>
      <c r="I235" t="str">
        <f>IF(_xlfn.XLOOKUP(D235,product!$A:$A,product!$E:$E,,0)=0,"",_xlfn.XLOOKUP(D235,product!$A:$A,product!$E:$E,,0))</f>
        <v>FICTION</v>
      </c>
      <c r="J235" s="5">
        <f>IF(_xlfn.XLOOKUP(D235,product!$A:$A,product!$D:$D,,0)=0,"",_xlfn.XLOOKUP(D235,product!$A:$A,product!$D:$D,,0))</f>
        <v>25.95</v>
      </c>
      <c r="K235" s="7">
        <f t="shared" si="3"/>
        <v>25.95</v>
      </c>
      <c r="L235" s="10" t="str">
        <f>IF(_xlfn.XLOOKUP(D235,product!$A:$A,product!$F:$F,,0)=0,"",_xlfn.XLOOKUP(D235,product!$A:$A,product!$F:$F,,0))</f>
        <v>Yes</v>
      </c>
      <c r="M235" t="str">
        <f>IF(_xlfn.XLOOKUP(D235,product!$A:$A,product!G:G,,0)=0,"",_xlfn.XLOOKUP(D235,product!$A:$A,product!G:G,,0))</f>
        <v>None</v>
      </c>
      <c r="N235" t="str">
        <f>IF(_xlfn.XLOOKUP(D235,product!$A:$A,product!$B:$B,,0)=0,"",_xlfn.XLOOKUP(D235,product!$A:$A,product!$B:$B,,0))</f>
        <v>Science Journey</v>
      </c>
    </row>
    <row r="236" spans="1:14" x14ac:dyDescent="0.35">
      <c r="A236" t="s">
        <v>138</v>
      </c>
      <c r="B236" s="3">
        <v>45049</v>
      </c>
      <c r="C236" t="s">
        <v>1828</v>
      </c>
      <c r="D236" t="s">
        <v>5577</v>
      </c>
      <c r="E236">
        <v>2</v>
      </c>
      <c r="F236" t="str">
        <f>_xlfn.XLOOKUP(C236,customers!$A$1:$A$983,customers!$B$1:$B$983,,0)</f>
        <v>Ella Walker</v>
      </c>
      <c r="G236" t="str">
        <f>_xlfn.XLOOKUP(C236,customers!$A:$A,customers!$C:$C,,0)</f>
        <v>ella.walker207@hotmail.com</v>
      </c>
      <c r="H236" t="str">
        <f>IF(_xlfn.XLOOKUP(C236,customers!$A:$A,customers!$G:$G,,0)=0,"",_xlfn.XLOOKUP(C236,customers!$A:$A,customers!$G:$G,,0))</f>
        <v>Germany</v>
      </c>
      <c r="I236" t="str">
        <f>IF(_xlfn.XLOOKUP(D236,product!$A:$A,product!$E:$E,,0)=0,"",_xlfn.XLOOKUP(D236,product!$A:$A,product!$E:$E,,0))</f>
        <v>SCIENCE</v>
      </c>
      <c r="J236" s="5">
        <f>IF(_xlfn.XLOOKUP(D236,product!$A:$A,product!$D:$D,,0)=0,"",_xlfn.XLOOKUP(D236,product!$A:$A,product!$D:$D,,0))</f>
        <v>21.31</v>
      </c>
      <c r="K236" s="7">
        <f t="shared" si="3"/>
        <v>42.62</v>
      </c>
      <c r="L236" s="10" t="str">
        <f>IF(_xlfn.XLOOKUP(D236,product!$A:$A,product!$F:$F,,0)=0,"",_xlfn.XLOOKUP(D236,product!$A:$A,product!$F:$F,,0))</f>
        <v>Yes</v>
      </c>
      <c r="M236" t="str">
        <f>IF(_xlfn.XLOOKUP(D236,product!$A:$A,product!G:G,,0)=0,"",_xlfn.XLOOKUP(D236,product!$A:$A,product!G:G,,0))</f>
        <v>None</v>
      </c>
      <c r="N236" t="str">
        <f>IF(_xlfn.XLOOKUP(D236,product!$A:$A,product!$B:$B,,0)=0,"",_xlfn.XLOOKUP(D236,product!$A:$A,product!$B:$B,,0))</f>
        <v>Mind Journey</v>
      </c>
    </row>
    <row r="237" spans="1:14" x14ac:dyDescent="0.35">
      <c r="A237" t="s">
        <v>155</v>
      </c>
      <c r="B237" s="3">
        <v>45573</v>
      </c>
      <c r="C237" t="s">
        <v>1695</v>
      </c>
      <c r="D237" t="s">
        <v>5578</v>
      </c>
      <c r="E237">
        <v>3</v>
      </c>
      <c r="F237" t="str">
        <f>_xlfn.XLOOKUP(C237,customers!$A$1:$A$983,customers!$B$1:$B$983,,0)</f>
        <v>Steven Taylor</v>
      </c>
      <c r="G237" t="str">
        <f>_xlfn.XLOOKUP(C237,customers!$A:$A,customers!$C:$C,,0)</f>
        <v>steven.taylor170@yahoo.com</v>
      </c>
      <c r="H237" t="str">
        <f>IF(_xlfn.XLOOKUP(C237,customers!$A:$A,customers!$G:$G,,0)=0,"",_xlfn.XLOOKUP(C237,customers!$A:$A,customers!$G:$G,,0))</f>
        <v>Spain</v>
      </c>
      <c r="I237" t="str">
        <f>IF(_xlfn.XLOOKUP(D237,product!$A:$A,product!$E:$E,,0)=0,"",_xlfn.XLOOKUP(D237,product!$A:$A,product!$E:$E,,0))</f>
        <v>TECH</v>
      </c>
      <c r="J237" s="5">
        <f>IF(_xlfn.XLOOKUP(D237,product!$A:$A,product!$D:$D,,0)=0,"",_xlfn.XLOOKUP(D237,product!$A:$A,product!$D:$D,,0))</f>
        <v>22.52</v>
      </c>
      <c r="K237" s="7">
        <f t="shared" si="3"/>
        <v>67.56</v>
      </c>
      <c r="L237" s="10" t="str">
        <f>IF(_xlfn.XLOOKUP(D237,product!$A:$A,product!$F:$F,,0)=0,"",_xlfn.XLOOKUP(D237,product!$A:$A,product!$F:$F,,0))</f>
        <v>No</v>
      </c>
      <c r="M237" t="str">
        <f>IF(_xlfn.XLOOKUP(D237,product!$A:$A,product!G:G,,0)=0,"",_xlfn.XLOOKUP(D237,product!$A:$A,product!G:G,,0))</f>
        <v>None</v>
      </c>
      <c r="N237" t="str">
        <f>IF(_xlfn.XLOOKUP(D237,product!$A:$A,product!$B:$B,,0)=0,"",_xlfn.XLOOKUP(D237,product!$A:$A,product!$B:$B,,0))</f>
        <v>Journey Data</v>
      </c>
    </row>
    <row r="238" spans="1:14" x14ac:dyDescent="0.35">
      <c r="A238" t="s">
        <v>172</v>
      </c>
      <c r="B238" s="3">
        <v>45124</v>
      </c>
      <c r="C238" t="s">
        <v>2627</v>
      </c>
      <c r="D238" t="s">
        <v>5579</v>
      </c>
      <c r="E238">
        <v>3</v>
      </c>
      <c r="F238" t="str">
        <f>_xlfn.XLOOKUP(C238,customers!$A$1:$A$983,customers!$B$1:$B$983,,0)</f>
        <v>Olivia Taylor</v>
      </c>
      <c r="G238" t="str">
        <f>_xlfn.XLOOKUP(C238,customers!$A:$A,customers!$C:$C,,0)</f>
        <v>olivia.taylor533@yahoo.com</v>
      </c>
      <c r="H238" t="str">
        <f>IF(_xlfn.XLOOKUP(C238,customers!$A:$A,customers!$G:$G,,0)=0,"",_xlfn.XLOOKUP(C238,customers!$A:$A,customers!$G:$G,,0))</f>
        <v>Pakistan</v>
      </c>
      <c r="I238" t="str">
        <f>IF(_xlfn.XLOOKUP(D238,product!$A:$A,product!$E:$E,,0)=0,"",_xlfn.XLOOKUP(D238,product!$A:$A,product!$E:$E,,0))</f>
        <v>FICTION</v>
      </c>
      <c r="J238" s="5">
        <f>IF(_xlfn.XLOOKUP(D238,product!$A:$A,product!$D:$D,,0)=0,"",_xlfn.XLOOKUP(D238,product!$A:$A,product!$D:$D,,0))</f>
        <v>15.72</v>
      </c>
      <c r="K238" s="7">
        <f t="shared" si="3"/>
        <v>47.160000000000004</v>
      </c>
      <c r="L238" s="10" t="str">
        <f>IF(_xlfn.XLOOKUP(D238,product!$A:$A,product!$F:$F,,0)=0,"",_xlfn.XLOOKUP(D238,product!$A:$A,product!$F:$F,,0))</f>
        <v>No</v>
      </c>
      <c r="M238" t="str">
        <f>IF(_xlfn.XLOOKUP(D238,product!$A:$A,product!G:G,,0)=0,"",_xlfn.XLOOKUP(D238,product!$A:$A,product!G:G,,0))</f>
        <v>None</v>
      </c>
      <c r="N238" t="str">
        <f>IF(_xlfn.XLOOKUP(D238,product!$A:$A,product!$B:$B,,0)=0,"",_xlfn.XLOOKUP(D238,product!$A:$A,product!$B:$B,,0))</f>
        <v>Mind Silent</v>
      </c>
    </row>
    <row r="239" spans="1:14" x14ac:dyDescent="0.35">
      <c r="A239" t="s">
        <v>189</v>
      </c>
      <c r="B239" s="3">
        <v>45523</v>
      </c>
      <c r="C239" t="s">
        <v>3356</v>
      </c>
      <c r="D239" t="s">
        <v>5581</v>
      </c>
      <c r="E239">
        <v>3</v>
      </c>
      <c r="F239" t="str">
        <f>_xlfn.XLOOKUP(C239,customers!$A$1:$A$983,customers!$B$1:$B$983,,0)</f>
        <v>Grace Lee</v>
      </c>
      <c r="G239" t="str">
        <f>_xlfn.XLOOKUP(C239,customers!$A:$A,customers!$C:$C,,0)</f>
        <v>grace.lee892@outlook.com</v>
      </c>
      <c r="H239" t="str">
        <f>IF(_xlfn.XLOOKUP(C239,customers!$A:$A,customers!$G:$G,,0)=0,"",_xlfn.XLOOKUP(C239,customers!$A:$A,customers!$G:$G,,0))</f>
        <v>Japan</v>
      </c>
      <c r="I239" t="str">
        <f>IF(_xlfn.XLOOKUP(D239,product!$A:$A,product!$E:$E,,0)=0,"",_xlfn.XLOOKUP(D239,product!$A:$A,product!$E:$E,,0))</f>
        <v>BUSINESS</v>
      </c>
      <c r="J239" s="5">
        <f>IF(_xlfn.XLOOKUP(D239,product!$A:$A,product!$D:$D,,0)=0,"",_xlfn.XLOOKUP(D239,product!$A:$A,product!$D:$D,,0))</f>
        <v>28.06</v>
      </c>
      <c r="K239" s="7">
        <f t="shared" si="3"/>
        <v>84.179999999999993</v>
      </c>
      <c r="L239" s="10" t="str">
        <f>IF(_xlfn.XLOOKUP(D239,product!$A:$A,product!$F:$F,,0)=0,"",_xlfn.XLOOKUP(D239,product!$A:$A,product!$F:$F,,0))</f>
        <v>No</v>
      </c>
      <c r="M239" t="str">
        <f>IF(_xlfn.XLOOKUP(D239,product!$A:$A,product!G:G,,0)=0,"",_xlfn.XLOOKUP(D239,product!$A:$A,product!G:G,,0))</f>
        <v>Gold</v>
      </c>
      <c r="N239" t="str">
        <f>IF(_xlfn.XLOOKUP(D239,product!$A:$A,product!$B:$B,,0)=0,"",_xlfn.XLOOKUP(D239,product!$A:$A,product!$B:$B,,0))</f>
        <v>Future Silent</v>
      </c>
    </row>
    <row r="240" spans="1:14" x14ac:dyDescent="0.35">
      <c r="A240" t="s">
        <v>206</v>
      </c>
      <c r="B240" s="3">
        <v>44932</v>
      </c>
      <c r="C240" t="s">
        <v>2019</v>
      </c>
      <c r="D240" t="s">
        <v>5582</v>
      </c>
      <c r="E240">
        <v>3</v>
      </c>
      <c r="F240" t="str">
        <f>_xlfn.XLOOKUP(C240,customers!$A$1:$A$983,customers!$B$1:$B$983,,0)</f>
        <v>Anna Smith</v>
      </c>
      <c r="G240" t="str">
        <f>_xlfn.XLOOKUP(C240,customers!$A:$A,customers!$C:$C,,0)</f>
        <v>anna.smith267@yahoo.com</v>
      </c>
      <c r="H240" t="str">
        <f>IF(_xlfn.XLOOKUP(C240,customers!$A:$A,customers!$G:$G,,0)=0,"",_xlfn.XLOOKUP(C240,customers!$A:$A,customers!$G:$G,,0))</f>
        <v>Spain</v>
      </c>
      <c r="I240" t="str">
        <f>IF(_xlfn.XLOOKUP(D240,product!$A:$A,product!$E:$E,,0)=0,"",_xlfn.XLOOKUP(D240,product!$A:$A,product!$E:$E,,0))</f>
        <v>FICTION</v>
      </c>
      <c r="J240" s="5">
        <f>IF(_xlfn.XLOOKUP(D240,product!$A:$A,product!$D:$D,,0)=0,"",_xlfn.XLOOKUP(D240,product!$A:$A,product!$D:$D,,0))</f>
        <v>25.2</v>
      </c>
      <c r="K240" s="7">
        <f t="shared" si="3"/>
        <v>75.599999999999994</v>
      </c>
      <c r="L240" s="10" t="str">
        <f>IF(_xlfn.XLOOKUP(D240,product!$A:$A,product!$F:$F,,0)=0,"",_xlfn.XLOOKUP(D240,product!$A:$A,product!$F:$F,,0))</f>
        <v>No</v>
      </c>
      <c r="M240" t="str">
        <f>IF(_xlfn.XLOOKUP(D240,product!$A:$A,product!G:G,,0)=0,"",_xlfn.XLOOKUP(D240,product!$A:$A,product!G:G,,0))</f>
        <v>Silver</v>
      </c>
      <c r="N240" t="str">
        <f>IF(_xlfn.XLOOKUP(D240,product!$A:$A,product!$B:$B,,0)=0,"",_xlfn.XLOOKUP(D240,product!$A:$A,product!$B:$B,,0))</f>
        <v>Forest Secrets</v>
      </c>
    </row>
    <row r="241" spans="1:14" x14ac:dyDescent="0.35">
      <c r="A241" t="s">
        <v>223</v>
      </c>
      <c r="B241" s="3">
        <v>45409</v>
      </c>
      <c r="C241" t="s">
        <v>2312</v>
      </c>
      <c r="D241" t="s">
        <v>5585</v>
      </c>
      <c r="E241">
        <v>3</v>
      </c>
      <c r="F241" t="str">
        <f>_xlfn.XLOOKUP(C241,customers!$A$1:$A$983,customers!$B$1:$B$983,,0)</f>
        <v>Paul Lewis</v>
      </c>
      <c r="G241" t="str">
        <f>_xlfn.XLOOKUP(C241,customers!$A:$A,customers!$C:$C,,0)</f>
        <v>paul.lewis385@outlook.com</v>
      </c>
      <c r="H241" t="str">
        <f>IF(_xlfn.XLOOKUP(C241,customers!$A:$A,customers!$G:$G,,0)=0,"",_xlfn.XLOOKUP(C241,customers!$A:$A,customers!$G:$G,,0))</f>
        <v>Japan</v>
      </c>
      <c r="I241" t="str">
        <f>IF(_xlfn.XLOOKUP(D241,product!$A:$A,product!$E:$E,,0)=0,"",_xlfn.XLOOKUP(D241,product!$A:$A,product!$E:$E,,0))</f>
        <v>FICTION</v>
      </c>
      <c r="J241" s="5">
        <f>IF(_xlfn.XLOOKUP(D241,product!$A:$A,product!$D:$D,,0)=0,"",_xlfn.XLOOKUP(D241,product!$A:$A,product!$D:$D,,0))</f>
        <v>18.13</v>
      </c>
      <c r="K241" s="7">
        <f t="shared" si="3"/>
        <v>54.39</v>
      </c>
      <c r="L241" s="10" t="str">
        <f>IF(_xlfn.XLOOKUP(D241,product!$A:$A,product!$F:$F,,0)=0,"",_xlfn.XLOOKUP(D241,product!$A:$A,product!$F:$F,,0))</f>
        <v>Yes</v>
      </c>
      <c r="M241" t="str">
        <f>IF(_xlfn.XLOOKUP(D241,product!$A:$A,product!G:G,,0)=0,"",_xlfn.XLOOKUP(D241,product!$A:$A,product!G:G,,0))</f>
        <v>None</v>
      </c>
      <c r="N241" t="str">
        <f>IF(_xlfn.XLOOKUP(D241,product!$A:$A,product!$B:$B,,0)=0,"",_xlfn.XLOOKUP(D241,product!$A:$A,product!$B:$B,,0))</f>
        <v>Data Future</v>
      </c>
    </row>
    <row r="242" spans="1:14" x14ac:dyDescent="0.35">
      <c r="A242" t="s">
        <v>240</v>
      </c>
      <c r="B242" s="3">
        <v>45185</v>
      </c>
      <c r="C242" t="s">
        <v>1312</v>
      </c>
      <c r="D242" t="s">
        <v>5587</v>
      </c>
      <c r="E242">
        <v>3</v>
      </c>
      <c r="F242" t="str">
        <f>_xlfn.XLOOKUP(C242,customers!$A$1:$A$983,customers!$B$1:$B$983,,0)</f>
        <v>John Martinez</v>
      </c>
      <c r="G242" t="str">
        <f>_xlfn.XLOOKUP(C242,customers!$A:$A,customers!$C:$C,,0)</f>
        <v>john.martinez67@hotmail.com</v>
      </c>
      <c r="H242" t="str">
        <f>IF(_xlfn.XLOOKUP(C242,customers!$A:$A,customers!$G:$G,,0)=0,"",_xlfn.XLOOKUP(C242,customers!$A:$A,customers!$G:$G,,0))</f>
        <v>Sweden</v>
      </c>
      <c r="I242" t="str">
        <f>IF(_xlfn.XLOOKUP(D242,product!$A:$A,product!$E:$E,,0)=0,"",_xlfn.XLOOKUP(D242,product!$A:$A,product!$E:$E,,0))</f>
        <v>HISTORY</v>
      </c>
      <c r="J242" s="5">
        <f>IF(_xlfn.XLOOKUP(D242,product!$A:$A,product!$D:$D,,0)=0,"",_xlfn.XLOOKUP(D242,product!$A:$A,product!$D:$D,,0))</f>
        <v>32.03</v>
      </c>
      <c r="K242" s="7">
        <f t="shared" si="3"/>
        <v>96.09</v>
      </c>
      <c r="L242" s="10" t="str">
        <f>IF(_xlfn.XLOOKUP(D242,product!$A:$A,product!$F:$F,,0)=0,"",_xlfn.XLOOKUP(D242,product!$A:$A,product!$F:$F,,0))</f>
        <v>No</v>
      </c>
      <c r="M242" t="str">
        <f>IF(_xlfn.XLOOKUP(D242,product!$A:$A,product!G:G,,0)=0,"",_xlfn.XLOOKUP(D242,product!$A:$A,product!G:G,,0))</f>
        <v>None</v>
      </c>
      <c r="N242" t="str">
        <f>IF(_xlfn.XLOOKUP(D242,product!$A:$A,product!$B:$B,,0)=0,"",_xlfn.XLOOKUP(D242,product!$A:$A,product!$B:$B,,0))</f>
        <v>Silent Secrets</v>
      </c>
    </row>
    <row r="243" spans="1:14" x14ac:dyDescent="0.35">
      <c r="A243" t="s">
        <v>257</v>
      </c>
      <c r="B243" s="3">
        <v>45636</v>
      </c>
      <c r="C243" t="s">
        <v>3346</v>
      </c>
      <c r="D243" t="s">
        <v>5588</v>
      </c>
      <c r="E243">
        <v>3</v>
      </c>
      <c r="F243" t="str">
        <f>_xlfn.XLOOKUP(C243,customers!$A$1:$A$983,customers!$B$1:$B$983,,0)</f>
        <v>Ava Rodriguez</v>
      </c>
      <c r="G243" t="str">
        <f>_xlfn.XLOOKUP(C243,customers!$A:$A,customers!$C:$C,,0)</f>
        <v>ava.rodriguez887@yahoo.com</v>
      </c>
      <c r="H243" t="str">
        <f>IF(_xlfn.XLOOKUP(C243,customers!$A:$A,customers!$G:$G,,0)=0,"",_xlfn.XLOOKUP(C243,customers!$A:$A,customers!$G:$G,,0))</f>
        <v>Slovenia</v>
      </c>
      <c r="I243" t="str">
        <f>IF(_xlfn.XLOOKUP(D243,product!$A:$A,product!$E:$E,,0)=0,"",_xlfn.XLOOKUP(D243,product!$A:$A,product!$E:$E,,0))</f>
        <v>HISTORY</v>
      </c>
      <c r="J243" s="5">
        <f>IF(_xlfn.XLOOKUP(D243,product!$A:$A,product!$D:$D,,0)=0,"",_xlfn.XLOOKUP(D243,product!$A:$A,product!$D:$D,,0))</f>
        <v>30.53</v>
      </c>
      <c r="K243" s="7">
        <f t="shared" si="3"/>
        <v>91.59</v>
      </c>
      <c r="L243" s="10" t="str">
        <f>IF(_xlfn.XLOOKUP(D243,product!$A:$A,product!$F:$F,,0)=0,"",_xlfn.XLOOKUP(D243,product!$A:$A,product!$F:$F,,0))</f>
        <v>No</v>
      </c>
      <c r="M243" t="str">
        <f>IF(_xlfn.XLOOKUP(D243,product!$A:$A,product!G:G,,0)=0,"",_xlfn.XLOOKUP(D243,product!$A:$A,product!G:G,,0))</f>
        <v>None</v>
      </c>
      <c r="N243" t="str">
        <f>IF(_xlfn.XLOOKUP(D243,product!$A:$A,product!$B:$B,,0)=0,"",_xlfn.XLOOKUP(D243,product!$A:$A,product!$B:$B,,0))</f>
        <v>Secrets Science</v>
      </c>
    </row>
    <row r="244" spans="1:14" x14ac:dyDescent="0.35">
      <c r="A244" t="s">
        <v>274</v>
      </c>
      <c r="B244" s="3">
        <v>45015</v>
      </c>
      <c r="C244" t="s">
        <v>1409</v>
      </c>
      <c r="D244" t="s">
        <v>5590</v>
      </c>
      <c r="E244">
        <v>3</v>
      </c>
      <c r="F244" t="str">
        <f>_xlfn.XLOOKUP(C244,customers!$A$1:$A$983,customers!$B$1:$B$983,,0)</f>
        <v>Chloe Adams</v>
      </c>
      <c r="G244" t="str">
        <f>_xlfn.XLOOKUP(C244,customers!$A:$A,customers!$C:$C,,0)</f>
        <v>chloe.adams95@gmail.com</v>
      </c>
      <c r="H244" t="str">
        <f>IF(_xlfn.XLOOKUP(C244,customers!$A:$A,customers!$G:$G,,0)=0,"",_xlfn.XLOOKUP(C244,customers!$A:$A,customers!$G:$G,,0))</f>
        <v>Egypt</v>
      </c>
      <c r="I244" t="str">
        <f>IF(_xlfn.XLOOKUP(D244,product!$A:$A,product!$E:$E,,0)=0,"",_xlfn.XLOOKUP(D244,product!$A:$A,product!$E:$E,,0))</f>
        <v>SCIENCE</v>
      </c>
      <c r="J244" s="5">
        <f>IF(_xlfn.XLOOKUP(D244,product!$A:$A,product!$D:$D,,0)=0,"",_xlfn.XLOOKUP(D244,product!$A:$A,product!$D:$D,,0))</f>
        <v>29.89</v>
      </c>
      <c r="K244" s="7">
        <f t="shared" si="3"/>
        <v>89.67</v>
      </c>
      <c r="L244" s="10" t="str">
        <f>IF(_xlfn.XLOOKUP(D244,product!$A:$A,product!$F:$F,,0)=0,"",_xlfn.XLOOKUP(D244,product!$A:$A,product!$F:$F,,0))</f>
        <v>Yes</v>
      </c>
      <c r="M244" t="str">
        <f>IF(_xlfn.XLOOKUP(D244,product!$A:$A,product!G:G,,0)=0,"",_xlfn.XLOOKUP(D244,product!$A:$A,product!G:G,,0))</f>
        <v>None</v>
      </c>
      <c r="N244" t="str">
        <f>IF(_xlfn.XLOOKUP(D244,product!$A:$A,product!$B:$B,,0)=0,"",_xlfn.XLOOKUP(D244,product!$A:$A,product!$B:$B,,0))</f>
        <v>Silent Mind</v>
      </c>
    </row>
    <row r="245" spans="1:14" x14ac:dyDescent="0.35">
      <c r="A245" t="s">
        <v>291</v>
      </c>
      <c r="B245" s="3">
        <v>45341</v>
      </c>
      <c r="C245" t="s">
        <v>105</v>
      </c>
      <c r="D245" t="s">
        <v>5591</v>
      </c>
      <c r="E245">
        <v>3</v>
      </c>
      <c r="F245" t="str">
        <f>_xlfn.XLOOKUP(C245,customers!$A$1:$A$983,customers!$B$1:$B$983,,0)</f>
        <v>David Martinez</v>
      </c>
      <c r="G245" t="str">
        <f>_xlfn.XLOOKUP(C245,customers!$A:$A,customers!$C:$C,,0)</f>
        <v>david.martinez3@yahoo.com</v>
      </c>
      <c r="H245" t="str">
        <f>IF(_xlfn.XLOOKUP(C245,customers!$A:$A,customers!$G:$G,,0)=0,"",_xlfn.XLOOKUP(C245,customers!$A:$A,customers!$G:$G,,0))</f>
        <v>Japan</v>
      </c>
      <c r="I245" t="str">
        <f>IF(_xlfn.XLOOKUP(D245,product!$A:$A,product!$E:$E,,0)=0,"",_xlfn.XLOOKUP(D245,product!$A:$A,product!$E:$E,,0))</f>
        <v>FICTION</v>
      </c>
      <c r="J245" s="5">
        <f>IF(_xlfn.XLOOKUP(D245,product!$A:$A,product!$D:$D,,0)=0,"",_xlfn.XLOOKUP(D245,product!$A:$A,product!$D:$D,,0))</f>
        <v>27.58</v>
      </c>
      <c r="K245" s="7">
        <f t="shared" si="3"/>
        <v>82.74</v>
      </c>
      <c r="L245" s="10" t="str">
        <f>IF(_xlfn.XLOOKUP(D245,product!$A:$A,product!$F:$F,,0)=0,"",_xlfn.XLOOKUP(D245,product!$A:$A,product!$F:$F,,0))</f>
        <v>Yes</v>
      </c>
      <c r="M245" t="str">
        <f>IF(_xlfn.XLOOKUP(D245,product!$A:$A,product!G:G,,0)=0,"",_xlfn.XLOOKUP(D245,product!$A:$A,product!G:G,,0))</f>
        <v>None</v>
      </c>
      <c r="N245" t="str">
        <f>IF(_xlfn.XLOOKUP(D245,product!$A:$A,product!$B:$B,,0)=0,"",_xlfn.XLOOKUP(D245,product!$A:$A,product!$B:$B,,0))</f>
        <v>Journey Quantum</v>
      </c>
    </row>
    <row r="246" spans="1:14" x14ac:dyDescent="0.35">
      <c r="A246" t="s">
        <v>308</v>
      </c>
      <c r="B246" s="3">
        <v>45147</v>
      </c>
      <c r="C246" t="s">
        <v>2315</v>
      </c>
      <c r="D246" t="s">
        <v>5593</v>
      </c>
      <c r="E246">
        <v>3</v>
      </c>
      <c r="F246" t="str">
        <f>_xlfn.XLOOKUP(C246,customers!$A$1:$A$983,customers!$B$1:$B$983,,0)</f>
        <v>Ava Wright</v>
      </c>
      <c r="G246" t="str">
        <f>_xlfn.XLOOKUP(C246,customers!$A:$A,customers!$C:$C,,0)</f>
        <v>ava.wright386@hotmail.com</v>
      </c>
      <c r="H246" t="str">
        <f>IF(_xlfn.XLOOKUP(C246,customers!$A:$A,customers!$G:$G,,0)=0,"",_xlfn.XLOOKUP(C246,customers!$A:$A,customers!$G:$G,,0))</f>
        <v>Spain</v>
      </c>
      <c r="I246" t="str">
        <f>IF(_xlfn.XLOOKUP(D246,product!$A:$A,product!$E:$E,,0)=0,"",_xlfn.XLOOKUP(D246,product!$A:$A,product!$E:$E,,0))</f>
        <v>FICTION</v>
      </c>
      <c r="J246" s="5">
        <f>IF(_xlfn.XLOOKUP(D246,product!$A:$A,product!$D:$D,,0)=0,"",_xlfn.XLOOKUP(D246,product!$A:$A,product!$D:$D,,0))</f>
        <v>25.92</v>
      </c>
      <c r="K246" s="7">
        <f t="shared" si="3"/>
        <v>77.760000000000005</v>
      </c>
      <c r="L246" s="10" t="str">
        <f>IF(_xlfn.XLOOKUP(D246,product!$A:$A,product!$F:$F,,0)=0,"",_xlfn.XLOOKUP(D246,product!$A:$A,product!$F:$F,,0))</f>
        <v>No</v>
      </c>
      <c r="M246" t="str">
        <f>IF(_xlfn.XLOOKUP(D246,product!$A:$A,product!G:G,,0)=0,"",_xlfn.XLOOKUP(D246,product!$A:$A,product!G:G,,0))</f>
        <v>None</v>
      </c>
      <c r="N246" t="str">
        <f>IF(_xlfn.XLOOKUP(D246,product!$A:$A,product!$B:$B,,0)=0,"",_xlfn.XLOOKUP(D246,product!$A:$A,product!$B:$B,,0))</f>
        <v>Power Forest</v>
      </c>
    </row>
    <row r="247" spans="1:14" x14ac:dyDescent="0.35">
      <c r="A247" t="s">
        <v>325</v>
      </c>
      <c r="B247" s="3">
        <v>45436</v>
      </c>
      <c r="C247" t="s">
        <v>2479</v>
      </c>
      <c r="D247" t="s">
        <v>5594</v>
      </c>
      <c r="E247">
        <v>3</v>
      </c>
      <c r="F247" t="str">
        <f>_xlfn.XLOOKUP(C247,customers!$A$1:$A$983,customers!$B$1:$B$983,,0)</f>
        <v>Laura Martinez</v>
      </c>
      <c r="G247" t="str">
        <f>_xlfn.XLOOKUP(C247,customers!$A:$A,customers!$C:$C,,0)</f>
        <v>laura.martinez461@yahoo.com</v>
      </c>
      <c r="H247" t="str">
        <f>IF(_xlfn.XLOOKUP(C247,customers!$A:$A,customers!$G:$G,,0)=0,"",_xlfn.XLOOKUP(C247,customers!$A:$A,customers!$G:$G,,0))</f>
        <v>UAE</v>
      </c>
      <c r="I247" t="str">
        <f>IF(_xlfn.XLOOKUP(D247,product!$A:$A,product!$E:$E,,0)=0,"",_xlfn.XLOOKUP(D247,product!$A:$A,product!$E:$E,,0))</f>
        <v>FICTION</v>
      </c>
      <c r="J247" s="5">
        <f>IF(_xlfn.XLOOKUP(D247,product!$A:$A,product!$D:$D,,0)=0,"",_xlfn.XLOOKUP(D247,product!$A:$A,product!$D:$D,,0))</f>
        <v>27.42</v>
      </c>
      <c r="K247" s="7">
        <f t="shared" si="3"/>
        <v>82.26</v>
      </c>
      <c r="L247" s="10" t="str">
        <f>IF(_xlfn.XLOOKUP(D247,product!$A:$A,product!$F:$F,,0)=0,"",_xlfn.XLOOKUP(D247,product!$A:$A,product!$F:$F,,0))</f>
        <v>No</v>
      </c>
      <c r="M247" t="str">
        <f>IF(_xlfn.XLOOKUP(D247,product!$A:$A,product!G:G,,0)=0,"",_xlfn.XLOOKUP(D247,product!$A:$A,product!G:G,,0))</f>
        <v>Silver</v>
      </c>
      <c r="N247" t="str">
        <f>IF(_xlfn.XLOOKUP(D247,product!$A:$A,product!$B:$B,,0)=0,"",_xlfn.XLOOKUP(D247,product!$A:$A,product!$B:$B,,0))</f>
        <v>Silent Data</v>
      </c>
    </row>
    <row r="248" spans="1:14" x14ac:dyDescent="0.35">
      <c r="A248" t="s">
        <v>342</v>
      </c>
      <c r="B248" s="3">
        <v>45256</v>
      </c>
      <c r="C248" t="s">
        <v>1504</v>
      </c>
      <c r="D248" t="s">
        <v>5595</v>
      </c>
      <c r="E248">
        <v>3</v>
      </c>
      <c r="F248" t="str">
        <f>_xlfn.XLOOKUP(C248,customers!$A$1:$A$983,customers!$B$1:$B$983,,0)</f>
        <v>William Garcia</v>
      </c>
      <c r="G248" t="str">
        <f>_xlfn.XLOOKUP(C248,customers!$A:$A,customers!$C:$C,,0)</f>
        <v>william.garcia124@yahoo.com</v>
      </c>
      <c r="H248" t="str">
        <f>IF(_xlfn.XLOOKUP(C248,customers!$A:$A,customers!$G:$G,,0)=0,"",_xlfn.XLOOKUP(C248,customers!$A:$A,customers!$G:$G,,0))</f>
        <v>Japan</v>
      </c>
      <c r="I248" t="str">
        <f>IF(_xlfn.XLOOKUP(D248,product!$A:$A,product!$E:$E,,0)=0,"",_xlfn.XLOOKUP(D248,product!$A:$A,product!$E:$E,,0))</f>
        <v>SCIENCE</v>
      </c>
      <c r="J248" s="5">
        <f>IF(_xlfn.XLOOKUP(D248,product!$A:$A,product!$D:$D,,0)=0,"",_xlfn.XLOOKUP(D248,product!$A:$A,product!$D:$D,,0))</f>
        <v>36.590000000000003</v>
      </c>
      <c r="K248" s="7">
        <f t="shared" si="3"/>
        <v>109.77000000000001</v>
      </c>
      <c r="L248" s="10" t="str">
        <f>IF(_xlfn.XLOOKUP(D248,product!$A:$A,product!$F:$F,,0)=0,"",_xlfn.XLOOKUP(D248,product!$A:$A,product!$F:$F,,0))</f>
        <v>Yes</v>
      </c>
      <c r="M248" t="str">
        <f>IF(_xlfn.XLOOKUP(D248,product!$A:$A,product!G:G,,0)=0,"",_xlfn.XLOOKUP(D248,product!$A:$A,product!G:G,,0))</f>
        <v>None</v>
      </c>
      <c r="N248" t="str">
        <f>IF(_xlfn.XLOOKUP(D248,product!$A:$A,product!$B:$B,,0)=0,"",_xlfn.XLOOKUP(D248,product!$A:$A,product!$B:$B,,0))</f>
        <v>Science Silent</v>
      </c>
    </row>
    <row r="249" spans="1:14" x14ac:dyDescent="0.35">
      <c r="A249" t="s">
        <v>359</v>
      </c>
      <c r="B249" s="3">
        <v>45487</v>
      </c>
      <c r="C249" t="s">
        <v>3259</v>
      </c>
      <c r="D249" t="s">
        <v>5596</v>
      </c>
      <c r="E249">
        <v>3</v>
      </c>
      <c r="F249" t="str">
        <f>_xlfn.XLOOKUP(C249,customers!$A$1:$A$983,customers!$B$1:$B$983,,0)</f>
        <v>Robert Martin</v>
      </c>
      <c r="G249" t="str">
        <f>_xlfn.XLOOKUP(C249,customers!$A:$A,customers!$C:$C,,0)</f>
        <v>robert.martin843@gmail.com</v>
      </c>
      <c r="H249" t="str">
        <f>IF(_xlfn.XLOOKUP(C249,customers!$A:$A,customers!$G:$G,,0)=0,"",_xlfn.XLOOKUP(C249,customers!$A:$A,customers!$G:$G,,0))</f>
        <v>South Korea</v>
      </c>
      <c r="I249" t="str">
        <f>IF(_xlfn.XLOOKUP(D249,product!$A:$A,product!$E:$E,,0)=0,"",_xlfn.XLOOKUP(D249,product!$A:$A,product!$E:$E,,0))</f>
        <v>FICTION</v>
      </c>
      <c r="J249" s="5">
        <f>IF(_xlfn.XLOOKUP(D249,product!$A:$A,product!$D:$D,,0)=0,"",_xlfn.XLOOKUP(D249,product!$A:$A,product!$D:$D,,0))</f>
        <v>24.86</v>
      </c>
      <c r="K249" s="7">
        <f t="shared" si="3"/>
        <v>74.58</v>
      </c>
      <c r="L249" s="10" t="str">
        <f>IF(_xlfn.XLOOKUP(D249,product!$A:$A,product!$F:$F,,0)=0,"",_xlfn.XLOOKUP(D249,product!$A:$A,product!$F:$F,,0))</f>
        <v>No</v>
      </c>
      <c r="M249" t="str">
        <f>IF(_xlfn.XLOOKUP(D249,product!$A:$A,product!G:G,,0)=0,"",_xlfn.XLOOKUP(D249,product!$A:$A,product!G:G,,0))</f>
        <v>None</v>
      </c>
      <c r="N249" t="str">
        <f>IF(_xlfn.XLOOKUP(D249,product!$A:$A,product!$B:$B,,0)=0,"",_xlfn.XLOOKUP(D249,product!$A:$A,product!$B:$B,,0))</f>
        <v>Data Mind</v>
      </c>
    </row>
    <row r="250" spans="1:14" x14ac:dyDescent="0.35">
      <c r="A250" t="s">
        <v>376</v>
      </c>
      <c r="B250" s="3">
        <v>45083</v>
      </c>
      <c r="C250" t="s">
        <v>1340</v>
      </c>
      <c r="D250" t="s">
        <v>5598</v>
      </c>
      <c r="E250">
        <v>3</v>
      </c>
      <c r="F250" t="str">
        <f>_xlfn.XLOOKUP(C250,customers!$A$1:$A$983,customers!$B$1:$B$983,,0)</f>
        <v>Robert Garcia</v>
      </c>
      <c r="G250" t="str">
        <f>_xlfn.XLOOKUP(C250,customers!$A:$A,customers!$C:$C,,0)</f>
        <v>robert.garcia74@hotmail.com</v>
      </c>
      <c r="H250" t="str">
        <f>IF(_xlfn.XLOOKUP(C250,customers!$A:$A,customers!$G:$G,,0)=0,"",_xlfn.XLOOKUP(C250,customers!$A:$A,customers!$G:$G,,0))</f>
        <v>Pakistan</v>
      </c>
      <c r="I250" t="str">
        <f>IF(_xlfn.XLOOKUP(D250,product!$A:$A,product!$E:$E,,0)=0,"",_xlfn.XLOOKUP(D250,product!$A:$A,product!$E:$E,,0))</f>
        <v>SCIENCE</v>
      </c>
      <c r="J250" s="5">
        <f>IF(_xlfn.XLOOKUP(D250,product!$A:$A,product!$D:$D,,0)=0,"",_xlfn.XLOOKUP(D250,product!$A:$A,product!$D:$D,,0))</f>
        <v>37.71</v>
      </c>
      <c r="K250" s="7">
        <f t="shared" si="3"/>
        <v>113.13</v>
      </c>
      <c r="L250" s="10" t="str">
        <f>IF(_xlfn.XLOOKUP(D250,product!$A:$A,product!$F:$F,,0)=0,"",_xlfn.XLOOKUP(D250,product!$A:$A,product!$F:$F,,0))</f>
        <v>No</v>
      </c>
      <c r="M250" t="str">
        <f>IF(_xlfn.XLOOKUP(D250,product!$A:$A,product!G:G,,0)=0,"",_xlfn.XLOOKUP(D250,product!$A:$A,product!G:G,,0))</f>
        <v>Gold</v>
      </c>
      <c r="N250" t="str">
        <f>IF(_xlfn.XLOOKUP(D250,product!$A:$A,product!$B:$B,,0)=0,"",_xlfn.XLOOKUP(D250,product!$A:$A,product!$B:$B,,0))</f>
        <v>Forest Future</v>
      </c>
    </row>
    <row r="251" spans="1:14" x14ac:dyDescent="0.35">
      <c r="A251" t="s">
        <v>393</v>
      </c>
      <c r="B251" s="3">
        <v>45537</v>
      </c>
      <c r="C251" t="s">
        <v>1783</v>
      </c>
      <c r="D251" t="s">
        <v>5599</v>
      </c>
      <c r="E251">
        <v>3</v>
      </c>
      <c r="F251" t="str">
        <f>_xlfn.XLOOKUP(C251,customers!$A$1:$A$983,customers!$B$1:$B$983,,0)</f>
        <v>Daniel Walker</v>
      </c>
      <c r="G251" t="str">
        <f>_xlfn.XLOOKUP(C251,customers!$A:$A,customers!$C:$C,,0)</f>
        <v>daniel.walker193@gmail.com</v>
      </c>
      <c r="H251" t="str">
        <f>IF(_xlfn.XLOOKUP(C251,customers!$A:$A,customers!$G:$G,,0)=0,"",_xlfn.XLOOKUP(C251,customers!$A:$A,customers!$G:$G,,0))</f>
        <v>Sweden</v>
      </c>
      <c r="I251" t="str">
        <f>IF(_xlfn.XLOOKUP(D251,product!$A:$A,product!$E:$E,,0)=0,"",_xlfn.XLOOKUP(D251,product!$A:$A,product!$E:$E,,0))</f>
        <v>HISTORY</v>
      </c>
      <c r="J251" s="5">
        <f>IF(_xlfn.XLOOKUP(D251,product!$A:$A,product!$D:$D,,0)=0,"",_xlfn.XLOOKUP(D251,product!$A:$A,product!$D:$D,,0))</f>
        <v>18.59</v>
      </c>
      <c r="K251" s="7">
        <f t="shared" si="3"/>
        <v>55.769999999999996</v>
      </c>
      <c r="L251" s="10" t="str">
        <f>IF(_xlfn.XLOOKUP(D251,product!$A:$A,product!$F:$F,,0)=0,"",_xlfn.XLOOKUP(D251,product!$A:$A,product!$F:$F,,0))</f>
        <v>No</v>
      </c>
      <c r="M251" t="str">
        <f>IF(_xlfn.XLOOKUP(D251,product!$A:$A,product!G:G,,0)=0,"",_xlfn.XLOOKUP(D251,product!$A:$A,product!G:G,,0))</f>
        <v>Gold</v>
      </c>
      <c r="N251" t="str">
        <f>IF(_xlfn.XLOOKUP(D251,product!$A:$A,product!$B:$B,,0)=0,"",_xlfn.XLOOKUP(D251,product!$A:$A,product!$B:$B,,0))</f>
        <v>Data Future</v>
      </c>
    </row>
    <row r="252" spans="1:14" x14ac:dyDescent="0.35">
      <c r="A252" t="s">
        <v>410</v>
      </c>
      <c r="B252" s="3">
        <v>45035</v>
      </c>
      <c r="C252" t="s">
        <v>2443</v>
      </c>
      <c r="D252" t="s">
        <v>5600</v>
      </c>
      <c r="E252">
        <v>3</v>
      </c>
      <c r="F252" t="str">
        <f>_xlfn.XLOOKUP(C252,customers!$A$1:$A$983,customers!$B$1:$B$983,,0)</f>
        <v>Lily Green</v>
      </c>
      <c r="G252" t="str">
        <f>_xlfn.XLOOKUP(C252,customers!$A:$A,customers!$C:$C,,0)</f>
        <v>lily.green444@outlook.com</v>
      </c>
      <c r="H252" t="str">
        <f>IF(_xlfn.XLOOKUP(C252,customers!$A:$A,customers!$G:$G,,0)=0,"",_xlfn.XLOOKUP(C252,customers!$A:$A,customers!$G:$G,,0))</f>
        <v>Japan</v>
      </c>
      <c r="I252" t="str">
        <f>IF(_xlfn.XLOOKUP(D252,product!$A:$A,product!$E:$E,,0)=0,"",_xlfn.XLOOKUP(D252,product!$A:$A,product!$E:$E,,0))</f>
        <v>SCIENCE</v>
      </c>
      <c r="J252" s="5">
        <f>IF(_xlfn.XLOOKUP(D252,product!$A:$A,product!$D:$D,,0)=0,"",_xlfn.XLOOKUP(D252,product!$A:$A,product!$D:$D,,0))</f>
        <v>21.49</v>
      </c>
      <c r="K252" s="7">
        <f t="shared" si="3"/>
        <v>64.47</v>
      </c>
      <c r="L252" s="10" t="str">
        <f>IF(_xlfn.XLOOKUP(D252,product!$A:$A,product!$F:$F,,0)=0,"",_xlfn.XLOOKUP(D252,product!$A:$A,product!$F:$F,,0))</f>
        <v>No</v>
      </c>
      <c r="M252" t="str">
        <f>IF(_xlfn.XLOOKUP(D252,product!$A:$A,product!G:G,,0)=0,"",_xlfn.XLOOKUP(D252,product!$A:$A,product!G:G,,0))</f>
        <v>Silver</v>
      </c>
      <c r="N252" t="str">
        <f>IF(_xlfn.XLOOKUP(D252,product!$A:$A,product!$B:$B,,0)=0,"",_xlfn.XLOOKUP(D252,product!$A:$A,product!$B:$B,,0))</f>
        <v>Journey Power</v>
      </c>
    </row>
    <row r="253" spans="1:14" x14ac:dyDescent="0.35">
      <c r="A253" t="s">
        <v>427</v>
      </c>
      <c r="B253" s="3">
        <v>45322</v>
      </c>
      <c r="C253" t="s">
        <v>2697</v>
      </c>
      <c r="D253" t="s">
        <v>5601</v>
      </c>
      <c r="E253">
        <v>3</v>
      </c>
      <c r="F253" t="str">
        <f>_xlfn.XLOOKUP(C253,customers!$A$1:$A$983,customers!$B$1:$B$983,,0)</f>
        <v>Andrew King</v>
      </c>
      <c r="G253" t="str">
        <f>_xlfn.XLOOKUP(C253,customers!$A:$A,customers!$C:$C,,0)</f>
        <v>andrew.king567@hotmail.com</v>
      </c>
      <c r="H253" t="str">
        <f>IF(_xlfn.XLOOKUP(C253,customers!$A:$A,customers!$G:$G,,0)=0,"",_xlfn.XLOOKUP(C253,customers!$A:$A,customers!$G:$G,,0))</f>
        <v>Germany</v>
      </c>
      <c r="I253" t="str">
        <f>IF(_xlfn.XLOOKUP(D253,product!$A:$A,product!$E:$E,,0)=0,"",_xlfn.XLOOKUP(D253,product!$A:$A,product!$E:$E,,0))</f>
        <v>FICTION</v>
      </c>
      <c r="J253" s="5">
        <f>IF(_xlfn.XLOOKUP(D253,product!$A:$A,product!$D:$D,,0)=0,"",_xlfn.XLOOKUP(D253,product!$A:$A,product!$D:$D,,0))</f>
        <v>15.65</v>
      </c>
      <c r="K253" s="7">
        <f t="shared" si="3"/>
        <v>46.95</v>
      </c>
      <c r="L253" s="10" t="str">
        <f>IF(_xlfn.XLOOKUP(D253,product!$A:$A,product!$F:$F,,0)=0,"",_xlfn.XLOOKUP(D253,product!$A:$A,product!$F:$F,,0))</f>
        <v>No</v>
      </c>
      <c r="M253" t="str">
        <f>IF(_xlfn.XLOOKUP(D253,product!$A:$A,product!G:G,,0)=0,"",_xlfn.XLOOKUP(D253,product!$A:$A,product!G:G,,0))</f>
        <v>None</v>
      </c>
      <c r="N253" t="str">
        <f>IF(_xlfn.XLOOKUP(D253,product!$A:$A,product!$B:$B,,0)=0,"",_xlfn.XLOOKUP(D253,product!$A:$A,product!$B:$B,,0))</f>
        <v>Mind Power</v>
      </c>
    </row>
    <row r="254" spans="1:14" x14ac:dyDescent="0.35">
      <c r="A254" t="s">
        <v>444</v>
      </c>
      <c r="B254" s="3">
        <v>45215</v>
      </c>
      <c r="C254" t="s">
        <v>2112</v>
      </c>
      <c r="D254" t="s">
        <v>5602</v>
      </c>
      <c r="E254">
        <v>3</v>
      </c>
      <c r="F254" t="str">
        <f>_xlfn.XLOOKUP(C254,customers!$A$1:$A$983,customers!$B$1:$B$983,,0)</f>
        <v>Robert Baker</v>
      </c>
      <c r="G254" t="str">
        <f>_xlfn.XLOOKUP(C254,customers!$A:$A,customers!$C:$C,,0)</f>
        <v>robert.baker300@hotmail.com</v>
      </c>
      <c r="H254" t="str">
        <f>IF(_xlfn.XLOOKUP(C254,customers!$A:$A,customers!$G:$G,,0)=0,"",_xlfn.XLOOKUP(C254,customers!$A:$A,customers!$G:$G,,0))</f>
        <v>Japan</v>
      </c>
      <c r="I254" t="str">
        <f>IF(_xlfn.XLOOKUP(D254,product!$A:$A,product!$E:$E,,0)=0,"",_xlfn.XLOOKUP(D254,product!$A:$A,product!$E:$E,,0))</f>
        <v>FICTION</v>
      </c>
      <c r="J254" s="5">
        <f>IF(_xlfn.XLOOKUP(D254,product!$A:$A,product!$D:$D,,0)=0,"",_xlfn.XLOOKUP(D254,product!$A:$A,product!$D:$D,,0))</f>
        <v>38.880000000000003</v>
      </c>
      <c r="K254" s="7">
        <f t="shared" si="3"/>
        <v>116.64000000000001</v>
      </c>
      <c r="L254" s="10" t="str">
        <f>IF(_xlfn.XLOOKUP(D254,product!$A:$A,product!$F:$F,,0)=0,"",_xlfn.XLOOKUP(D254,product!$A:$A,product!$F:$F,,0))</f>
        <v>No</v>
      </c>
      <c r="M254" t="str">
        <f>IF(_xlfn.XLOOKUP(D254,product!$A:$A,product!G:G,,0)=0,"",_xlfn.XLOOKUP(D254,product!$A:$A,product!G:G,,0))</f>
        <v>None</v>
      </c>
      <c r="N254" t="str">
        <f>IF(_xlfn.XLOOKUP(D254,product!$A:$A,product!$B:$B,,0)=0,"",_xlfn.XLOOKUP(D254,product!$A:$A,product!$B:$B,,0))</f>
        <v>Secrets Forest</v>
      </c>
    </row>
    <row r="255" spans="1:14" x14ac:dyDescent="0.35">
      <c r="A255" t="s">
        <v>461</v>
      </c>
      <c r="B255" s="3">
        <v>45620</v>
      </c>
      <c r="C255" t="s">
        <v>2517</v>
      </c>
      <c r="D255" t="s">
        <v>5603</v>
      </c>
      <c r="E255">
        <v>3</v>
      </c>
      <c r="F255" t="str">
        <f>_xlfn.XLOOKUP(C255,customers!$A$1:$A$983,customers!$B$1:$B$983,,0)</f>
        <v>Peter Adams</v>
      </c>
      <c r="G255" t="str">
        <f>_xlfn.XLOOKUP(C255,customers!$A:$A,customers!$C:$C,,0)</f>
        <v>peter.adams480@outlook.com</v>
      </c>
      <c r="H255" t="str">
        <f>IF(_xlfn.XLOOKUP(C255,customers!$A:$A,customers!$G:$G,,0)=0,"",_xlfn.XLOOKUP(C255,customers!$A:$A,customers!$G:$G,,0))</f>
        <v>Japan</v>
      </c>
      <c r="I255" t="str">
        <f>IF(_xlfn.XLOOKUP(D255,product!$A:$A,product!$E:$E,,0)=0,"",_xlfn.XLOOKUP(D255,product!$A:$A,product!$E:$E,,0))</f>
        <v>HISTORY</v>
      </c>
      <c r="J255" s="5">
        <f>IF(_xlfn.XLOOKUP(D255,product!$A:$A,product!$D:$D,,0)=0,"",_xlfn.XLOOKUP(D255,product!$A:$A,product!$D:$D,,0))</f>
        <v>32.409999999999997</v>
      </c>
      <c r="K255" s="7">
        <f t="shared" si="3"/>
        <v>97.22999999999999</v>
      </c>
      <c r="L255" s="10" t="str">
        <f>IF(_xlfn.XLOOKUP(D255,product!$A:$A,product!$F:$F,,0)=0,"",_xlfn.XLOOKUP(D255,product!$A:$A,product!$F:$F,,0))</f>
        <v>No</v>
      </c>
      <c r="M255" t="str">
        <f>IF(_xlfn.XLOOKUP(D255,product!$A:$A,product!G:G,,0)=0,"",_xlfn.XLOOKUP(D255,product!$A:$A,product!G:G,,0))</f>
        <v>None</v>
      </c>
      <c r="N255" t="str">
        <f>IF(_xlfn.XLOOKUP(D255,product!$A:$A,product!$B:$B,,0)=0,"",_xlfn.XLOOKUP(D255,product!$A:$A,product!$B:$B,,0))</f>
        <v>Journey Secrets</v>
      </c>
    </row>
    <row r="256" spans="1:14" x14ac:dyDescent="0.35">
      <c r="A256" t="s">
        <v>478</v>
      </c>
      <c r="B256" s="3">
        <v>45284</v>
      </c>
      <c r="C256" t="s">
        <v>2283</v>
      </c>
      <c r="D256" t="s">
        <v>5604</v>
      </c>
      <c r="E256">
        <v>3</v>
      </c>
      <c r="F256" t="str">
        <f>_xlfn.XLOOKUP(C256,customers!$A$1:$A$983,customers!$B$1:$B$983,,0)</f>
        <v>Joshua Walker</v>
      </c>
      <c r="G256" t="str">
        <f>_xlfn.XLOOKUP(C256,customers!$A:$A,customers!$C:$C,,0)</f>
        <v>joshua.walker372@hotmail.com</v>
      </c>
      <c r="H256" t="str">
        <f>IF(_xlfn.XLOOKUP(C256,customers!$A:$A,customers!$G:$G,,0)=0,"",_xlfn.XLOOKUP(C256,customers!$A:$A,customers!$G:$G,,0))</f>
        <v>Japan</v>
      </c>
      <c r="I256" t="str">
        <f>IF(_xlfn.XLOOKUP(D256,product!$A:$A,product!$E:$E,,0)=0,"",_xlfn.XLOOKUP(D256,product!$A:$A,product!$E:$E,,0))</f>
        <v>FICTION</v>
      </c>
      <c r="J256" s="5">
        <f>IF(_xlfn.XLOOKUP(D256,product!$A:$A,product!$D:$D,,0)=0,"",_xlfn.XLOOKUP(D256,product!$A:$A,product!$D:$D,,0))</f>
        <v>21.54</v>
      </c>
      <c r="K256" s="7">
        <f t="shared" si="3"/>
        <v>64.62</v>
      </c>
      <c r="L256" s="10" t="str">
        <f>IF(_xlfn.XLOOKUP(D256,product!$A:$A,product!$F:$F,,0)=0,"",_xlfn.XLOOKUP(D256,product!$A:$A,product!$F:$F,,0))</f>
        <v>Yes</v>
      </c>
      <c r="M256" t="str">
        <f>IF(_xlfn.XLOOKUP(D256,product!$A:$A,product!G:G,,0)=0,"",_xlfn.XLOOKUP(D256,product!$A:$A,product!G:G,,0))</f>
        <v>None</v>
      </c>
      <c r="N256" t="str">
        <f>IF(_xlfn.XLOOKUP(D256,product!$A:$A,product!$B:$B,,0)=0,"",_xlfn.XLOOKUP(D256,product!$A:$A,product!$B:$B,,0))</f>
        <v>Data Forest</v>
      </c>
    </row>
    <row r="257" spans="1:14" x14ac:dyDescent="0.35">
      <c r="A257" t="s">
        <v>495</v>
      </c>
      <c r="B257" s="3">
        <v>45376</v>
      </c>
      <c r="C257" t="s">
        <v>2285</v>
      </c>
      <c r="D257" t="s">
        <v>5605</v>
      </c>
      <c r="E257">
        <v>3</v>
      </c>
      <c r="F257" t="str">
        <f>_xlfn.XLOOKUP(C257,customers!$A$1:$A$983,customers!$B$1:$B$983,,0)</f>
        <v>Andrew Walker</v>
      </c>
      <c r="G257" t="str">
        <f>_xlfn.XLOOKUP(C257,customers!$A:$A,customers!$C:$C,,0)</f>
        <v>andrew.walker373@outlook.com</v>
      </c>
      <c r="H257" t="str">
        <f>IF(_xlfn.XLOOKUP(C257,customers!$A:$A,customers!$G:$G,,0)=0,"",_xlfn.XLOOKUP(C257,customers!$A:$A,customers!$G:$G,,0))</f>
        <v>Sweden</v>
      </c>
      <c r="I257" t="str">
        <f>IF(_xlfn.XLOOKUP(D257,product!$A:$A,product!$E:$E,,0)=0,"",_xlfn.XLOOKUP(D257,product!$A:$A,product!$E:$E,,0))</f>
        <v>TECH</v>
      </c>
      <c r="J257" s="5">
        <f>IF(_xlfn.XLOOKUP(D257,product!$A:$A,product!$D:$D,,0)=0,"",_xlfn.XLOOKUP(D257,product!$A:$A,product!$D:$D,,0))</f>
        <v>22.64</v>
      </c>
      <c r="K257" s="7">
        <f t="shared" si="3"/>
        <v>67.92</v>
      </c>
      <c r="L257" s="10" t="str">
        <f>IF(_xlfn.XLOOKUP(D257,product!$A:$A,product!$F:$F,,0)=0,"",_xlfn.XLOOKUP(D257,product!$A:$A,product!$F:$F,,0))</f>
        <v>Yes</v>
      </c>
      <c r="M257" t="str">
        <f>IF(_xlfn.XLOOKUP(D257,product!$A:$A,product!G:G,,0)=0,"",_xlfn.XLOOKUP(D257,product!$A:$A,product!G:G,,0))</f>
        <v>None</v>
      </c>
      <c r="N257" t="str">
        <f>IF(_xlfn.XLOOKUP(D257,product!$A:$A,product!$B:$B,,0)=0,"",_xlfn.XLOOKUP(D257,product!$A:$A,product!$B:$B,,0))</f>
        <v>Power Silent</v>
      </c>
    </row>
    <row r="258" spans="1:14" x14ac:dyDescent="0.35">
      <c r="A258" t="s">
        <v>512</v>
      </c>
      <c r="B258" s="3">
        <v>44966</v>
      </c>
      <c r="C258" t="s">
        <v>2981</v>
      </c>
      <c r="D258" t="s">
        <v>5606</v>
      </c>
      <c r="E258">
        <v>3</v>
      </c>
      <c r="F258" t="str">
        <f>_xlfn.XLOOKUP(C258,customers!$A$1:$A$983,customers!$B$1:$B$983,,0)</f>
        <v>Joshua Taylor</v>
      </c>
      <c r="G258" t="str">
        <f>_xlfn.XLOOKUP(C258,customers!$A:$A,customers!$C:$C,,0)</f>
        <v>joshua.taylor704@yahoo.com</v>
      </c>
      <c r="H258" t="str">
        <f>IF(_xlfn.XLOOKUP(C258,customers!$A:$A,customers!$G:$G,,0)=0,"",_xlfn.XLOOKUP(C258,customers!$A:$A,customers!$G:$G,,0))</f>
        <v>UAE</v>
      </c>
      <c r="I258" t="str">
        <f>IF(_xlfn.XLOOKUP(D258,product!$A:$A,product!$E:$E,,0)=0,"",_xlfn.XLOOKUP(D258,product!$A:$A,product!$E:$E,,0))</f>
        <v>BUSINESS</v>
      </c>
      <c r="J258" s="5">
        <f>IF(_xlfn.XLOOKUP(D258,product!$A:$A,product!$D:$D,,0)=0,"",_xlfn.XLOOKUP(D258,product!$A:$A,product!$D:$D,,0))</f>
        <v>23.59</v>
      </c>
      <c r="K258" s="7">
        <f t="shared" si="3"/>
        <v>70.77</v>
      </c>
      <c r="L258" s="10" t="str">
        <f>IF(_xlfn.XLOOKUP(D258,product!$A:$A,product!$F:$F,,0)=0,"",_xlfn.XLOOKUP(D258,product!$A:$A,product!$F:$F,,0))</f>
        <v>No</v>
      </c>
      <c r="M258" t="str">
        <f>IF(_xlfn.XLOOKUP(D258,product!$A:$A,product!G:G,,0)=0,"",_xlfn.XLOOKUP(D258,product!$A:$A,product!G:G,,0))</f>
        <v>Silver</v>
      </c>
      <c r="N258" t="str">
        <f>IF(_xlfn.XLOOKUP(D258,product!$A:$A,product!$B:$B,,0)=0,"",_xlfn.XLOOKUP(D258,product!$A:$A,product!$B:$B,,0))</f>
        <v>Mind Future</v>
      </c>
    </row>
    <row r="259" spans="1:14" x14ac:dyDescent="0.35">
      <c r="A259" t="s">
        <v>529</v>
      </c>
      <c r="B259" s="3">
        <v>45465</v>
      </c>
      <c r="C259" t="s">
        <v>2103</v>
      </c>
      <c r="D259" t="s">
        <v>5607</v>
      </c>
      <c r="E259">
        <v>3</v>
      </c>
      <c r="F259" t="str">
        <f>_xlfn.XLOOKUP(C259,customers!$A$1:$A$983,customers!$B$1:$B$983,,0)</f>
        <v>Mark Anderson</v>
      </c>
      <c r="G259" t="str">
        <f>_xlfn.XLOOKUP(C259,customers!$A:$A,customers!$C:$C,,0)</f>
        <v>mark.anderson297@gmail.com</v>
      </c>
      <c r="H259" t="str">
        <f>IF(_xlfn.XLOOKUP(C259,customers!$A:$A,customers!$G:$G,,0)=0,"",_xlfn.XLOOKUP(C259,customers!$A:$A,customers!$G:$G,,0))</f>
        <v>Germany</v>
      </c>
      <c r="I259" t="str">
        <f>IF(_xlfn.XLOOKUP(D259,product!$A:$A,product!$E:$E,,0)=0,"",_xlfn.XLOOKUP(D259,product!$A:$A,product!$E:$E,,0))</f>
        <v>TECH</v>
      </c>
      <c r="J259" s="5">
        <f>IF(_xlfn.XLOOKUP(D259,product!$A:$A,product!$D:$D,,0)=0,"",_xlfn.XLOOKUP(D259,product!$A:$A,product!$D:$D,,0))</f>
        <v>25.78</v>
      </c>
      <c r="K259" s="7">
        <f t="shared" ref="K259:K322" si="4">J259*E259</f>
        <v>77.34</v>
      </c>
      <c r="L259" s="10" t="str">
        <f>IF(_xlfn.XLOOKUP(D259,product!$A:$A,product!$F:$F,,0)=0,"",_xlfn.XLOOKUP(D259,product!$A:$A,product!$F:$F,,0))</f>
        <v>No</v>
      </c>
      <c r="M259" t="str">
        <f>IF(_xlfn.XLOOKUP(D259,product!$A:$A,product!G:G,,0)=0,"",_xlfn.XLOOKUP(D259,product!$A:$A,product!G:G,,0))</f>
        <v>None</v>
      </c>
      <c r="N259" t="str">
        <f>IF(_xlfn.XLOOKUP(D259,product!$A:$A,product!$B:$B,,0)=0,"",_xlfn.XLOOKUP(D259,product!$A:$A,product!$B:$B,,0))</f>
        <v>Journey Data</v>
      </c>
    </row>
    <row r="260" spans="1:14" x14ac:dyDescent="0.35">
      <c r="A260" t="s">
        <v>546</v>
      </c>
      <c r="B260" s="3">
        <v>45071</v>
      </c>
      <c r="C260" t="s">
        <v>1525</v>
      </c>
      <c r="D260" t="s">
        <v>5608</v>
      </c>
      <c r="E260">
        <v>3</v>
      </c>
      <c r="F260" t="str">
        <f>_xlfn.XLOOKUP(C260,customers!$A$1:$A$983,customers!$B$1:$B$983,,0)</f>
        <v>Lily Martin</v>
      </c>
      <c r="G260" t="str">
        <f>_xlfn.XLOOKUP(C260,customers!$A:$A,customers!$C:$C,,0)</f>
        <v>lily.martin129@gmail.com</v>
      </c>
      <c r="H260" t="str">
        <f>IF(_xlfn.XLOOKUP(C260,customers!$A:$A,customers!$G:$G,,0)=0,"",_xlfn.XLOOKUP(C260,customers!$A:$A,customers!$G:$G,,0))</f>
        <v>Japan</v>
      </c>
      <c r="I260" t="str">
        <f>IF(_xlfn.XLOOKUP(D260,product!$A:$A,product!$E:$E,,0)=0,"",_xlfn.XLOOKUP(D260,product!$A:$A,product!$E:$E,,0))</f>
        <v>TECH</v>
      </c>
      <c r="J260" s="5">
        <f>IF(_xlfn.XLOOKUP(D260,product!$A:$A,product!$D:$D,,0)=0,"",_xlfn.XLOOKUP(D260,product!$A:$A,product!$D:$D,,0))</f>
        <v>24.55</v>
      </c>
      <c r="K260" s="7">
        <f t="shared" si="4"/>
        <v>73.650000000000006</v>
      </c>
      <c r="L260" s="10" t="str">
        <f>IF(_xlfn.XLOOKUP(D260,product!$A:$A,product!$F:$F,,0)=0,"",_xlfn.XLOOKUP(D260,product!$A:$A,product!$F:$F,,0))</f>
        <v>No</v>
      </c>
      <c r="M260" t="str">
        <f>IF(_xlfn.XLOOKUP(D260,product!$A:$A,product!G:G,,0)=0,"",_xlfn.XLOOKUP(D260,product!$A:$A,product!G:G,,0))</f>
        <v>Gold</v>
      </c>
      <c r="N260" t="str">
        <f>IF(_xlfn.XLOOKUP(D260,product!$A:$A,product!$B:$B,,0)=0,"",_xlfn.XLOOKUP(D260,product!$A:$A,product!$B:$B,,0))</f>
        <v>Future Secrets</v>
      </c>
    </row>
    <row r="261" spans="1:14" x14ac:dyDescent="0.35">
      <c r="A261" t="s">
        <v>563</v>
      </c>
      <c r="B261" s="3">
        <v>45596</v>
      </c>
      <c r="C261" t="s">
        <v>2712</v>
      </c>
      <c r="D261" t="s">
        <v>5610</v>
      </c>
      <c r="E261">
        <v>3</v>
      </c>
      <c r="F261" t="str">
        <f>_xlfn.XLOOKUP(C261,customers!$A$1:$A$983,customers!$B$1:$B$983,,0)</f>
        <v>Emma White</v>
      </c>
      <c r="G261" t="str">
        <f>_xlfn.XLOOKUP(C261,customers!$A:$A,customers!$C:$C,,0)</f>
        <v>emma.white574@outlook.com</v>
      </c>
      <c r="H261" t="str">
        <f>IF(_xlfn.XLOOKUP(C261,customers!$A:$A,customers!$G:$G,,0)=0,"",_xlfn.XLOOKUP(C261,customers!$A:$A,customers!$G:$G,,0))</f>
        <v>Japan</v>
      </c>
      <c r="I261" t="str">
        <f>IF(_xlfn.XLOOKUP(D261,product!$A:$A,product!$E:$E,,0)=0,"",_xlfn.XLOOKUP(D261,product!$A:$A,product!$E:$E,,0))</f>
        <v>HISTORY</v>
      </c>
      <c r="J261" s="5">
        <f>IF(_xlfn.XLOOKUP(D261,product!$A:$A,product!$D:$D,,0)=0,"",_xlfn.XLOOKUP(D261,product!$A:$A,product!$D:$D,,0))</f>
        <v>38.119999999999997</v>
      </c>
      <c r="K261" s="7">
        <f t="shared" si="4"/>
        <v>114.35999999999999</v>
      </c>
      <c r="L261" s="10" t="str">
        <f>IF(_xlfn.XLOOKUP(D261,product!$A:$A,product!$F:$F,,0)=0,"",_xlfn.XLOOKUP(D261,product!$A:$A,product!$F:$F,,0))</f>
        <v>No</v>
      </c>
      <c r="M261" t="str">
        <f>IF(_xlfn.XLOOKUP(D261,product!$A:$A,product!G:G,,0)=0,"",_xlfn.XLOOKUP(D261,product!$A:$A,product!G:G,,0))</f>
        <v>Silver</v>
      </c>
      <c r="N261" t="str">
        <f>IF(_xlfn.XLOOKUP(D261,product!$A:$A,product!$B:$B,,0)=0,"",_xlfn.XLOOKUP(D261,product!$A:$A,product!$B:$B,,0))</f>
        <v>Future Secrets</v>
      </c>
    </row>
    <row r="262" spans="1:14" x14ac:dyDescent="0.35">
      <c r="A262" t="s">
        <v>580</v>
      </c>
      <c r="B262" s="3">
        <v>45120</v>
      </c>
      <c r="C262" t="s">
        <v>2462</v>
      </c>
      <c r="D262" t="s">
        <v>5611</v>
      </c>
      <c r="E262">
        <v>3</v>
      </c>
      <c r="F262" t="str">
        <f>_xlfn.XLOOKUP(C262,customers!$A$1:$A$983,customers!$B$1:$B$983,,0)</f>
        <v>Brian Baker</v>
      </c>
      <c r="G262" t="str">
        <f>_xlfn.XLOOKUP(C262,customers!$A:$A,customers!$C:$C,,0)</f>
        <v>brian.baker453@outlook.com</v>
      </c>
      <c r="H262" t="str">
        <f>IF(_xlfn.XLOOKUP(C262,customers!$A:$A,customers!$G:$G,,0)=0,"",_xlfn.XLOOKUP(C262,customers!$A:$A,customers!$G:$G,,0))</f>
        <v>Japan</v>
      </c>
      <c r="I262" t="str">
        <f>IF(_xlfn.XLOOKUP(D262,product!$A:$A,product!$E:$E,,0)=0,"",_xlfn.XLOOKUP(D262,product!$A:$A,product!$E:$E,,0))</f>
        <v>HISTORY</v>
      </c>
      <c r="J262" s="5">
        <f>IF(_xlfn.XLOOKUP(D262,product!$A:$A,product!$D:$D,,0)=0,"",_xlfn.XLOOKUP(D262,product!$A:$A,product!$D:$D,,0))</f>
        <v>23.39</v>
      </c>
      <c r="K262" s="7">
        <f t="shared" si="4"/>
        <v>70.17</v>
      </c>
      <c r="L262" s="10" t="str">
        <f>IF(_xlfn.XLOOKUP(D262,product!$A:$A,product!$F:$F,,0)=0,"",_xlfn.XLOOKUP(D262,product!$A:$A,product!$F:$F,,0))</f>
        <v>No</v>
      </c>
      <c r="M262" t="str">
        <f>IF(_xlfn.XLOOKUP(D262,product!$A:$A,product!G:G,,0)=0,"",_xlfn.XLOOKUP(D262,product!$A:$A,product!G:G,,0))</f>
        <v>Gold</v>
      </c>
      <c r="N262" t="str">
        <f>IF(_xlfn.XLOOKUP(D262,product!$A:$A,product!$B:$B,,0)=0,"",_xlfn.XLOOKUP(D262,product!$A:$A,product!$B:$B,,0))</f>
        <v>Power Forest</v>
      </c>
    </row>
    <row r="263" spans="1:14" x14ac:dyDescent="0.35">
      <c r="A263" t="s">
        <v>597</v>
      </c>
      <c r="B263" s="3">
        <v>45511</v>
      </c>
      <c r="C263" t="s">
        <v>1534</v>
      </c>
      <c r="D263" t="s">
        <v>5612</v>
      </c>
      <c r="E263">
        <v>3</v>
      </c>
      <c r="F263" t="str">
        <f>_xlfn.XLOOKUP(C263,customers!$A$1:$A$983,customers!$B$1:$B$983,,0)</f>
        <v>Anthony Thomas</v>
      </c>
      <c r="G263" t="str">
        <f>_xlfn.XLOOKUP(C263,customers!$A:$A,customers!$C:$C,,0)</f>
        <v>anthony.thomas132@yahoo.com</v>
      </c>
      <c r="H263" t="str">
        <f>IF(_xlfn.XLOOKUP(C263,customers!$A:$A,customers!$G:$G,,0)=0,"",_xlfn.XLOOKUP(C263,customers!$A:$A,customers!$G:$G,,0))</f>
        <v>Spain</v>
      </c>
      <c r="I263" t="str">
        <f>IF(_xlfn.XLOOKUP(D263,product!$A:$A,product!$E:$E,,0)=0,"",_xlfn.XLOOKUP(D263,product!$A:$A,product!$E:$E,,0))</f>
        <v>FICTION</v>
      </c>
      <c r="J263" s="5">
        <f>IF(_xlfn.XLOOKUP(D263,product!$A:$A,product!$D:$D,,0)=0,"",_xlfn.XLOOKUP(D263,product!$A:$A,product!$D:$D,,0))</f>
        <v>28.66</v>
      </c>
      <c r="K263" s="7">
        <f t="shared" si="4"/>
        <v>85.98</v>
      </c>
      <c r="L263" s="10" t="str">
        <f>IF(_xlfn.XLOOKUP(D263,product!$A:$A,product!$F:$F,,0)=0,"",_xlfn.XLOOKUP(D263,product!$A:$A,product!$F:$F,,0))</f>
        <v>No</v>
      </c>
      <c r="M263" t="str">
        <f>IF(_xlfn.XLOOKUP(D263,product!$A:$A,product!G:G,,0)=0,"",_xlfn.XLOOKUP(D263,product!$A:$A,product!G:G,,0))</f>
        <v>None</v>
      </c>
      <c r="N263" t="str">
        <f>IF(_xlfn.XLOOKUP(D263,product!$A:$A,product!$B:$B,,0)=0,"",_xlfn.XLOOKUP(D263,product!$A:$A,product!$B:$B,,0))</f>
        <v>Power Journey</v>
      </c>
    </row>
    <row r="264" spans="1:14" x14ac:dyDescent="0.35">
      <c r="A264" t="s">
        <v>614</v>
      </c>
      <c r="B264" s="3">
        <v>44948</v>
      </c>
      <c r="C264" t="s">
        <v>2876</v>
      </c>
      <c r="D264" t="s">
        <v>5613</v>
      </c>
      <c r="E264">
        <v>3</v>
      </c>
      <c r="F264" t="str">
        <f>_xlfn.XLOOKUP(C264,customers!$A$1:$A$983,customers!$B$1:$B$983,,0)</f>
        <v>Charlotte Smith</v>
      </c>
      <c r="G264" t="str">
        <f>_xlfn.XLOOKUP(C264,customers!$A:$A,customers!$C:$C,,0)</f>
        <v>charlotte.smith653@hotmail.com</v>
      </c>
      <c r="H264" t="str">
        <f>IF(_xlfn.XLOOKUP(C264,customers!$A:$A,customers!$G:$G,,0)=0,"",_xlfn.XLOOKUP(C264,customers!$A:$A,customers!$G:$G,,0))</f>
        <v>Egypt</v>
      </c>
      <c r="I264" t="str">
        <f>IF(_xlfn.XLOOKUP(D264,product!$A:$A,product!$E:$E,,0)=0,"",_xlfn.XLOOKUP(D264,product!$A:$A,product!$E:$E,,0))</f>
        <v>BUSINESS</v>
      </c>
      <c r="J264" s="5">
        <f>IF(_xlfn.XLOOKUP(D264,product!$A:$A,product!$D:$D,,0)=0,"",_xlfn.XLOOKUP(D264,product!$A:$A,product!$D:$D,,0))</f>
        <v>27.67</v>
      </c>
      <c r="K264" s="7">
        <f t="shared" si="4"/>
        <v>83.01</v>
      </c>
      <c r="L264" s="10" t="str">
        <f>IF(_xlfn.XLOOKUP(D264,product!$A:$A,product!$F:$F,,0)=0,"",_xlfn.XLOOKUP(D264,product!$A:$A,product!$F:$F,,0))</f>
        <v>No</v>
      </c>
      <c r="M264" t="str">
        <f>IF(_xlfn.XLOOKUP(D264,product!$A:$A,product!G:G,,0)=0,"",_xlfn.XLOOKUP(D264,product!$A:$A,product!G:G,,0))</f>
        <v>Silver</v>
      </c>
      <c r="N264" t="str">
        <f>IF(_xlfn.XLOOKUP(D264,product!$A:$A,product!$B:$B,,0)=0,"",_xlfn.XLOOKUP(D264,product!$A:$A,product!$B:$B,,0))</f>
        <v>Journey Power</v>
      </c>
    </row>
    <row r="265" spans="1:14" x14ac:dyDescent="0.35">
      <c r="A265" t="s">
        <v>631</v>
      </c>
      <c r="B265" s="3">
        <v>45385</v>
      </c>
      <c r="C265" t="s">
        <v>2631</v>
      </c>
      <c r="D265" t="s">
        <v>5614</v>
      </c>
      <c r="E265">
        <v>3</v>
      </c>
      <c r="F265" t="str">
        <f>_xlfn.XLOOKUP(C265,customers!$A$1:$A$983,customers!$B$1:$B$983,,0)</f>
        <v>David Walker</v>
      </c>
      <c r="G265" t="str">
        <f>_xlfn.XLOOKUP(C265,customers!$A:$A,customers!$C:$C,,0)</f>
        <v>david.walker535@outlook.com</v>
      </c>
      <c r="H265" t="str">
        <f>IF(_xlfn.XLOOKUP(C265,customers!$A:$A,customers!$G:$G,,0)=0,"",_xlfn.XLOOKUP(C265,customers!$A:$A,customers!$G:$G,,0))</f>
        <v>Sweden</v>
      </c>
      <c r="I265" t="str">
        <f>IF(_xlfn.XLOOKUP(D265,product!$A:$A,product!$E:$E,,0)=0,"",_xlfn.XLOOKUP(D265,product!$A:$A,product!$E:$E,,0))</f>
        <v>SCIENCE</v>
      </c>
      <c r="J265" s="5">
        <f>IF(_xlfn.XLOOKUP(D265,product!$A:$A,product!$D:$D,,0)=0,"",_xlfn.XLOOKUP(D265,product!$A:$A,product!$D:$D,,0))</f>
        <v>19.63</v>
      </c>
      <c r="K265" s="7">
        <f t="shared" si="4"/>
        <v>58.89</v>
      </c>
      <c r="L265" s="10" t="str">
        <f>IF(_xlfn.XLOOKUP(D265,product!$A:$A,product!$F:$F,,0)=0,"",_xlfn.XLOOKUP(D265,product!$A:$A,product!$F:$F,,0))</f>
        <v>Yes</v>
      </c>
      <c r="M265" t="str">
        <f>IF(_xlfn.XLOOKUP(D265,product!$A:$A,product!G:G,,0)=0,"",_xlfn.XLOOKUP(D265,product!$A:$A,product!G:G,,0))</f>
        <v>None</v>
      </c>
      <c r="N265" t="str">
        <f>IF(_xlfn.XLOOKUP(D265,product!$A:$A,product!$B:$B,,0)=0,"",_xlfn.XLOOKUP(D265,product!$A:$A,product!$B:$B,,0))</f>
        <v>Power Science</v>
      </c>
    </row>
    <row r="266" spans="1:14" x14ac:dyDescent="0.35">
      <c r="A266" t="s">
        <v>648</v>
      </c>
      <c r="B266" s="3">
        <v>45172</v>
      </c>
      <c r="C266" t="s">
        <v>1459</v>
      </c>
      <c r="D266" t="s">
        <v>5615</v>
      </c>
      <c r="E266">
        <v>3</v>
      </c>
      <c r="F266" t="str">
        <f>_xlfn.XLOOKUP(C266,customers!$A$1:$A$983,customers!$B$1:$B$983,,0)</f>
        <v>Kevin Lopez</v>
      </c>
      <c r="G266" t="str">
        <f>_xlfn.XLOOKUP(C266,customers!$A:$A,customers!$C:$C,,0)</f>
        <v>kevin.lopez110@outlook.com</v>
      </c>
      <c r="H266" t="str">
        <f>IF(_xlfn.XLOOKUP(C266,customers!$A:$A,customers!$G:$G,,0)=0,"",_xlfn.XLOOKUP(C266,customers!$A:$A,customers!$G:$G,,0))</f>
        <v>UAE</v>
      </c>
      <c r="I266" t="str">
        <f>IF(_xlfn.XLOOKUP(D266,product!$A:$A,product!$E:$E,,0)=0,"",_xlfn.XLOOKUP(D266,product!$A:$A,product!$E:$E,,0))</f>
        <v>HISTORY</v>
      </c>
      <c r="J266" s="5">
        <f>IF(_xlfn.XLOOKUP(D266,product!$A:$A,product!$D:$D,,0)=0,"",_xlfn.XLOOKUP(D266,product!$A:$A,product!$D:$D,,0))</f>
        <v>35.94</v>
      </c>
      <c r="K266" s="7">
        <f t="shared" si="4"/>
        <v>107.82</v>
      </c>
      <c r="L266" s="10" t="str">
        <f>IF(_xlfn.XLOOKUP(D266,product!$A:$A,product!$F:$F,,0)=0,"",_xlfn.XLOOKUP(D266,product!$A:$A,product!$F:$F,,0))</f>
        <v>Yes</v>
      </c>
      <c r="M266" t="str">
        <f>IF(_xlfn.XLOOKUP(D266,product!$A:$A,product!G:G,,0)=0,"",_xlfn.XLOOKUP(D266,product!$A:$A,product!G:G,,0))</f>
        <v>None</v>
      </c>
      <c r="N266" t="str">
        <f>IF(_xlfn.XLOOKUP(D266,product!$A:$A,product!$B:$B,,0)=0,"",_xlfn.XLOOKUP(D266,product!$A:$A,product!$B:$B,,0))</f>
        <v>Power Silent</v>
      </c>
    </row>
    <row r="267" spans="1:14" x14ac:dyDescent="0.35">
      <c r="A267" t="s">
        <v>665</v>
      </c>
      <c r="B267" s="3">
        <v>45650</v>
      </c>
      <c r="C267" t="s">
        <v>2752</v>
      </c>
      <c r="D267" t="s">
        <v>5616</v>
      </c>
      <c r="E267">
        <v>3</v>
      </c>
      <c r="F267" t="str">
        <f>_xlfn.XLOOKUP(C267,customers!$A$1:$A$983,customers!$B$1:$B$983,,0)</f>
        <v>Steven Allen</v>
      </c>
      <c r="G267" t="str">
        <f>_xlfn.XLOOKUP(C267,customers!$A:$A,customers!$C:$C,,0)</f>
        <v>steven.allen593@yahoo.com</v>
      </c>
      <c r="H267" t="str">
        <f>IF(_xlfn.XLOOKUP(C267,customers!$A:$A,customers!$G:$G,,0)=0,"",_xlfn.XLOOKUP(C267,customers!$A:$A,customers!$G:$G,,0))</f>
        <v>Spain</v>
      </c>
      <c r="I267" t="str">
        <f>IF(_xlfn.XLOOKUP(D267,product!$A:$A,product!$E:$E,,0)=0,"",_xlfn.XLOOKUP(D267,product!$A:$A,product!$E:$E,,0))</f>
        <v>HISTORY</v>
      </c>
      <c r="J267" s="5">
        <f>IF(_xlfn.XLOOKUP(D267,product!$A:$A,product!$D:$D,,0)=0,"",_xlfn.XLOOKUP(D267,product!$A:$A,product!$D:$D,,0))</f>
        <v>34.75</v>
      </c>
      <c r="K267" s="7">
        <f t="shared" si="4"/>
        <v>104.25</v>
      </c>
      <c r="L267" s="10" t="str">
        <f>IF(_xlfn.XLOOKUP(D267,product!$A:$A,product!$F:$F,,0)=0,"",_xlfn.XLOOKUP(D267,product!$A:$A,product!$F:$F,,0))</f>
        <v>Yes</v>
      </c>
      <c r="M267" t="str">
        <f>IF(_xlfn.XLOOKUP(D267,product!$A:$A,product!G:G,,0)=0,"",_xlfn.XLOOKUP(D267,product!$A:$A,product!G:G,,0))</f>
        <v>None</v>
      </c>
      <c r="N267" t="str">
        <f>IF(_xlfn.XLOOKUP(D267,product!$A:$A,product!$B:$B,,0)=0,"",_xlfn.XLOOKUP(D267,product!$A:$A,product!$B:$B,,0))</f>
        <v>Silent Power</v>
      </c>
    </row>
    <row r="268" spans="1:14" x14ac:dyDescent="0.35">
      <c r="A268" t="s">
        <v>682</v>
      </c>
      <c r="B268" s="3">
        <v>45002</v>
      </c>
      <c r="C268" t="s">
        <v>3374</v>
      </c>
      <c r="D268" t="s">
        <v>5617</v>
      </c>
      <c r="E268">
        <v>3</v>
      </c>
      <c r="F268" t="str">
        <f>_xlfn.XLOOKUP(C268,customers!$A$1:$A$983,customers!$B$1:$B$983,,0)</f>
        <v>Zoe Martinez</v>
      </c>
      <c r="G268" t="str">
        <f>_xlfn.XLOOKUP(C268,customers!$A:$A,customers!$C:$C,,0)</f>
        <v>zoe.martinez901@outlook.com</v>
      </c>
      <c r="H268" t="str">
        <f>IF(_xlfn.XLOOKUP(C268,customers!$A:$A,customers!$G:$G,,0)=0,"",_xlfn.XLOOKUP(C268,customers!$A:$A,customers!$G:$G,,0))</f>
        <v>Denmark</v>
      </c>
      <c r="I268" t="str">
        <f>IF(_xlfn.XLOOKUP(D268,product!$A:$A,product!$E:$E,,0)=0,"",_xlfn.XLOOKUP(D268,product!$A:$A,product!$E:$E,,0))</f>
        <v>TECH</v>
      </c>
      <c r="J268" s="5">
        <f>IF(_xlfn.XLOOKUP(D268,product!$A:$A,product!$D:$D,,0)=0,"",_xlfn.XLOOKUP(D268,product!$A:$A,product!$D:$D,,0))</f>
        <v>33.81</v>
      </c>
      <c r="K268" s="7">
        <f t="shared" si="4"/>
        <v>101.43</v>
      </c>
      <c r="L268" s="10" t="str">
        <f>IF(_xlfn.XLOOKUP(D268,product!$A:$A,product!$F:$F,,0)=0,"",_xlfn.XLOOKUP(D268,product!$A:$A,product!$F:$F,,0))</f>
        <v>Yes</v>
      </c>
      <c r="M268" t="str">
        <f>IF(_xlfn.XLOOKUP(D268,product!$A:$A,product!G:G,,0)=0,"",_xlfn.XLOOKUP(D268,product!$A:$A,product!G:G,,0))</f>
        <v>None</v>
      </c>
      <c r="N268" t="str">
        <f>IF(_xlfn.XLOOKUP(D268,product!$A:$A,product!$B:$B,,0)=0,"",_xlfn.XLOOKUP(D268,product!$A:$A,product!$B:$B,,0))</f>
        <v>Quantum Mind</v>
      </c>
    </row>
    <row r="269" spans="1:14" x14ac:dyDescent="0.35">
      <c r="A269" t="s">
        <v>699</v>
      </c>
      <c r="B269" s="3">
        <v>45329</v>
      </c>
      <c r="C269" t="s">
        <v>3295</v>
      </c>
      <c r="D269" t="s">
        <v>5618</v>
      </c>
      <c r="E269">
        <v>3</v>
      </c>
      <c r="F269" t="str">
        <f>_xlfn.XLOOKUP(C269,customers!$A$1:$A$983,customers!$B$1:$B$983,,0)</f>
        <v>Kevin Wright</v>
      </c>
      <c r="G269" t="str">
        <f>_xlfn.XLOOKUP(C269,customers!$A:$A,customers!$C:$C,,0)</f>
        <v>kevin.wright861@hotmail.com</v>
      </c>
      <c r="H269" t="str">
        <f>IF(_xlfn.XLOOKUP(C269,customers!$A:$A,customers!$G:$G,,0)=0,"",_xlfn.XLOOKUP(C269,customers!$A:$A,customers!$G:$G,,0))</f>
        <v>France</v>
      </c>
      <c r="I269" t="str">
        <f>IF(_xlfn.XLOOKUP(D269,product!$A:$A,product!$E:$E,,0)=0,"",_xlfn.XLOOKUP(D269,product!$A:$A,product!$E:$E,,0))</f>
        <v>SCIENCE</v>
      </c>
      <c r="J269" s="5">
        <f>IF(_xlfn.XLOOKUP(D269,product!$A:$A,product!$D:$D,,0)=0,"",_xlfn.XLOOKUP(D269,product!$A:$A,product!$D:$D,,0))</f>
        <v>23.45</v>
      </c>
      <c r="K269" s="7">
        <f t="shared" si="4"/>
        <v>70.349999999999994</v>
      </c>
      <c r="L269" s="10" t="str">
        <f>IF(_xlfn.XLOOKUP(D269,product!$A:$A,product!$F:$F,,0)=0,"",_xlfn.XLOOKUP(D269,product!$A:$A,product!$F:$F,,0))</f>
        <v>Yes</v>
      </c>
      <c r="M269" t="str">
        <f>IF(_xlfn.XLOOKUP(D269,product!$A:$A,product!G:G,,0)=0,"",_xlfn.XLOOKUP(D269,product!$A:$A,product!G:G,,0))</f>
        <v>None</v>
      </c>
      <c r="N269" t="str">
        <f>IF(_xlfn.XLOOKUP(D269,product!$A:$A,product!$B:$B,,0)=0,"",_xlfn.XLOOKUP(D269,product!$A:$A,product!$B:$B,,0))</f>
        <v>Secrets Silent</v>
      </c>
    </row>
    <row r="270" spans="1:14" x14ac:dyDescent="0.35">
      <c r="A270" t="s">
        <v>716</v>
      </c>
      <c r="B270" s="3">
        <v>45163</v>
      </c>
      <c r="C270" t="s">
        <v>3037</v>
      </c>
      <c r="D270" t="s">
        <v>5619</v>
      </c>
      <c r="E270">
        <v>3</v>
      </c>
      <c r="F270" t="str">
        <f>_xlfn.XLOOKUP(C270,customers!$A$1:$A$983,customers!$B$1:$B$983,,0)</f>
        <v>Daniel Hall</v>
      </c>
      <c r="G270" t="str">
        <f>_xlfn.XLOOKUP(C270,customers!$A:$A,customers!$C:$C,,0)</f>
        <v>daniel.hall731@gmail.com</v>
      </c>
      <c r="H270" t="str">
        <f>IF(_xlfn.XLOOKUP(C270,customers!$A:$A,customers!$G:$G,,0)=0,"",_xlfn.XLOOKUP(C270,customers!$A:$A,customers!$G:$G,,0))</f>
        <v>UAE</v>
      </c>
      <c r="I270" t="str">
        <f>IF(_xlfn.XLOOKUP(D270,product!$A:$A,product!$E:$E,,0)=0,"",_xlfn.XLOOKUP(D270,product!$A:$A,product!$E:$E,,0))</f>
        <v>BUSINESS</v>
      </c>
      <c r="J270" s="5">
        <f>IF(_xlfn.XLOOKUP(D270,product!$A:$A,product!$D:$D,,0)=0,"",_xlfn.XLOOKUP(D270,product!$A:$A,product!$D:$D,,0))</f>
        <v>35.93</v>
      </c>
      <c r="K270" s="7">
        <f t="shared" si="4"/>
        <v>107.78999999999999</v>
      </c>
      <c r="L270" s="10" t="str">
        <f>IF(_xlfn.XLOOKUP(D270,product!$A:$A,product!$F:$F,,0)=0,"",_xlfn.XLOOKUP(D270,product!$A:$A,product!$F:$F,,0))</f>
        <v>No</v>
      </c>
      <c r="M270" t="str">
        <f>IF(_xlfn.XLOOKUP(D270,product!$A:$A,product!G:G,,0)=0,"",_xlfn.XLOOKUP(D270,product!$A:$A,product!G:G,,0))</f>
        <v>Silver</v>
      </c>
      <c r="N270" t="str">
        <f>IF(_xlfn.XLOOKUP(D270,product!$A:$A,product!$B:$B,,0)=0,"",_xlfn.XLOOKUP(D270,product!$A:$A,product!$B:$B,,0))</f>
        <v>Future Science</v>
      </c>
    </row>
    <row r="271" spans="1:14" x14ac:dyDescent="0.35">
      <c r="A271" t="s">
        <v>733</v>
      </c>
      <c r="B271" s="3">
        <v>45429</v>
      </c>
      <c r="C271" t="s">
        <v>3491</v>
      </c>
      <c r="D271" t="s">
        <v>5620</v>
      </c>
      <c r="E271">
        <v>3</v>
      </c>
      <c r="F271" t="str">
        <f>_xlfn.XLOOKUP(C271,customers!$A$1:$A$983,customers!$B$1:$B$983,,0)</f>
        <v>Paul Clark</v>
      </c>
      <c r="G271" t="str">
        <f>_xlfn.XLOOKUP(C271,customers!$A:$A,customers!$C:$C,,0)</f>
        <v>paul.clark960@yahoo.com</v>
      </c>
      <c r="H271" t="str">
        <f>IF(_xlfn.XLOOKUP(C271,customers!$A:$A,customers!$G:$G,,0)=0,"",_xlfn.XLOOKUP(C271,customers!$A:$A,customers!$G:$G,,0))</f>
        <v>India</v>
      </c>
      <c r="I271" t="str">
        <f>IF(_xlfn.XLOOKUP(D271,product!$A:$A,product!$E:$E,,0)=0,"",_xlfn.XLOOKUP(D271,product!$A:$A,product!$E:$E,,0))</f>
        <v>HISTORY</v>
      </c>
      <c r="J271" s="5">
        <f>IF(_xlfn.XLOOKUP(D271,product!$A:$A,product!$D:$D,,0)=0,"",_xlfn.XLOOKUP(D271,product!$A:$A,product!$D:$D,,0))</f>
        <v>16.07</v>
      </c>
      <c r="K271" s="7">
        <f t="shared" si="4"/>
        <v>48.21</v>
      </c>
      <c r="L271" s="10" t="str">
        <f>IF(_xlfn.XLOOKUP(D271,product!$A:$A,product!$F:$F,,0)=0,"",_xlfn.XLOOKUP(D271,product!$A:$A,product!$F:$F,,0))</f>
        <v>Yes</v>
      </c>
      <c r="M271" t="str">
        <f>IF(_xlfn.XLOOKUP(D271,product!$A:$A,product!G:G,,0)=0,"",_xlfn.XLOOKUP(D271,product!$A:$A,product!G:G,,0))</f>
        <v>None</v>
      </c>
      <c r="N271" t="str">
        <f>IF(_xlfn.XLOOKUP(D271,product!$A:$A,product!$B:$B,,0)=0,"",_xlfn.XLOOKUP(D271,product!$A:$A,product!$B:$B,,0))</f>
        <v>Journey Data</v>
      </c>
    </row>
    <row r="272" spans="1:14" x14ac:dyDescent="0.35">
      <c r="A272" t="s">
        <v>750</v>
      </c>
      <c r="B272" s="3">
        <v>45249</v>
      </c>
      <c r="C272" t="s">
        <v>3186</v>
      </c>
      <c r="D272" t="s">
        <v>5621</v>
      </c>
      <c r="E272">
        <v>3</v>
      </c>
      <c r="F272" t="str">
        <f>_xlfn.XLOOKUP(C272,customers!$A$1:$A$983,customers!$B$1:$B$983,,0)</f>
        <v>Andrew Johnson</v>
      </c>
      <c r="G272" t="str">
        <f>_xlfn.XLOOKUP(C272,customers!$A:$A,customers!$C:$C,,0)</f>
        <v>andrew.johnson806@hotmail.com</v>
      </c>
      <c r="H272" t="str">
        <f>IF(_xlfn.XLOOKUP(C272,customers!$A:$A,customers!$G:$G,,0)=0,"",_xlfn.XLOOKUP(C272,customers!$A:$A,customers!$G:$G,,0))</f>
        <v>Egypt</v>
      </c>
      <c r="I272" t="str">
        <f>IF(_xlfn.XLOOKUP(D272,product!$A:$A,product!$E:$E,,0)=0,"",_xlfn.XLOOKUP(D272,product!$A:$A,product!$E:$E,,0))</f>
        <v>TECH</v>
      </c>
      <c r="J272" s="5">
        <f>IF(_xlfn.XLOOKUP(D272,product!$A:$A,product!$D:$D,,0)=0,"",_xlfn.XLOOKUP(D272,product!$A:$A,product!$D:$D,,0))</f>
        <v>18.43</v>
      </c>
      <c r="K272" s="7">
        <f t="shared" si="4"/>
        <v>55.29</v>
      </c>
      <c r="L272" s="10" t="str">
        <f>IF(_xlfn.XLOOKUP(D272,product!$A:$A,product!$F:$F,,0)=0,"",_xlfn.XLOOKUP(D272,product!$A:$A,product!$F:$F,,0))</f>
        <v>No</v>
      </c>
      <c r="M272" t="str">
        <f>IF(_xlfn.XLOOKUP(D272,product!$A:$A,product!G:G,,0)=0,"",_xlfn.XLOOKUP(D272,product!$A:$A,product!G:G,,0))</f>
        <v>Gold</v>
      </c>
      <c r="N272" t="str">
        <f>IF(_xlfn.XLOOKUP(D272,product!$A:$A,product!$B:$B,,0)=0,"",_xlfn.XLOOKUP(D272,product!$A:$A,product!$B:$B,,0))</f>
        <v>Data Journey</v>
      </c>
    </row>
    <row r="273" spans="1:14" x14ac:dyDescent="0.35">
      <c r="A273" t="s">
        <v>767</v>
      </c>
      <c r="B273" s="3">
        <v>45501</v>
      </c>
      <c r="C273" t="s">
        <v>3305</v>
      </c>
      <c r="D273" t="s">
        <v>5622</v>
      </c>
      <c r="E273">
        <v>3</v>
      </c>
      <c r="F273" t="str">
        <f>_xlfn.XLOOKUP(C273,customers!$A$1:$A$983,customers!$B$1:$B$983,,0)</f>
        <v>Laura Brown</v>
      </c>
      <c r="G273" t="str">
        <f>_xlfn.XLOOKUP(C273,customers!$A:$A,customers!$C:$C,,0)</f>
        <v>laura.brown866@outlook.com</v>
      </c>
      <c r="H273" t="str">
        <f>IF(_xlfn.XLOOKUP(C273,customers!$A:$A,customers!$G:$G,,0)=0,"",_xlfn.XLOOKUP(C273,customers!$A:$A,customers!$G:$G,,0))</f>
        <v>Slovenia</v>
      </c>
      <c r="I273" t="str">
        <f>IF(_xlfn.XLOOKUP(D273,product!$A:$A,product!$E:$E,,0)=0,"",_xlfn.XLOOKUP(D273,product!$A:$A,product!$E:$E,,0))</f>
        <v>FICTION</v>
      </c>
      <c r="J273" s="5">
        <f>IF(_xlfn.XLOOKUP(D273,product!$A:$A,product!$D:$D,,0)=0,"",_xlfn.XLOOKUP(D273,product!$A:$A,product!$D:$D,,0))</f>
        <v>28.03</v>
      </c>
      <c r="K273" s="7">
        <f t="shared" si="4"/>
        <v>84.09</v>
      </c>
      <c r="L273" s="10" t="str">
        <f>IF(_xlfn.XLOOKUP(D273,product!$A:$A,product!$F:$F,,0)=0,"",_xlfn.XLOOKUP(D273,product!$A:$A,product!$F:$F,,0))</f>
        <v>No</v>
      </c>
      <c r="M273" t="str">
        <f>IF(_xlfn.XLOOKUP(D273,product!$A:$A,product!G:G,,0)=0,"",_xlfn.XLOOKUP(D273,product!$A:$A,product!G:G,,0))</f>
        <v>None</v>
      </c>
      <c r="N273" t="str">
        <f>IF(_xlfn.XLOOKUP(D273,product!$A:$A,product!$B:$B,,0)=0,"",_xlfn.XLOOKUP(D273,product!$A:$A,product!$B:$B,,0))</f>
        <v>Science Data</v>
      </c>
    </row>
    <row r="274" spans="1:14" x14ac:dyDescent="0.35">
      <c r="A274" t="s">
        <v>784</v>
      </c>
      <c r="B274" s="3">
        <v>45089</v>
      </c>
      <c r="C274" t="s">
        <v>2770</v>
      </c>
      <c r="D274" t="s">
        <v>5623</v>
      </c>
      <c r="E274">
        <v>3</v>
      </c>
      <c r="F274" t="str">
        <f>_xlfn.XLOOKUP(C274,customers!$A$1:$A$983,customers!$B$1:$B$983,,0)</f>
        <v>Peter Robinson</v>
      </c>
      <c r="G274" t="str">
        <f>_xlfn.XLOOKUP(C274,customers!$A:$A,customers!$C:$C,,0)</f>
        <v>peter.robinson602@outlook.com</v>
      </c>
      <c r="H274" t="str">
        <f>IF(_xlfn.XLOOKUP(C274,customers!$A:$A,customers!$G:$G,,0)=0,"",_xlfn.XLOOKUP(C274,customers!$A:$A,customers!$G:$G,,0))</f>
        <v>Spain</v>
      </c>
      <c r="I274" t="str">
        <f>IF(_xlfn.XLOOKUP(D274,product!$A:$A,product!$E:$E,,0)=0,"",_xlfn.XLOOKUP(D274,product!$A:$A,product!$E:$E,,0))</f>
        <v>HISTORY</v>
      </c>
      <c r="J274" s="5">
        <f>IF(_xlfn.XLOOKUP(D274,product!$A:$A,product!$D:$D,,0)=0,"",_xlfn.XLOOKUP(D274,product!$A:$A,product!$D:$D,,0))</f>
        <v>14.54</v>
      </c>
      <c r="K274" s="7">
        <f t="shared" si="4"/>
        <v>43.62</v>
      </c>
      <c r="L274" s="10" t="str">
        <f>IF(_xlfn.XLOOKUP(D274,product!$A:$A,product!$F:$F,,0)=0,"",_xlfn.XLOOKUP(D274,product!$A:$A,product!$F:$F,,0))</f>
        <v>No</v>
      </c>
      <c r="M274" t="str">
        <f>IF(_xlfn.XLOOKUP(D274,product!$A:$A,product!G:G,,0)=0,"",_xlfn.XLOOKUP(D274,product!$A:$A,product!G:G,,0))</f>
        <v>Platinum</v>
      </c>
      <c r="N274" t="str">
        <f>IF(_xlfn.XLOOKUP(D274,product!$A:$A,product!$B:$B,,0)=0,"",_xlfn.XLOOKUP(D274,product!$A:$A,product!$B:$B,,0))</f>
        <v>Mind Journey</v>
      </c>
    </row>
    <row r="275" spans="1:14" x14ac:dyDescent="0.35">
      <c r="A275" t="s">
        <v>801</v>
      </c>
      <c r="B275" s="3">
        <v>45554</v>
      </c>
      <c r="C275" t="s">
        <v>3283</v>
      </c>
      <c r="D275" t="s">
        <v>5624</v>
      </c>
      <c r="E275">
        <v>3</v>
      </c>
      <c r="F275" t="str">
        <f>_xlfn.XLOOKUP(C275,customers!$A$1:$A$983,customers!$B$1:$B$983,,0)</f>
        <v>Emma Lopez</v>
      </c>
      <c r="G275" t="str">
        <f>_xlfn.XLOOKUP(C275,customers!$A:$A,customers!$C:$C,,0)</f>
        <v>emma.lopez855@yahoo.com</v>
      </c>
      <c r="H275" t="str">
        <f>IF(_xlfn.XLOOKUP(C275,customers!$A:$A,customers!$G:$G,,0)=0,"",_xlfn.XLOOKUP(C275,customers!$A:$A,customers!$G:$G,,0))</f>
        <v>Serbia</v>
      </c>
      <c r="I275" t="str">
        <f>IF(_xlfn.XLOOKUP(D275,product!$A:$A,product!$E:$E,,0)=0,"",_xlfn.XLOOKUP(D275,product!$A:$A,product!$E:$E,,0))</f>
        <v>HISTORY</v>
      </c>
      <c r="J275" s="5">
        <f>IF(_xlfn.XLOOKUP(D275,product!$A:$A,product!$D:$D,,0)=0,"",_xlfn.XLOOKUP(D275,product!$A:$A,product!$D:$D,,0))</f>
        <v>30.87</v>
      </c>
      <c r="K275" s="7">
        <f t="shared" si="4"/>
        <v>92.61</v>
      </c>
      <c r="L275" s="10" t="str">
        <f>IF(_xlfn.XLOOKUP(D275,product!$A:$A,product!$F:$F,,0)=0,"",_xlfn.XLOOKUP(D275,product!$A:$A,product!$F:$F,,0))</f>
        <v>Yes</v>
      </c>
      <c r="M275" t="str">
        <f>IF(_xlfn.XLOOKUP(D275,product!$A:$A,product!G:G,,0)=0,"",_xlfn.XLOOKUP(D275,product!$A:$A,product!G:G,,0))</f>
        <v>Gold</v>
      </c>
      <c r="N275" t="str">
        <f>IF(_xlfn.XLOOKUP(D275,product!$A:$A,product!$B:$B,,0)=0,"",_xlfn.XLOOKUP(D275,product!$A:$A,product!$B:$B,,0))</f>
        <v>Secrets Silent</v>
      </c>
    </row>
    <row r="276" spans="1:14" x14ac:dyDescent="0.35">
      <c r="A276" t="s">
        <v>818</v>
      </c>
      <c r="B276" s="3">
        <v>45023</v>
      </c>
      <c r="C276" t="s">
        <v>2928</v>
      </c>
      <c r="D276" t="s">
        <v>5625</v>
      </c>
      <c r="E276">
        <v>3</v>
      </c>
      <c r="F276" t="str">
        <f>_xlfn.XLOOKUP(C276,customers!$A$1:$A$983,customers!$B$1:$B$983,,0)</f>
        <v>Edward Hill</v>
      </c>
      <c r="G276" t="str">
        <f>_xlfn.XLOOKUP(C276,customers!$A:$A,customers!$C:$C,,0)</f>
        <v>edward.hill679@gmail.com</v>
      </c>
      <c r="H276" t="str">
        <f>IF(_xlfn.XLOOKUP(C276,customers!$A:$A,customers!$G:$G,,0)=0,"",_xlfn.XLOOKUP(C276,customers!$A:$A,customers!$G:$G,,0))</f>
        <v>Sweden</v>
      </c>
      <c r="I276" t="str">
        <f>IF(_xlfn.XLOOKUP(D276,product!$A:$A,product!$E:$E,,0)=0,"",_xlfn.XLOOKUP(D276,product!$A:$A,product!$E:$E,,0))</f>
        <v>TECH</v>
      </c>
      <c r="J276" s="5">
        <f>IF(_xlfn.XLOOKUP(D276,product!$A:$A,product!$D:$D,,0)=0,"",_xlfn.XLOOKUP(D276,product!$A:$A,product!$D:$D,,0))</f>
        <v>11.11</v>
      </c>
      <c r="K276" s="7">
        <f t="shared" si="4"/>
        <v>33.33</v>
      </c>
      <c r="L276" s="10" t="str">
        <f>IF(_xlfn.XLOOKUP(D276,product!$A:$A,product!$F:$F,,0)=0,"",_xlfn.XLOOKUP(D276,product!$A:$A,product!$F:$F,,0))</f>
        <v>No</v>
      </c>
      <c r="M276" t="str">
        <f>IF(_xlfn.XLOOKUP(D276,product!$A:$A,product!G:G,,0)=0,"",_xlfn.XLOOKUP(D276,product!$A:$A,product!G:G,,0))</f>
        <v>None</v>
      </c>
      <c r="N276" t="str">
        <f>IF(_xlfn.XLOOKUP(D276,product!$A:$A,product!$B:$B,,0)=0,"",_xlfn.XLOOKUP(D276,product!$A:$A,product!$B:$B,,0))</f>
        <v>Future Science</v>
      </c>
    </row>
    <row r="277" spans="1:14" x14ac:dyDescent="0.35">
      <c r="A277" t="s">
        <v>835</v>
      </c>
      <c r="B277" s="3">
        <v>45302</v>
      </c>
      <c r="C277" t="s">
        <v>1897</v>
      </c>
      <c r="D277" t="s">
        <v>5626</v>
      </c>
      <c r="E277">
        <v>3</v>
      </c>
      <c r="F277" t="str">
        <f>_xlfn.XLOOKUP(C277,customers!$A$1:$A$983,customers!$B$1:$B$983,,0)</f>
        <v>Paul Thompson</v>
      </c>
      <c r="G277" t="str">
        <f>_xlfn.XLOOKUP(C277,customers!$A:$A,customers!$C:$C,,0)</f>
        <v>paul.thompson228@gmail.com</v>
      </c>
      <c r="H277" t="str">
        <f>IF(_xlfn.XLOOKUP(C277,customers!$A:$A,customers!$G:$G,,0)=0,"",_xlfn.XLOOKUP(C277,customers!$A:$A,customers!$G:$G,,0))</f>
        <v>Japan</v>
      </c>
      <c r="I277" t="str">
        <f>IF(_xlfn.XLOOKUP(D277,product!$A:$A,product!$E:$E,,0)=0,"",_xlfn.XLOOKUP(D277,product!$A:$A,product!$E:$E,,0))</f>
        <v>FICTION</v>
      </c>
      <c r="J277" s="5">
        <f>IF(_xlfn.XLOOKUP(D277,product!$A:$A,product!$D:$D,,0)=0,"",_xlfn.XLOOKUP(D277,product!$A:$A,product!$D:$D,,0))</f>
        <v>19.45</v>
      </c>
      <c r="K277" s="7">
        <f t="shared" si="4"/>
        <v>58.349999999999994</v>
      </c>
      <c r="L277" s="10" t="str">
        <f>IF(_xlfn.XLOOKUP(D277,product!$A:$A,product!$F:$F,,0)=0,"",_xlfn.XLOOKUP(D277,product!$A:$A,product!$F:$F,,0))</f>
        <v>Yes</v>
      </c>
      <c r="M277" t="str">
        <f>IF(_xlfn.XLOOKUP(D277,product!$A:$A,product!G:G,,0)=0,"",_xlfn.XLOOKUP(D277,product!$A:$A,product!G:G,,0))</f>
        <v>None</v>
      </c>
      <c r="N277" t="str">
        <f>IF(_xlfn.XLOOKUP(D277,product!$A:$A,product!$B:$B,,0)=0,"",_xlfn.XLOOKUP(D277,product!$A:$A,product!$B:$B,,0))</f>
        <v>Future Journey</v>
      </c>
    </row>
    <row r="278" spans="1:14" x14ac:dyDescent="0.35">
      <c r="A278" t="s">
        <v>852</v>
      </c>
      <c r="B278" s="3">
        <v>45223</v>
      </c>
      <c r="C278" t="s">
        <v>2890</v>
      </c>
      <c r="D278" t="s">
        <v>5627</v>
      </c>
      <c r="E278">
        <v>3</v>
      </c>
      <c r="F278" t="str">
        <f>_xlfn.XLOOKUP(C278,customers!$A$1:$A$983,customers!$B$1:$B$983,,0)</f>
        <v>Hannah Brown</v>
      </c>
      <c r="G278" t="str">
        <f>_xlfn.XLOOKUP(C278,customers!$A:$A,customers!$C:$C,,0)</f>
        <v>hannah.brown660@outlook.com</v>
      </c>
      <c r="H278" t="str">
        <f>IF(_xlfn.XLOOKUP(C278,customers!$A:$A,customers!$G:$G,,0)=0,"",_xlfn.XLOOKUP(C278,customers!$A:$A,customers!$G:$G,,0))</f>
        <v>Japan</v>
      </c>
      <c r="I278" t="str">
        <f>IF(_xlfn.XLOOKUP(D278,product!$A:$A,product!$E:$E,,0)=0,"",_xlfn.XLOOKUP(D278,product!$A:$A,product!$E:$E,,0))</f>
        <v>TECH</v>
      </c>
      <c r="J278" s="5">
        <f>IF(_xlfn.XLOOKUP(D278,product!$A:$A,product!$D:$D,,0)=0,"",_xlfn.XLOOKUP(D278,product!$A:$A,product!$D:$D,,0))</f>
        <v>22.41</v>
      </c>
      <c r="K278" s="7">
        <f t="shared" si="4"/>
        <v>67.23</v>
      </c>
      <c r="L278" s="10" t="str">
        <f>IF(_xlfn.XLOOKUP(D278,product!$A:$A,product!$F:$F,,0)=0,"",_xlfn.XLOOKUP(D278,product!$A:$A,product!$F:$F,,0))</f>
        <v>Yes</v>
      </c>
      <c r="M278" t="str">
        <f>IF(_xlfn.XLOOKUP(D278,product!$A:$A,product!G:G,,0)=0,"",_xlfn.XLOOKUP(D278,product!$A:$A,product!G:G,,0))</f>
        <v>None</v>
      </c>
      <c r="N278" t="str">
        <f>IF(_xlfn.XLOOKUP(D278,product!$A:$A,product!$B:$B,,0)=0,"",_xlfn.XLOOKUP(D278,product!$A:$A,product!$B:$B,,0))</f>
        <v>Journey Future</v>
      </c>
    </row>
    <row r="279" spans="1:14" x14ac:dyDescent="0.35">
      <c r="A279" t="s">
        <v>869</v>
      </c>
      <c r="B279" s="3">
        <v>45605</v>
      </c>
      <c r="C279" t="s">
        <v>2458</v>
      </c>
      <c r="D279" t="s">
        <v>5629</v>
      </c>
      <c r="E279">
        <v>3</v>
      </c>
      <c r="F279" t="str">
        <f>_xlfn.XLOOKUP(C279,customers!$A$1:$A$983,customers!$B$1:$B$983,,0)</f>
        <v>Brian Martinez</v>
      </c>
      <c r="G279" t="str">
        <f>_xlfn.XLOOKUP(C279,customers!$A:$A,customers!$C:$C,,0)</f>
        <v>brian.martinez451@gmail.com</v>
      </c>
      <c r="H279" t="str">
        <f>IF(_xlfn.XLOOKUP(C279,customers!$A:$A,customers!$G:$G,,0)=0,"",_xlfn.XLOOKUP(C279,customers!$A:$A,customers!$G:$G,,0))</f>
        <v>USA</v>
      </c>
      <c r="I279" t="str">
        <f>IF(_xlfn.XLOOKUP(D279,product!$A:$A,product!$E:$E,,0)=0,"",_xlfn.XLOOKUP(D279,product!$A:$A,product!$E:$E,,0))</f>
        <v>HISTORY</v>
      </c>
      <c r="J279" s="5">
        <f>IF(_xlfn.XLOOKUP(D279,product!$A:$A,product!$D:$D,,0)=0,"",_xlfn.XLOOKUP(D279,product!$A:$A,product!$D:$D,,0))</f>
        <v>26.71</v>
      </c>
      <c r="K279" s="7">
        <f t="shared" si="4"/>
        <v>80.13</v>
      </c>
      <c r="L279" s="10" t="str">
        <f>IF(_xlfn.XLOOKUP(D279,product!$A:$A,product!$F:$F,,0)=0,"",_xlfn.XLOOKUP(D279,product!$A:$A,product!$F:$F,,0))</f>
        <v>Yes</v>
      </c>
      <c r="M279" t="str">
        <f>IF(_xlfn.XLOOKUP(D279,product!$A:$A,product!G:G,,0)=0,"",_xlfn.XLOOKUP(D279,product!$A:$A,product!G:G,,0))</f>
        <v>Platinum</v>
      </c>
      <c r="N279" t="str">
        <f>IF(_xlfn.XLOOKUP(D279,product!$A:$A,product!$B:$B,,0)=0,"",_xlfn.XLOOKUP(D279,product!$A:$A,product!$B:$B,,0))</f>
        <v>Secrets Forest</v>
      </c>
    </row>
    <row r="280" spans="1:14" x14ac:dyDescent="0.35">
      <c r="A280" t="s">
        <v>886</v>
      </c>
      <c r="B280" s="3">
        <v>45273</v>
      </c>
      <c r="C280" t="s">
        <v>2592</v>
      </c>
      <c r="D280" t="s">
        <v>5630</v>
      </c>
      <c r="E280">
        <v>3</v>
      </c>
      <c r="F280" t="str">
        <f>_xlfn.XLOOKUP(C280,customers!$A$1:$A$983,customers!$B$1:$B$983,,0)</f>
        <v>John Lopez</v>
      </c>
      <c r="G280" t="str">
        <f>_xlfn.XLOOKUP(C280,customers!$A:$A,customers!$C:$C,,0)</f>
        <v>john.lopez516@gmail.com</v>
      </c>
      <c r="H280" t="str">
        <f>IF(_xlfn.XLOOKUP(C280,customers!$A:$A,customers!$G:$G,,0)=0,"",_xlfn.XLOOKUP(C280,customers!$A:$A,customers!$G:$G,,0))</f>
        <v>Japan</v>
      </c>
      <c r="I280" t="str">
        <f>IF(_xlfn.XLOOKUP(D280,product!$A:$A,product!$E:$E,,0)=0,"",_xlfn.XLOOKUP(D280,product!$A:$A,product!$E:$E,,0))</f>
        <v>FICTION</v>
      </c>
      <c r="J280" s="5">
        <f>IF(_xlfn.XLOOKUP(D280,product!$A:$A,product!$D:$D,,0)=0,"",_xlfn.XLOOKUP(D280,product!$A:$A,product!$D:$D,,0))</f>
        <v>14.31</v>
      </c>
      <c r="K280" s="7">
        <f t="shared" si="4"/>
        <v>42.93</v>
      </c>
      <c r="L280" s="10" t="str">
        <f>IF(_xlfn.XLOOKUP(D280,product!$A:$A,product!$F:$F,,0)=0,"",_xlfn.XLOOKUP(D280,product!$A:$A,product!$F:$F,,0))</f>
        <v>Yes</v>
      </c>
      <c r="M280" t="str">
        <f>IF(_xlfn.XLOOKUP(D280,product!$A:$A,product!G:G,,0)=0,"",_xlfn.XLOOKUP(D280,product!$A:$A,product!G:G,,0))</f>
        <v>Gold</v>
      </c>
      <c r="N280" t="str">
        <f>IF(_xlfn.XLOOKUP(D280,product!$A:$A,product!$B:$B,,0)=0,"",_xlfn.XLOOKUP(D280,product!$A:$A,product!$B:$B,,0))</f>
        <v>Journey Future</v>
      </c>
    </row>
    <row r="281" spans="1:14" x14ac:dyDescent="0.35">
      <c r="A281" t="s">
        <v>903</v>
      </c>
      <c r="B281" s="3">
        <v>45381</v>
      </c>
      <c r="C281" t="s">
        <v>2671</v>
      </c>
      <c r="D281" t="s">
        <v>5631</v>
      </c>
      <c r="E281">
        <v>3</v>
      </c>
      <c r="F281" t="str">
        <f>_xlfn.XLOOKUP(C281,customers!$A$1:$A$983,customers!$B$1:$B$983,,0)</f>
        <v>Anthony Thompson</v>
      </c>
      <c r="G281" t="str">
        <f>_xlfn.XLOOKUP(C281,customers!$A:$A,customers!$C:$C,,0)</f>
        <v>anthony.thompson554@outlook.com</v>
      </c>
      <c r="H281" t="str">
        <f>IF(_xlfn.XLOOKUP(C281,customers!$A:$A,customers!$G:$G,,0)=0,"",_xlfn.XLOOKUP(C281,customers!$A:$A,customers!$G:$G,,0))</f>
        <v>Egypt</v>
      </c>
      <c r="I281" t="str">
        <f>IF(_xlfn.XLOOKUP(D281,product!$A:$A,product!$E:$E,,0)=0,"",_xlfn.XLOOKUP(D281,product!$A:$A,product!$E:$E,,0))</f>
        <v>SCIENCE</v>
      </c>
      <c r="J281" s="5">
        <f>IF(_xlfn.XLOOKUP(D281,product!$A:$A,product!$D:$D,,0)=0,"",_xlfn.XLOOKUP(D281,product!$A:$A,product!$D:$D,,0))</f>
        <v>28.23</v>
      </c>
      <c r="K281" s="7">
        <f t="shared" si="4"/>
        <v>84.69</v>
      </c>
      <c r="L281" s="10" t="str">
        <f>IF(_xlfn.XLOOKUP(D281,product!$A:$A,product!$F:$F,,0)=0,"",_xlfn.XLOOKUP(D281,product!$A:$A,product!$F:$F,,0))</f>
        <v>No</v>
      </c>
      <c r="M281" t="str">
        <f>IF(_xlfn.XLOOKUP(D281,product!$A:$A,product!G:G,,0)=0,"",_xlfn.XLOOKUP(D281,product!$A:$A,product!G:G,,0))</f>
        <v>Silver</v>
      </c>
      <c r="N281" t="str">
        <f>IF(_xlfn.XLOOKUP(D281,product!$A:$A,product!$B:$B,,0)=0,"",_xlfn.XLOOKUP(D281,product!$A:$A,product!$B:$B,,0))</f>
        <v>Journey Quantum</v>
      </c>
    </row>
    <row r="282" spans="1:14" x14ac:dyDescent="0.35">
      <c r="A282" t="s">
        <v>920</v>
      </c>
      <c r="B282" s="3">
        <v>44980</v>
      </c>
      <c r="C282" t="s">
        <v>2872</v>
      </c>
      <c r="D282" t="s">
        <v>5632</v>
      </c>
      <c r="E282">
        <v>3</v>
      </c>
      <c r="F282" t="str">
        <f>_xlfn.XLOOKUP(C282,customers!$A$1:$A$983,customers!$B$1:$B$983,,0)</f>
        <v>Emily Green</v>
      </c>
      <c r="G282" t="str">
        <f>_xlfn.XLOOKUP(C282,customers!$A:$A,customers!$C:$C,,0)</f>
        <v>emily.green651@yahoo.com</v>
      </c>
      <c r="H282" t="str">
        <f>IF(_xlfn.XLOOKUP(C282,customers!$A:$A,customers!$G:$G,,0)=0,"",_xlfn.XLOOKUP(C282,customers!$A:$A,customers!$G:$G,,0))</f>
        <v>Japan</v>
      </c>
      <c r="I282" t="str">
        <f>IF(_xlfn.XLOOKUP(D282,product!$A:$A,product!$E:$E,,0)=0,"",_xlfn.XLOOKUP(D282,product!$A:$A,product!$E:$E,,0))</f>
        <v>SCIENCE</v>
      </c>
      <c r="J282" s="5">
        <f>IF(_xlfn.XLOOKUP(D282,product!$A:$A,product!$D:$D,,0)=0,"",_xlfn.XLOOKUP(D282,product!$A:$A,product!$D:$D,,0))</f>
        <v>30.66</v>
      </c>
      <c r="K282" s="7">
        <f t="shared" si="4"/>
        <v>91.98</v>
      </c>
      <c r="L282" s="10" t="str">
        <f>IF(_xlfn.XLOOKUP(D282,product!$A:$A,product!$F:$F,,0)=0,"",_xlfn.XLOOKUP(D282,product!$A:$A,product!$F:$F,,0))</f>
        <v>No</v>
      </c>
      <c r="M282" t="str">
        <f>IF(_xlfn.XLOOKUP(D282,product!$A:$A,product!G:G,,0)=0,"",_xlfn.XLOOKUP(D282,product!$A:$A,product!G:G,,0))</f>
        <v>None</v>
      </c>
      <c r="N282" t="str">
        <f>IF(_xlfn.XLOOKUP(D282,product!$A:$A,product!$B:$B,,0)=0,"",_xlfn.XLOOKUP(D282,product!$A:$A,product!$B:$B,,0))</f>
        <v>Mind Silent</v>
      </c>
    </row>
    <row r="283" spans="1:14" x14ac:dyDescent="0.35">
      <c r="A283" t="s">
        <v>937</v>
      </c>
      <c r="B283" s="3">
        <v>45452</v>
      </c>
      <c r="C283" t="s">
        <v>3277</v>
      </c>
      <c r="D283" t="s">
        <v>5633</v>
      </c>
      <c r="E283">
        <v>3</v>
      </c>
      <c r="F283" t="str">
        <f>_xlfn.XLOOKUP(C283,customers!$A$1:$A$983,customers!$B$1:$B$983,,0)</f>
        <v>Thomas Anderson</v>
      </c>
      <c r="G283" t="str">
        <f>_xlfn.XLOOKUP(C283,customers!$A:$A,customers!$C:$C,,0)</f>
        <v>thomas.anderson852@hotmail.com</v>
      </c>
      <c r="H283" t="str">
        <f>IF(_xlfn.XLOOKUP(C283,customers!$A:$A,customers!$G:$G,,0)=0,"",_xlfn.XLOOKUP(C283,customers!$A:$A,customers!$G:$G,,0))</f>
        <v>Pakistan</v>
      </c>
      <c r="I283" t="str">
        <f>IF(_xlfn.XLOOKUP(D283,product!$A:$A,product!$E:$E,,0)=0,"",_xlfn.XLOOKUP(D283,product!$A:$A,product!$E:$E,,0))</f>
        <v>TECH</v>
      </c>
      <c r="J283" s="5">
        <f>IF(_xlfn.XLOOKUP(D283,product!$A:$A,product!$D:$D,,0)=0,"",_xlfn.XLOOKUP(D283,product!$A:$A,product!$D:$D,,0))</f>
        <v>33.74</v>
      </c>
      <c r="K283" s="7">
        <f t="shared" si="4"/>
        <v>101.22</v>
      </c>
      <c r="L283" s="10" t="str">
        <f>IF(_xlfn.XLOOKUP(D283,product!$A:$A,product!$F:$F,,0)=0,"",_xlfn.XLOOKUP(D283,product!$A:$A,product!$F:$F,,0))</f>
        <v>Yes</v>
      </c>
      <c r="M283" t="str">
        <f>IF(_xlfn.XLOOKUP(D283,product!$A:$A,product!G:G,,0)=0,"",_xlfn.XLOOKUP(D283,product!$A:$A,product!G:G,,0))</f>
        <v>Silver</v>
      </c>
      <c r="N283" t="str">
        <f>IF(_xlfn.XLOOKUP(D283,product!$A:$A,product!$B:$B,,0)=0,"",_xlfn.XLOOKUP(D283,product!$A:$A,product!$B:$B,,0))</f>
        <v>Future Secrets</v>
      </c>
    </row>
    <row r="284" spans="1:14" x14ac:dyDescent="0.35">
      <c r="A284" t="s">
        <v>954</v>
      </c>
      <c r="B284" s="3">
        <v>45076</v>
      </c>
      <c r="C284" t="s">
        <v>3475</v>
      </c>
      <c r="D284" t="s">
        <v>5635</v>
      </c>
      <c r="E284">
        <v>3</v>
      </c>
      <c r="F284" t="str">
        <f>_xlfn.XLOOKUP(C284,customers!$A$1:$A$983,customers!$B$1:$B$983,,0)</f>
        <v>Lucy Lee</v>
      </c>
      <c r="G284" t="str">
        <f>_xlfn.XLOOKUP(C284,customers!$A:$A,customers!$C:$C,,0)</f>
        <v>lucy.lee952@hotmail.com</v>
      </c>
      <c r="H284" t="str">
        <f>IF(_xlfn.XLOOKUP(C284,customers!$A:$A,customers!$G:$G,,0)=0,"",_xlfn.XLOOKUP(C284,customers!$A:$A,customers!$G:$G,,0))</f>
        <v>Egypt</v>
      </c>
      <c r="I284" t="str">
        <f>IF(_xlfn.XLOOKUP(D284,product!$A:$A,product!$E:$E,,0)=0,"",_xlfn.XLOOKUP(D284,product!$A:$A,product!$E:$E,,0))</f>
        <v>SCIENCE</v>
      </c>
      <c r="J284" s="5">
        <f>IF(_xlfn.XLOOKUP(D284,product!$A:$A,product!$D:$D,,0)=0,"",_xlfn.XLOOKUP(D284,product!$A:$A,product!$D:$D,,0))</f>
        <v>34.49</v>
      </c>
      <c r="K284" s="7">
        <f t="shared" si="4"/>
        <v>103.47</v>
      </c>
      <c r="L284" s="10" t="str">
        <f>IF(_xlfn.XLOOKUP(D284,product!$A:$A,product!$F:$F,,0)=0,"",_xlfn.XLOOKUP(D284,product!$A:$A,product!$F:$F,,0))</f>
        <v>No</v>
      </c>
      <c r="M284" t="str">
        <f>IF(_xlfn.XLOOKUP(D284,product!$A:$A,product!G:G,,0)=0,"",_xlfn.XLOOKUP(D284,product!$A:$A,product!G:G,,0))</f>
        <v>None</v>
      </c>
      <c r="N284" t="str">
        <f>IF(_xlfn.XLOOKUP(D284,product!$A:$A,product!$B:$B,,0)=0,"",_xlfn.XLOOKUP(D284,product!$A:$A,product!$B:$B,,0))</f>
        <v>Power Future</v>
      </c>
    </row>
    <row r="285" spans="1:14" x14ac:dyDescent="0.35">
      <c r="A285" t="s">
        <v>971</v>
      </c>
      <c r="B285" s="3">
        <v>45587</v>
      </c>
      <c r="C285" t="s">
        <v>1475</v>
      </c>
      <c r="D285" t="s">
        <v>5636</v>
      </c>
      <c r="E285">
        <v>3</v>
      </c>
      <c r="F285" t="str">
        <f>_xlfn.XLOOKUP(C285,customers!$A$1:$A$983,customers!$B$1:$B$983,,0)</f>
        <v>Grace Johnson</v>
      </c>
      <c r="G285" t="str">
        <f>_xlfn.XLOOKUP(C285,customers!$A:$A,customers!$C:$C,,0)</f>
        <v>grace.johnson115@hotmail.com</v>
      </c>
      <c r="H285" t="str">
        <f>IF(_xlfn.XLOOKUP(C285,customers!$A:$A,customers!$G:$G,,0)=0,"",_xlfn.XLOOKUP(C285,customers!$A:$A,customers!$G:$G,,0))</f>
        <v>Japan</v>
      </c>
      <c r="I285" t="str">
        <f>IF(_xlfn.XLOOKUP(D285,product!$A:$A,product!$E:$E,,0)=0,"",_xlfn.XLOOKUP(D285,product!$A:$A,product!$E:$E,,0))</f>
        <v>FICTION</v>
      </c>
      <c r="J285" s="5">
        <f>IF(_xlfn.XLOOKUP(D285,product!$A:$A,product!$D:$D,,0)=0,"",_xlfn.XLOOKUP(D285,product!$A:$A,product!$D:$D,,0))</f>
        <v>12.23</v>
      </c>
      <c r="K285" s="7">
        <f t="shared" si="4"/>
        <v>36.69</v>
      </c>
      <c r="L285" s="10" t="str">
        <f>IF(_xlfn.XLOOKUP(D285,product!$A:$A,product!$F:$F,,0)=0,"",_xlfn.XLOOKUP(D285,product!$A:$A,product!$F:$F,,0))</f>
        <v>No</v>
      </c>
      <c r="M285" t="str">
        <f>IF(_xlfn.XLOOKUP(D285,product!$A:$A,product!G:G,,0)=0,"",_xlfn.XLOOKUP(D285,product!$A:$A,product!G:G,,0))</f>
        <v>Gold</v>
      </c>
      <c r="N285" t="str">
        <f>IF(_xlfn.XLOOKUP(D285,product!$A:$A,product!$B:$B,,0)=0,"",_xlfn.XLOOKUP(D285,product!$A:$A,product!$B:$B,,0))</f>
        <v>Silent Quantum</v>
      </c>
    </row>
    <row r="286" spans="1:14" x14ac:dyDescent="0.35">
      <c r="A286" t="s">
        <v>988</v>
      </c>
      <c r="B286" s="3">
        <v>45112</v>
      </c>
      <c r="C286" t="s">
        <v>2764</v>
      </c>
      <c r="D286" t="s">
        <v>5637</v>
      </c>
      <c r="E286">
        <v>3</v>
      </c>
      <c r="F286" t="str">
        <f>_xlfn.XLOOKUP(C286,customers!$A$1:$A$983,customers!$B$1:$B$983,,0)</f>
        <v>Laura Martinez</v>
      </c>
      <c r="G286" t="str">
        <f>_xlfn.XLOOKUP(C286,customers!$A:$A,customers!$C:$C,,0)</f>
        <v>laura.martinez599@yahoo.com</v>
      </c>
      <c r="H286" t="str">
        <f>IF(_xlfn.XLOOKUP(C286,customers!$A:$A,customers!$G:$G,,0)=0,"",_xlfn.XLOOKUP(C286,customers!$A:$A,customers!$G:$G,,0))</f>
        <v>Egypt</v>
      </c>
      <c r="I286" t="str">
        <f>IF(_xlfn.XLOOKUP(D286,product!$A:$A,product!$E:$E,,0)=0,"",_xlfn.XLOOKUP(D286,product!$A:$A,product!$E:$E,,0))</f>
        <v>FICTION</v>
      </c>
      <c r="J286" s="5">
        <f>IF(_xlfn.XLOOKUP(D286,product!$A:$A,product!$D:$D,,0)=0,"",_xlfn.XLOOKUP(D286,product!$A:$A,product!$D:$D,,0))</f>
        <v>34.270000000000003</v>
      </c>
      <c r="K286" s="7">
        <f t="shared" si="4"/>
        <v>102.81</v>
      </c>
      <c r="L286" s="10" t="str">
        <f>IF(_xlfn.XLOOKUP(D286,product!$A:$A,product!$F:$F,,0)=0,"",_xlfn.XLOOKUP(D286,product!$A:$A,product!$F:$F,,0))</f>
        <v>No</v>
      </c>
      <c r="M286" t="str">
        <f>IF(_xlfn.XLOOKUP(D286,product!$A:$A,product!G:G,,0)=0,"",_xlfn.XLOOKUP(D286,product!$A:$A,product!G:G,,0))</f>
        <v>None</v>
      </c>
      <c r="N286" t="str">
        <f>IF(_xlfn.XLOOKUP(D286,product!$A:$A,product!$B:$B,,0)=0,"",_xlfn.XLOOKUP(D286,product!$A:$A,product!$B:$B,,0))</f>
        <v>Journey Science</v>
      </c>
    </row>
    <row r="287" spans="1:14" x14ac:dyDescent="0.35">
      <c r="A287" t="s">
        <v>1005</v>
      </c>
      <c r="B287" s="3">
        <v>45518</v>
      </c>
      <c r="C287" t="s">
        <v>3508</v>
      </c>
      <c r="D287" t="s">
        <v>5638</v>
      </c>
      <c r="E287">
        <v>3</v>
      </c>
      <c r="F287" t="str">
        <f>_xlfn.XLOOKUP(C287,customers!$A$1:$A$983,customers!$B$1:$B$983,,0)</f>
        <v>Andrew White</v>
      </c>
      <c r="G287" t="str">
        <f>_xlfn.XLOOKUP(C287,customers!$A:$A,customers!$C:$C,,0)</f>
        <v>andrew.white969@hotmail.com</v>
      </c>
      <c r="H287" t="str">
        <f>IF(_xlfn.XLOOKUP(C287,customers!$A:$A,customers!$G:$G,,0)=0,"",_xlfn.XLOOKUP(C287,customers!$A:$A,customers!$G:$G,,0))</f>
        <v>Romania</v>
      </c>
      <c r="I287" t="str">
        <f>IF(_xlfn.XLOOKUP(D287,product!$A:$A,product!$E:$E,,0)=0,"",_xlfn.XLOOKUP(D287,product!$A:$A,product!$E:$E,,0))</f>
        <v>BUSINESS</v>
      </c>
      <c r="J287" s="5">
        <f>IF(_xlfn.XLOOKUP(D287,product!$A:$A,product!$D:$D,,0)=0,"",_xlfn.XLOOKUP(D287,product!$A:$A,product!$D:$D,,0))</f>
        <v>27.15</v>
      </c>
      <c r="K287" s="7">
        <f t="shared" si="4"/>
        <v>81.449999999999989</v>
      </c>
      <c r="L287" s="10" t="str">
        <f>IF(_xlfn.XLOOKUP(D287,product!$A:$A,product!$F:$F,,0)=0,"",_xlfn.XLOOKUP(D287,product!$A:$A,product!$F:$F,,0))</f>
        <v>Yes</v>
      </c>
      <c r="M287" t="str">
        <f>IF(_xlfn.XLOOKUP(D287,product!$A:$A,product!G:G,,0)=0,"",_xlfn.XLOOKUP(D287,product!$A:$A,product!G:G,,0))</f>
        <v>None</v>
      </c>
      <c r="N287" t="str">
        <f>IF(_xlfn.XLOOKUP(D287,product!$A:$A,product!$B:$B,,0)=0,"",_xlfn.XLOOKUP(D287,product!$A:$A,product!$B:$B,,0))</f>
        <v>Science Secrets</v>
      </c>
    </row>
    <row r="288" spans="1:14" x14ac:dyDescent="0.35">
      <c r="A288" t="s">
        <v>1022</v>
      </c>
      <c r="B288" s="3">
        <v>44940</v>
      </c>
      <c r="C288" t="s">
        <v>121</v>
      </c>
      <c r="D288" t="s">
        <v>5639</v>
      </c>
      <c r="E288">
        <v>3</v>
      </c>
      <c r="F288" t="str">
        <f>_xlfn.XLOOKUP(C288,customers!$A$1:$A$983,customers!$B$1:$B$983,,0)</f>
        <v>Thomas Young</v>
      </c>
      <c r="G288" t="str">
        <f>_xlfn.XLOOKUP(C288,customers!$A:$A,customers!$C:$C,,0)</f>
        <v>thomas.young6@hotmail.com</v>
      </c>
      <c r="H288" t="str">
        <f>IF(_xlfn.XLOOKUP(C288,customers!$A:$A,customers!$G:$G,,0)=0,"",_xlfn.XLOOKUP(C288,customers!$A:$A,customers!$G:$G,,0))</f>
        <v>Spain</v>
      </c>
      <c r="I288" t="str">
        <f>IF(_xlfn.XLOOKUP(D288,product!$A:$A,product!$E:$E,,0)=0,"",_xlfn.XLOOKUP(D288,product!$A:$A,product!$E:$E,,0))</f>
        <v>SCIENCE</v>
      </c>
      <c r="J288" s="5">
        <f>IF(_xlfn.XLOOKUP(D288,product!$A:$A,product!$D:$D,,0)=0,"",_xlfn.XLOOKUP(D288,product!$A:$A,product!$D:$D,,0))</f>
        <v>11.92</v>
      </c>
      <c r="K288" s="7">
        <f t="shared" si="4"/>
        <v>35.76</v>
      </c>
      <c r="L288" s="10" t="str">
        <f>IF(_xlfn.XLOOKUP(D288,product!$A:$A,product!$F:$F,,0)=0,"",_xlfn.XLOOKUP(D288,product!$A:$A,product!$F:$F,,0))</f>
        <v>Yes</v>
      </c>
      <c r="M288" t="str">
        <f>IF(_xlfn.XLOOKUP(D288,product!$A:$A,product!G:G,,0)=0,"",_xlfn.XLOOKUP(D288,product!$A:$A,product!G:G,,0))</f>
        <v>Gold</v>
      </c>
      <c r="N288" t="str">
        <f>IF(_xlfn.XLOOKUP(D288,product!$A:$A,product!$B:$B,,0)=0,"",_xlfn.XLOOKUP(D288,product!$A:$A,product!$B:$B,,0))</f>
        <v>Secrets Journey</v>
      </c>
    </row>
    <row r="289" spans="1:14" x14ac:dyDescent="0.35">
      <c r="A289" t="s">
        <v>1039</v>
      </c>
      <c r="B289" s="3">
        <v>45402</v>
      </c>
      <c r="C289" t="s">
        <v>3072</v>
      </c>
      <c r="D289" t="s">
        <v>5640</v>
      </c>
      <c r="E289">
        <v>3</v>
      </c>
      <c r="F289" t="str">
        <f>_xlfn.XLOOKUP(C289,customers!$A$1:$A$983,customers!$B$1:$B$983,,0)</f>
        <v>John Green</v>
      </c>
      <c r="G289" t="str">
        <f>_xlfn.XLOOKUP(C289,customers!$A:$A,customers!$C:$C,,0)</f>
        <v>john.green748@outlook.com</v>
      </c>
      <c r="H289" t="str">
        <f>IF(_xlfn.XLOOKUP(C289,customers!$A:$A,customers!$G:$G,,0)=0,"",_xlfn.XLOOKUP(C289,customers!$A:$A,customers!$G:$G,,0))</f>
        <v>USA</v>
      </c>
      <c r="I289" t="str">
        <f>IF(_xlfn.XLOOKUP(D289,product!$A:$A,product!$E:$E,,0)=0,"",_xlfn.XLOOKUP(D289,product!$A:$A,product!$E:$E,,0))</f>
        <v>BUSINESS</v>
      </c>
      <c r="J289" s="5">
        <f>IF(_xlfn.XLOOKUP(D289,product!$A:$A,product!$D:$D,,0)=0,"",_xlfn.XLOOKUP(D289,product!$A:$A,product!$D:$D,,0))</f>
        <v>15.33</v>
      </c>
      <c r="K289" s="7">
        <f t="shared" si="4"/>
        <v>45.99</v>
      </c>
      <c r="L289" s="10" t="str">
        <f>IF(_xlfn.XLOOKUP(D289,product!$A:$A,product!$F:$F,,0)=0,"",_xlfn.XLOOKUP(D289,product!$A:$A,product!$F:$F,,0))</f>
        <v>No</v>
      </c>
      <c r="M289" t="str">
        <f>IF(_xlfn.XLOOKUP(D289,product!$A:$A,product!G:G,,0)=0,"",_xlfn.XLOOKUP(D289,product!$A:$A,product!G:G,,0))</f>
        <v>Platinum</v>
      </c>
      <c r="N289" t="str">
        <f>IF(_xlfn.XLOOKUP(D289,product!$A:$A,product!$B:$B,,0)=0,"",_xlfn.XLOOKUP(D289,product!$A:$A,product!$B:$B,,0))</f>
        <v>Journey Science</v>
      </c>
    </row>
    <row r="290" spans="1:14" x14ac:dyDescent="0.35">
      <c r="A290" t="s">
        <v>1056</v>
      </c>
      <c r="B290" s="3">
        <v>45196</v>
      </c>
      <c r="C290" t="s">
        <v>2395</v>
      </c>
      <c r="D290" t="s">
        <v>5641</v>
      </c>
      <c r="E290">
        <v>3</v>
      </c>
      <c r="F290" t="str">
        <f>_xlfn.XLOOKUP(C290,customers!$A$1:$A$983,customers!$B$1:$B$983,,0)</f>
        <v>Olivia Green</v>
      </c>
      <c r="G290" t="str">
        <f>_xlfn.XLOOKUP(C290,customers!$A:$A,customers!$C:$C,,0)</f>
        <v>olivia.green423@gmail.com</v>
      </c>
      <c r="H290" t="str">
        <f>IF(_xlfn.XLOOKUP(C290,customers!$A:$A,customers!$G:$G,,0)=0,"",_xlfn.XLOOKUP(C290,customers!$A:$A,customers!$G:$G,,0))</f>
        <v>Germany</v>
      </c>
      <c r="I290" t="str">
        <f>IF(_xlfn.XLOOKUP(D290,product!$A:$A,product!$E:$E,,0)=0,"",_xlfn.XLOOKUP(D290,product!$A:$A,product!$E:$E,,0))</f>
        <v>SCIENCE</v>
      </c>
      <c r="J290" s="5">
        <f>IF(_xlfn.XLOOKUP(D290,product!$A:$A,product!$D:$D,,0)=0,"",_xlfn.XLOOKUP(D290,product!$A:$A,product!$D:$D,,0))</f>
        <v>32.880000000000003</v>
      </c>
      <c r="K290" s="7">
        <f t="shared" si="4"/>
        <v>98.640000000000015</v>
      </c>
      <c r="L290" s="10" t="str">
        <f>IF(_xlfn.XLOOKUP(D290,product!$A:$A,product!$F:$F,,0)=0,"",_xlfn.XLOOKUP(D290,product!$A:$A,product!$F:$F,,0))</f>
        <v>No</v>
      </c>
      <c r="M290" t="str">
        <f>IF(_xlfn.XLOOKUP(D290,product!$A:$A,product!G:G,,0)=0,"",_xlfn.XLOOKUP(D290,product!$A:$A,product!G:G,,0))</f>
        <v>None</v>
      </c>
      <c r="N290" t="str">
        <f>IF(_xlfn.XLOOKUP(D290,product!$A:$A,product!$B:$B,,0)=0,"",_xlfn.XLOOKUP(D290,product!$A:$A,product!$B:$B,,0))</f>
        <v>Secrets Quantum</v>
      </c>
    </row>
    <row r="291" spans="1:14" x14ac:dyDescent="0.35">
      <c r="A291" t="s">
        <v>23</v>
      </c>
      <c r="B291" s="3">
        <v>45632</v>
      </c>
      <c r="C291" t="s">
        <v>3528</v>
      </c>
      <c r="D291" t="s">
        <v>5642</v>
      </c>
      <c r="E291">
        <v>5</v>
      </c>
      <c r="F291" t="str">
        <f>_xlfn.XLOOKUP(C291,customers!$A$1:$A$983,customers!$B$1:$B$983,,0)</f>
        <v>Thomas Garcia</v>
      </c>
      <c r="G291" t="str">
        <f>_xlfn.XLOOKUP(C291,customers!$A:$A,customers!$C:$C,,0)</f>
        <v>thomas.garcia979@outlook.com</v>
      </c>
      <c r="H291" t="str">
        <f>IF(_xlfn.XLOOKUP(C291,customers!$A:$A,customers!$G:$G,,0)=0,"",_xlfn.XLOOKUP(C291,customers!$A:$A,customers!$G:$G,,0))</f>
        <v>Portugal</v>
      </c>
      <c r="I291" t="str">
        <f>IF(_xlfn.XLOOKUP(D291,product!$A:$A,product!$E:$E,,0)=0,"",_xlfn.XLOOKUP(D291,product!$A:$A,product!$E:$E,,0))</f>
        <v>SCIENCE</v>
      </c>
      <c r="J291" s="5">
        <f>IF(_xlfn.XLOOKUP(D291,product!$A:$A,product!$D:$D,,0)=0,"",_xlfn.XLOOKUP(D291,product!$A:$A,product!$D:$D,,0))</f>
        <v>21.73</v>
      </c>
      <c r="K291" s="7">
        <f t="shared" si="4"/>
        <v>108.65</v>
      </c>
      <c r="L291" s="10" t="str">
        <f>IF(_xlfn.XLOOKUP(D291,product!$A:$A,product!$F:$F,,0)=0,"",_xlfn.XLOOKUP(D291,product!$A:$A,product!$F:$F,,0))</f>
        <v>Yes</v>
      </c>
      <c r="M291" t="str">
        <f>IF(_xlfn.XLOOKUP(D291,product!$A:$A,product!G:G,,0)=0,"",_xlfn.XLOOKUP(D291,product!$A:$A,product!G:G,,0))</f>
        <v>Silver</v>
      </c>
      <c r="N291" t="str">
        <f>IF(_xlfn.XLOOKUP(D291,product!$A:$A,product!$B:$B,,0)=0,"",_xlfn.XLOOKUP(D291,product!$A:$A,product!$B:$B,,0))</f>
        <v>Quantum Journey</v>
      </c>
    </row>
    <row r="292" spans="1:14" x14ac:dyDescent="0.35">
      <c r="A292" t="s">
        <v>40</v>
      </c>
      <c r="B292" s="3">
        <v>45010</v>
      </c>
      <c r="C292" t="s">
        <v>3099</v>
      </c>
      <c r="D292" t="s">
        <v>5643</v>
      </c>
      <c r="E292">
        <v>2</v>
      </c>
      <c r="F292" t="str">
        <f>_xlfn.XLOOKUP(C292,customers!$A$1:$A$983,customers!$B$1:$B$983,,0)</f>
        <v>Isabella Green</v>
      </c>
      <c r="G292" t="str">
        <f>_xlfn.XLOOKUP(C292,customers!$A:$A,customers!$C:$C,,0)</f>
        <v>isabella.green762@outlook.com</v>
      </c>
      <c r="H292" t="str">
        <f>IF(_xlfn.XLOOKUP(C292,customers!$A:$A,customers!$G:$G,,0)=0,"",_xlfn.XLOOKUP(C292,customers!$A:$A,customers!$G:$G,,0))</f>
        <v>Spain</v>
      </c>
      <c r="I292" t="str">
        <f>IF(_xlfn.XLOOKUP(D292,product!$A:$A,product!$E:$E,,0)=0,"",_xlfn.XLOOKUP(D292,product!$A:$A,product!$E:$E,,0))</f>
        <v>FICTION</v>
      </c>
      <c r="J292" s="5">
        <f>IF(_xlfn.XLOOKUP(D292,product!$A:$A,product!$D:$D,,0)=0,"",_xlfn.XLOOKUP(D292,product!$A:$A,product!$D:$D,,0))</f>
        <v>12.49</v>
      </c>
      <c r="K292" s="7">
        <f t="shared" si="4"/>
        <v>24.98</v>
      </c>
      <c r="L292" s="10" t="str">
        <f>IF(_xlfn.XLOOKUP(D292,product!$A:$A,product!$F:$F,,0)=0,"",_xlfn.XLOOKUP(D292,product!$A:$A,product!$F:$F,,0))</f>
        <v>No</v>
      </c>
      <c r="M292" t="str">
        <f>IF(_xlfn.XLOOKUP(D292,product!$A:$A,product!G:G,,0)=0,"",_xlfn.XLOOKUP(D292,product!$A:$A,product!G:G,,0))</f>
        <v>Silver</v>
      </c>
      <c r="N292" t="str">
        <f>IF(_xlfn.XLOOKUP(D292,product!$A:$A,product!$B:$B,,0)=0,"",_xlfn.XLOOKUP(D292,product!$A:$A,product!$B:$B,,0))</f>
        <v>Quantum Data</v>
      </c>
    </row>
    <row r="293" spans="1:14" x14ac:dyDescent="0.35">
      <c r="A293" t="s">
        <v>57</v>
      </c>
      <c r="B293" s="3">
        <v>45335</v>
      </c>
      <c r="C293" t="s">
        <v>1337</v>
      </c>
      <c r="D293" t="s">
        <v>5644</v>
      </c>
      <c r="E293">
        <v>2</v>
      </c>
      <c r="F293" t="str">
        <f>_xlfn.XLOOKUP(C293,customers!$A$1:$A$983,customers!$B$1:$B$983,,0)</f>
        <v>Mia Scott</v>
      </c>
      <c r="G293" t="str">
        <f>_xlfn.XLOOKUP(C293,customers!$A:$A,customers!$C:$C,,0)</f>
        <v>mia.scott73@yahoo.com</v>
      </c>
      <c r="H293" t="str">
        <f>IF(_xlfn.XLOOKUP(C293,customers!$A:$A,customers!$G:$G,,0)=0,"",_xlfn.XLOOKUP(C293,customers!$A:$A,customers!$G:$G,,0))</f>
        <v>USA</v>
      </c>
      <c r="I293" t="str">
        <f>IF(_xlfn.XLOOKUP(D293,product!$A:$A,product!$E:$E,,0)=0,"",_xlfn.XLOOKUP(D293,product!$A:$A,product!$E:$E,,0))</f>
        <v>BUSINESS</v>
      </c>
      <c r="J293" s="5">
        <f>IF(_xlfn.XLOOKUP(D293,product!$A:$A,product!$D:$D,,0)=0,"",_xlfn.XLOOKUP(D293,product!$A:$A,product!$D:$D,,0))</f>
        <v>13.16</v>
      </c>
      <c r="K293" s="7">
        <f t="shared" si="4"/>
        <v>26.32</v>
      </c>
      <c r="L293" s="10" t="str">
        <f>IF(_xlfn.XLOOKUP(D293,product!$A:$A,product!$F:$F,,0)=0,"",_xlfn.XLOOKUP(D293,product!$A:$A,product!$F:$F,,0))</f>
        <v>Yes</v>
      </c>
      <c r="M293" t="str">
        <f>IF(_xlfn.XLOOKUP(D293,product!$A:$A,product!G:G,,0)=0,"",_xlfn.XLOOKUP(D293,product!$A:$A,product!G:G,,0))</f>
        <v>None</v>
      </c>
      <c r="N293" t="str">
        <f>IF(_xlfn.XLOOKUP(D293,product!$A:$A,product!$B:$B,,0)=0,"",_xlfn.XLOOKUP(D293,product!$A:$A,product!$B:$B,,0))</f>
        <v>Data Silent</v>
      </c>
    </row>
    <row r="294" spans="1:14" x14ac:dyDescent="0.35">
      <c r="A294" t="s">
        <v>144</v>
      </c>
      <c r="B294" s="3">
        <v>45142</v>
      </c>
      <c r="C294" t="s">
        <v>2403</v>
      </c>
      <c r="D294" t="s">
        <v>5645</v>
      </c>
      <c r="E294">
        <v>2</v>
      </c>
      <c r="F294" t="str">
        <f>_xlfn.XLOOKUP(C294,customers!$A$1:$A$983,customers!$B$1:$B$983,,0)</f>
        <v>Paul Thompson</v>
      </c>
      <c r="G294" t="str">
        <f>_xlfn.XLOOKUP(C294,customers!$A:$A,customers!$C:$C,,0)</f>
        <v>paul.thompson426@outlook.com</v>
      </c>
      <c r="H294" t="str">
        <f>IF(_xlfn.XLOOKUP(C294,customers!$A:$A,customers!$G:$G,,0)=0,"",_xlfn.XLOOKUP(C294,customers!$A:$A,customers!$G:$G,,0))</f>
        <v>Japan</v>
      </c>
      <c r="I294" t="str">
        <f>IF(_xlfn.XLOOKUP(D294,product!$A:$A,product!$E:$E,,0)=0,"",_xlfn.XLOOKUP(D294,product!$A:$A,product!$E:$E,,0))</f>
        <v>HISTORY</v>
      </c>
      <c r="J294" s="5">
        <f>IF(_xlfn.XLOOKUP(D294,product!$A:$A,product!$D:$D,,0)=0,"",_xlfn.XLOOKUP(D294,product!$A:$A,product!$D:$D,,0))</f>
        <v>28.06</v>
      </c>
      <c r="K294" s="7">
        <f t="shared" si="4"/>
        <v>56.12</v>
      </c>
      <c r="L294" s="10" t="str">
        <f>IF(_xlfn.XLOOKUP(D294,product!$A:$A,product!$F:$F,,0)=0,"",_xlfn.XLOOKUP(D294,product!$A:$A,product!$F:$F,,0))</f>
        <v>Yes</v>
      </c>
      <c r="M294" t="str">
        <f>IF(_xlfn.XLOOKUP(D294,product!$A:$A,product!G:G,,0)=0,"",_xlfn.XLOOKUP(D294,product!$A:$A,product!G:G,,0))</f>
        <v>None</v>
      </c>
      <c r="N294" t="str">
        <f>IF(_xlfn.XLOOKUP(D294,product!$A:$A,product!$B:$B,,0)=0,"",_xlfn.XLOOKUP(D294,product!$A:$A,product!$B:$B,,0))</f>
        <v>Data Mind</v>
      </c>
    </row>
    <row r="295" spans="1:14" x14ac:dyDescent="0.35">
      <c r="A295" t="s">
        <v>161</v>
      </c>
      <c r="B295" s="3">
        <v>45440</v>
      </c>
      <c r="C295" t="s">
        <v>1785</v>
      </c>
      <c r="D295" t="s">
        <v>5646</v>
      </c>
      <c r="E295">
        <v>1</v>
      </c>
      <c r="F295" t="str">
        <f>_xlfn.XLOOKUP(C295,customers!$A$1:$A$983,customers!$B$1:$B$983,,0)</f>
        <v>Zoe Lee</v>
      </c>
      <c r="G295" t="str">
        <f>_xlfn.XLOOKUP(C295,customers!$A:$A,customers!$C:$C,,0)</f>
        <v>zoe.lee194@hotmail.com</v>
      </c>
      <c r="H295" t="str">
        <f>IF(_xlfn.XLOOKUP(C295,customers!$A:$A,customers!$G:$G,,0)=0,"",_xlfn.XLOOKUP(C295,customers!$A:$A,customers!$G:$G,,0))</f>
        <v>Egypt</v>
      </c>
      <c r="I295" t="str">
        <f>IF(_xlfn.XLOOKUP(D295,product!$A:$A,product!$E:$E,,0)=0,"",_xlfn.XLOOKUP(D295,product!$A:$A,product!$E:$E,,0))</f>
        <v>FICTION</v>
      </c>
      <c r="J295" s="5">
        <f>IF(_xlfn.XLOOKUP(D295,product!$A:$A,product!$D:$D,,0)=0,"",_xlfn.XLOOKUP(D295,product!$A:$A,product!$D:$D,,0))</f>
        <v>27.84</v>
      </c>
      <c r="K295" s="7">
        <f t="shared" si="4"/>
        <v>27.84</v>
      </c>
      <c r="L295" s="10" t="str">
        <f>IF(_xlfn.XLOOKUP(D295,product!$A:$A,product!$F:$F,,0)=0,"",_xlfn.XLOOKUP(D295,product!$A:$A,product!$F:$F,,0))</f>
        <v>No</v>
      </c>
      <c r="M295" t="str">
        <f>IF(_xlfn.XLOOKUP(D295,product!$A:$A,product!G:G,,0)=0,"",_xlfn.XLOOKUP(D295,product!$A:$A,product!G:G,,0))</f>
        <v>Gold</v>
      </c>
      <c r="N295" t="str">
        <f>IF(_xlfn.XLOOKUP(D295,product!$A:$A,product!$B:$B,,0)=0,"",_xlfn.XLOOKUP(D295,product!$A:$A,product!$B:$B,,0))</f>
        <v>Quantum Science</v>
      </c>
    </row>
    <row r="296" spans="1:14" x14ac:dyDescent="0.35">
      <c r="A296" t="s">
        <v>178</v>
      </c>
      <c r="B296" s="3">
        <v>45231</v>
      </c>
      <c r="C296" t="s">
        <v>3281</v>
      </c>
      <c r="D296" t="s">
        <v>5647</v>
      </c>
      <c r="E296">
        <v>1</v>
      </c>
      <c r="F296" t="str">
        <f>_xlfn.XLOOKUP(C296,customers!$A$1:$A$983,customers!$B$1:$B$983,,0)</f>
        <v>Lily White</v>
      </c>
      <c r="G296" t="str">
        <f>_xlfn.XLOOKUP(C296,customers!$A:$A,customers!$C:$C,,0)</f>
        <v>lily.white854@yahoo.com</v>
      </c>
      <c r="H296" t="str">
        <f>IF(_xlfn.XLOOKUP(C296,customers!$A:$A,customers!$G:$G,,0)=0,"",_xlfn.XLOOKUP(C296,customers!$A:$A,customers!$G:$G,,0))</f>
        <v>India</v>
      </c>
      <c r="I296" t="str">
        <f>IF(_xlfn.XLOOKUP(D296,product!$A:$A,product!$E:$E,,0)=0,"",_xlfn.XLOOKUP(D296,product!$A:$A,product!$E:$E,,0))</f>
        <v>BUSINESS</v>
      </c>
      <c r="J296" s="5">
        <f>IF(_xlfn.XLOOKUP(D296,product!$A:$A,product!$D:$D,,0)=0,"",_xlfn.XLOOKUP(D296,product!$A:$A,product!$D:$D,,0))</f>
        <v>28.2</v>
      </c>
      <c r="K296" s="7">
        <f t="shared" si="4"/>
        <v>28.2</v>
      </c>
      <c r="L296" s="10" t="str">
        <f>IF(_xlfn.XLOOKUP(D296,product!$A:$A,product!$F:$F,,0)=0,"",_xlfn.XLOOKUP(D296,product!$A:$A,product!$F:$F,,0))</f>
        <v>No</v>
      </c>
      <c r="M296" t="str">
        <f>IF(_xlfn.XLOOKUP(D296,product!$A:$A,product!G:G,,0)=0,"",_xlfn.XLOOKUP(D296,product!$A:$A,product!G:G,,0))</f>
        <v>None</v>
      </c>
      <c r="N296" t="str">
        <f>IF(_xlfn.XLOOKUP(D296,product!$A:$A,product!$B:$B,,0)=0,"",_xlfn.XLOOKUP(D296,product!$A:$A,product!$B:$B,,0))</f>
        <v>Silent Journey</v>
      </c>
    </row>
    <row r="297" spans="1:14" x14ac:dyDescent="0.35">
      <c r="A297" t="s">
        <v>195</v>
      </c>
      <c r="B297" s="3">
        <v>45493</v>
      </c>
      <c r="C297" t="s">
        <v>2808</v>
      </c>
      <c r="D297" t="s">
        <v>5648</v>
      </c>
      <c r="E297">
        <v>1</v>
      </c>
      <c r="F297" t="str">
        <f>_xlfn.XLOOKUP(C297,customers!$A$1:$A$983,customers!$B$1:$B$983,,0)</f>
        <v>Steven Lee</v>
      </c>
      <c r="G297" t="str">
        <f>_xlfn.XLOOKUP(C297,customers!$A:$A,customers!$C:$C,,0)</f>
        <v>steven.lee620@gmail.com</v>
      </c>
      <c r="H297" t="str">
        <f>IF(_xlfn.XLOOKUP(C297,customers!$A:$A,customers!$G:$G,,0)=0,"",_xlfn.XLOOKUP(C297,customers!$A:$A,customers!$G:$G,,0))</f>
        <v>Spain</v>
      </c>
      <c r="I297" t="str">
        <f>IF(_xlfn.XLOOKUP(D297,product!$A:$A,product!$E:$E,,0)=0,"",_xlfn.XLOOKUP(D297,product!$A:$A,product!$E:$E,,0))</f>
        <v>HISTORY</v>
      </c>
      <c r="J297" s="5">
        <f>IF(_xlfn.XLOOKUP(D297,product!$A:$A,product!$D:$D,,0)=0,"",_xlfn.XLOOKUP(D297,product!$A:$A,product!$D:$D,,0))</f>
        <v>39.74</v>
      </c>
      <c r="K297" s="7">
        <f t="shared" si="4"/>
        <v>39.74</v>
      </c>
      <c r="L297" s="10" t="str">
        <f>IF(_xlfn.XLOOKUP(D297,product!$A:$A,product!$F:$F,,0)=0,"",_xlfn.XLOOKUP(D297,product!$A:$A,product!$F:$F,,0))</f>
        <v>Yes</v>
      </c>
      <c r="M297" t="str">
        <f>IF(_xlfn.XLOOKUP(D297,product!$A:$A,product!G:G,,0)=0,"",_xlfn.XLOOKUP(D297,product!$A:$A,product!G:G,,0))</f>
        <v>Silver</v>
      </c>
      <c r="N297" t="str">
        <f>IF(_xlfn.XLOOKUP(D297,product!$A:$A,product!$B:$B,,0)=0,"",_xlfn.XLOOKUP(D297,product!$A:$A,product!$B:$B,,0))</f>
        <v>Silent Power</v>
      </c>
    </row>
    <row r="298" spans="1:14" x14ac:dyDescent="0.35">
      <c r="A298" t="s">
        <v>212</v>
      </c>
      <c r="B298" s="3">
        <v>45106</v>
      </c>
      <c r="C298" t="s">
        <v>3520</v>
      </c>
      <c r="D298" t="s">
        <v>5650</v>
      </c>
      <c r="E298">
        <v>1</v>
      </c>
      <c r="F298" t="str">
        <f>_xlfn.XLOOKUP(C298,customers!$A$1:$A$983,customers!$B$1:$B$983,,0)</f>
        <v>Andrew Robinson</v>
      </c>
      <c r="G298" t="str">
        <f>_xlfn.XLOOKUP(C298,customers!$A:$A,customers!$C:$C,,0)</f>
        <v>andrew.robinson975@gmail.com</v>
      </c>
      <c r="H298" t="str">
        <f>IF(_xlfn.XLOOKUP(C298,customers!$A:$A,customers!$G:$G,,0)=0,"",_xlfn.XLOOKUP(C298,customers!$A:$A,customers!$G:$G,,0))</f>
        <v>Senegal</v>
      </c>
      <c r="I298" t="str">
        <f>IF(_xlfn.XLOOKUP(D298,product!$A:$A,product!$E:$E,,0)=0,"",_xlfn.XLOOKUP(D298,product!$A:$A,product!$E:$E,,0))</f>
        <v>HISTORY</v>
      </c>
      <c r="J298" s="5">
        <f>IF(_xlfn.XLOOKUP(D298,product!$A:$A,product!$D:$D,,0)=0,"",_xlfn.XLOOKUP(D298,product!$A:$A,product!$D:$D,,0))</f>
        <v>34.11</v>
      </c>
      <c r="K298" s="7">
        <f t="shared" si="4"/>
        <v>34.11</v>
      </c>
      <c r="L298" s="10" t="str">
        <f>IF(_xlfn.XLOOKUP(D298,product!$A:$A,product!$F:$F,,0)=0,"",_xlfn.XLOOKUP(D298,product!$A:$A,product!$F:$F,,0))</f>
        <v>Yes</v>
      </c>
      <c r="M298" t="str">
        <f>IF(_xlfn.XLOOKUP(D298,product!$A:$A,product!G:G,,0)=0,"",_xlfn.XLOOKUP(D298,product!$A:$A,product!G:G,,0))</f>
        <v>Silver</v>
      </c>
      <c r="N298" t="str">
        <f>IF(_xlfn.XLOOKUP(D298,product!$A:$A,product!$B:$B,,0)=0,"",_xlfn.XLOOKUP(D298,product!$A:$A,product!$B:$B,,0))</f>
        <v>Forest Quantum</v>
      </c>
    </row>
    <row r="299" spans="1:14" x14ac:dyDescent="0.35">
      <c r="A299" t="s">
        <v>229</v>
      </c>
      <c r="B299" s="3">
        <v>45550</v>
      </c>
      <c r="C299" t="s">
        <v>3333</v>
      </c>
      <c r="D299" t="s">
        <v>5651</v>
      </c>
      <c r="E299">
        <v>1</v>
      </c>
      <c r="F299" t="str">
        <f>_xlfn.XLOOKUP(C299,customers!$A$1:$A$983,customers!$B$1:$B$983,,0)</f>
        <v>Sophia Johnson</v>
      </c>
      <c r="G299" t="str">
        <f>_xlfn.XLOOKUP(C299,customers!$A:$A,customers!$C:$C,,0)</f>
        <v>sophia.johnson880@outlook.com</v>
      </c>
      <c r="H299" t="str">
        <f>IF(_xlfn.XLOOKUP(C299,customers!$A:$A,customers!$G:$G,,0)=0,"",_xlfn.XLOOKUP(C299,customers!$A:$A,customers!$G:$G,,0))</f>
        <v>Japan</v>
      </c>
      <c r="I299" t="str">
        <f>IF(_xlfn.XLOOKUP(D299,product!$A:$A,product!$E:$E,,0)=0,"",_xlfn.XLOOKUP(D299,product!$A:$A,product!$E:$E,,0))</f>
        <v>SCIENCE</v>
      </c>
      <c r="J299" s="5">
        <f>IF(_xlfn.XLOOKUP(D299,product!$A:$A,product!$D:$D,,0)=0,"",_xlfn.XLOOKUP(D299,product!$A:$A,product!$D:$D,,0))</f>
        <v>26.3</v>
      </c>
      <c r="K299" s="7">
        <f t="shared" si="4"/>
        <v>26.3</v>
      </c>
      <c r="L299" s="10" t="str">
        <f>IF(_xlfn.XLOOKUP(D299,product!$A:$A,product!$F:$F,,0)=0,"",_xlfn.XLOOKUP(D299,product!$A:$A,product!$F:$F,,0))</f>
        <v>No</v>
      </c>
      <c r="M299" t="str">
        <f>IF(_xlfn.XLOOKUP(D299,product!$A:$A,product!G:G,,0)=0,"",_xlfn.XLOOKUP(D299,product!$A:$A,product!G:G,,0))</f>
        <v>Silver</v>
      </c>
      <c r="N299" t="str">
        <f>IF(_xlfn.XLOOKUP(D299,product!$A:$A,product!$B:$B,,0)=0,"",_xlfn.XLOOKUP(D299,product!$A:$A,product!$B:$B,,0))</f>
        <v>Quantum Data</v>
      </c>
    </row>
    <row r="300" spans="1:14" x14ac:dyDescent="0.35">
      <c r="A300" t="s">
        <v>246</v>
      </c>
      <c r="B300" s="3">
        <v>45028</v>
      </c>
      <c r="C300" t="s">
        <v>2635</v>
      </c>
      <c r="D300" t="s">
        <v>5652</v>
      </c>
      <c r="E300">
        <v>1</v>
      </c>
      <c r="F300" t="str">
        <f>_xlfn.XLOOKUP(C300,customers!$A$1:$A$983,customers!$B$1:$B$983,,0)</f>
        <v>David Jackson</v>
      </c>
      <c r="G300" t="str">
        <f>_xlfn.XLOOKUP(C300,customers!$A:$A,customers!$C:$C,,0)</f>
        <v>david.jackson537@yahoo.com</v>
      </c>
      <c r="H300" t="str">
        <f>IF(_xlfn.XLOOKUP(C300,customers!$A:$A,customers!$G:$G,,0)=0,"",_xlfn.XLOOKUP(C300,customers!$A:$A,customers!$G:$G,,0))</f>
        <v>Spain</v>
      </c>
      <c r="I300" t="str">
        <f>IF(_xlfn.XLOOKUP(D300,product!$A:$A,product!$E:$E,,0)=0,"",_xlfn.XLOOKUP(D300,product!$A:$A,product!$E:$E,,0))</f>
        <v>HISTORY</v>
      </c>
      <c r="J300" s="5">
        <f>IF(_xlfn.XLOOKUP(D300,product!$A:$A,product!$D:$D,,0)=0,"",_xlfn.XLOOKUP(D300,product!$A:$A,product!$D:$D,,0))</f>
        <v>19.350000000000001</v>
      </c>
      <c r="K300" s="7">
        <f t="shared" si="4"/>
        <v>19.350000000000001</v>
      </c>
      <c r="L300" s="10" t="str">
        <f>IF(_xlfn.XLOOKUP(D300,product!$A:$A,product!$F:$F,,0)=0,"",_xlfn.XLOOKUP(D300,product!$A:$A,product!$F:$F,,0))</f>
        <v>No</v>
      </c>
      <c r="M300" t="str">
        <f>IF(_xlfn.XLOOKUP(D300,product!$A:$A,product!G:G,,0)=0,"",_xlfn.XLOOKUP(D300,product!$A:$A,product!G:G,,0))</f>
        <v>Silver</v>
      </c>
      <c r="N300" t="str">
        <f>IF(_xlfn.XLOOKUP(D300,product!$A:$A,product!$B:$B,,0)=0,"",_xlfn.XLOOKUP(D300,product!$A:$A,product!$B:$B,,0))</f>
        <v>Data Secrets</v>
      </c>
    </row>
    <row r="301" spans="1:14" x14ac:dyDescent="0.35">
      <c r="A301" t="s">
        <v>263</v>
      </c>
      <c r="B301" s="3">
        <v>45317</v>
      </c>
      <c r="C301" t="s">
        <v>3068</v>
      </c>
      <c r="D301" t="s">
        <v>5653</v>
      </c>
      <c r="E301">
        <v>1</v>
      </c>
      <c r="F301" t="str">
        <f>_xlfn.XLOOKUP(C301,customers!$A$1:$A$983,customers!$B$1:$B$983,,0)</f>
        <v>Sarah Wright</v>
      </c>
      <c r="G301" t="str">
        <f>_xlfn.XLOOKUP(C301,customers!$A:$A,customers!$C:$C,,0)</f>
        <v>sarah.wright746@hotmail.com</v>
      </c>
      <c r="H301" t="str">
        <f>IF(_xlfn.XLOOKUP(C301,customers!$A:$A,customers!$G:$G,,0)=0,"",_xlfn.XLOOKUP(C301,customers!$A:$A,customers!$G:$G,,0))</f>
        <v>Spain</v>
      </c>
      <c r="I301" t="str">
        <f>IF(_xlfn.XLOOKUP(D301,product!$A:$A,product!$E:$E,,0)=0,"",_xlfn.XLOOKUP(D301,product!$A:$A,product!$E:$E,,0))</f>
        <v>BUSINESS</v>
      </c>
      <c r="J301" s="5">
        <f>IF(_xlfn.XLOOKUP(D301,product!$A:$A,product!$D:$D,,0)=0,"",_xlfn.XLOOKUP(D301,product!$A:$A,product!$D:$D,,0))</f>
        <v>13.51</v>
      </c>
      <c r="K301" s="7">
        <f t="shared" si="4"/>
        <v>13.51</v>
      </c>
      <c r="L301" s="10" t="str">
        <f>IF(_xlfn.XLOOKUP(D301,product!$A:$A,product!$F:$F,,0)=0,"",_xlfn.XLOOKUP(D301,product!$A:$A,product!$F:$F,,0))</f>
        <v>Yes</v>
      </c>
      <c r="M301" t="str">
        <f>IF(_xlfn.XLOOKUP(D301,product!$A:$A,product!G:G,,0)=0,"",_xlfn.XLOOKUP(D301,product!$A:$A,product!G:G,,0))</f>
        <v>Gold</v>
      </c>
      <c r="N301" t="str">
        <f>IF(_xlfn.XLOOKUP(D301,product!$A:$A,product!$B:$B,,0)=0,"",_xlfn.XLOOKUP(D301,product!$A:$A,product!$B:$B,,0))</f>
        <v>Mind Quantum</v>
      </c>
    </row>
    <row r="302" spans="1:14" x14ac:dyDescent="0.35">
      <c r="A302" t="s">
        <v>280</v>
      </c>
      <c r="B302" s="3">
        <v>45207</v>
      </c>
      <c r="C302" t="s">
        <v>2943</v>
      </c>
      <c r="D302" t="s">
        <v>5654</v>
      </c>
      <c r="E302">
        <v>1</v>
      </c>
      <c r="F302" t="str">
        <f>_xlfn.XLOOKUP(C302,customers!$A$1:$A$983,customers!$B$1:$B$983,,0)</f>
        <v>Peter Adams</v>
      </c>
      <c r="G302" t="str">
        <f>_xlfn.XLOOKUP(C302,customers!$A:$A,customers!$C:$C,,0)</f>
        <v>peter.adams686@yahoo.com</v>
      </c>
      <c r="H302" t="str">
        <f>IF(_xlfn.XLOOKUP(C302,customers!$A:$A,customers!$G:$G,,0)=0,"",_xlfn.XLOOKUP(C302,customers!$A:$A,customers!$G:$G,,0))</f>
        <v>Pakistan</v>
      </c>
      <c r="I302" t="str">
        <f>IF(_xlfn.XLOOKUP(D302,product!$A:$A,product!$E:$E,,0)=0,"",_xlfn.XLOOKUP(D302,product!$A:$A,product!$E:$E,,0))</f>
        <v>BUSINESS</v>
      </c>
      <c r="J302" s="5">
        <f>IF(_xlfn.XLOOKUP(D302,product!$A:$A,product!$D:$D,,0)=0,"",_xlfn.XLOOKUP(D302,product!$A:$A,product!$D:$D,,0))</f>
        <v>20.03</v>
      </c>
      <c r="K302" s="7">
        <f t="shared" si="4"/>
        <v>20.03</v>
      </c>
      <c r="L302" s="10" t="str">
        <f>IF(_xlfn.XLOOKUP(D302,product!$A:$A,product!$F:$F,,0)=0,"",_xlfn.XLOOKUP(D302,product!$A:$A,product!$F:$F,,0))</f>
        <v>Yes</v>
      </c>
      <c r="M302" t="str">
        <f>IF(_xlfn.XLOOKUP(D302,product!$A:$A,product!G:G,,0)=0,"",_xlfn.XLOOKUP(D302,product!$A:$A,product!G:G,,0))</f>
        <v>Platinum</v>
      </c>
      <c r="N302" t="str">
        <f>IF(_xlfn.XLOOKUP(D302,product!$A:$A,product!$B:$B,,0)=0,"",_xlfn.XLOOKUP(D302,product!$A:$A,product!$B:$B,,0))</f>
        <v>Journey Mind</v>
      </c>
    </row>
    <row r="303" spans="1:14" x14ac:dyDescent="0.35">
      <c r="A303" t="s">
        <v>297</v>
      </c>
      <c r="B303" s="3">
        <v>45625</v>
      </c>
      <c r="C303" t="s">
        <v>1953</v>
      </c>
      <c r="D303" t="s">
        <v>5655</v>
      </c>
      <c r="E303">
        <v>1</v>
      </c>
      <c r="F303" t="str">
        <f>_xlfn.XLOOKUP(C303,customers!$A$1:$A$983,customers!$B$1:$B$983,,0)</f>
        <v>John Green</v>
      </c>
      <c r="G303" t="str">
        <f>_xlfn.XLOOKUP(C303,customers!$A:$A,customers!$C:$C,,0)</f>
        <v>john.green245@hotmail.com</v>
      </c>
      <c r="H303" t="str">
        <f>IF(_xlfn.XLOOKUP(C303,customers!$A:$A,customers!$G:$G,,0)=0,"",_xlfn.XLOOKUP(C303,customers!$A:$A,customers!$G:$G,,0))</f>
        <v>UAE</v>
      </c>
      <c r="I303" t="str">
        <f>IF(_xlfn.XLOOKUP(D303,product!$A:$A,product!$E:$E,,0)=0,"",_xlfn.XLOOKUP(D303,product!$A:$A,product!$E:$E,,0))</f>
        <v>FICTION</v>
      </c>
      <c r="J303" s="5">
        <f>IF(_xlfn.XLOOKUP(D303,product!$A:$A,product!$D:$D,,0)=0,"",_xlfn.XLOOKUP(D303,product!$A:$A,product!$D:$D,,0))</f>
        <v>16.84</v>
      </c>
      <c r="K303" s="7">
        <f t="shared" si="4"/>
        <v>16.84</v>
      </c>
      <c r="L303" s="10" t="str">
        <f>IF(_xlfn.XLOOKUP(D303,product!$A:$A,product!$F:$F,,0)=0,"",_xlfn.XLOOKUP(D303,product!$A:$A,product!$F:$F,,0))</f>
        <v>No</v>
      </c>
      <c r="M303" t="str">
        <f>IF(_xlfn.XLOOKUP(D303,product!$A:$A,product!G:G,,0)=0,"",_xlfn.XLOOKUP(D303,product!$A:$A,product!G:G,,0))</f>
        <v>None</v>
      </c>
      <c r="N303" t="str">
        <f>IF(_xlfn.XLOOKUP(D303,product!$A:$A,product!$B:$B,,0)=0,"",_xlfn.XLOOKUP(D303,product!$A:$A,product!$B:$B,,0))</f>
        <v>Forest Quantum</v>
      </c>
    </row>
    <row r="304" spans="1:14" x14ac:dyDescent="0.35">
      <c r="A304" t="s">
        <v>314</v>
      </c>
      <c r="B304" s="3">
        <v>45267</v>
      </c>
      <c r="C304" t="s">
        <v>2205</v>
      </c>
      <c r="D304" t="s">
        <v>5656</v>
      </c>
      <c r="E304">
        <v>1</v>
      </c>
      <c r="F304" t="str">
        <f>_xlfn.XLOOKUP(C304,customers!$A$1:$A$983,customers!$B$1:$B$983,,0)</f>
        <v>Joshua Clark</v>
      </c>
      <c r="G304" t="str">
        <f>_xlfn.XLOOKUP(C304,customers!$A:$A,customers!$C:$C,,0)</f>
        <v>joshua.clark339@yahoo.com</v>
      </c>
      <c r="H304" t="str">
        <f>IF(_xlfn.XLOOKUP(C304,customers!$A:$A,customers!$G:$G,,0)=0,"",_xlfn.XLOOKUP(C304,customers!$A:$A,customers!$G:$G,,0))</f>
        <v>Spain</v>
      </c>
      <c r="I304" t="str">
        <f>IF(_xlfn.XLOOKUP(D304,product!$A:$A,product!$E:$E,,0)=0,"",_xlfn.XLOOKUP(D304,product!$A:$A,product!$E:$E,,0))</f>
        <v>FICTION</v>
      </c>
      <c r="J304" s="5">
        <f>IF(_xlfn.XLOOKUP(D304,product!$A:$A,product!$D:$D,,0)=0,"",_xlfn.XLOOKUP(D304,product!$A:$A,product!$D:$D,,0))</f>
        <v>18.059999999999999</v>
      </c>
      <c r="K304" s="7">
        <f t="shared" si="4"/>
        <v>18.059999999999999</v>
      </c>
      <c r="L304" s="10" t="str">
        <f>IF(_xlfn.XLOOKUP(D304,product!$A:$A,product!$F:$F,,0)=0,"",_xlfn.XLOOKUP(D304,product!$A:$A,product!$F:$F,,0))</f>
        <v>No</v>
      </c>
      <c r="M304" t="str">
        <f>IF(_xlfn.XLOOKUP(D304,product!$A:$A,product!G:G,,0)=0,"",_xlfn.XLOOKUP(D304,product!$A:$A,product!G:G,,0))</f>
        <v>Silver</v>
      </c>
      <c r="N304" t="str">
        <f>IF(_xlfn.XLOOKUP(D304,product!$A:$A,product!$B:$B,,0)=0,"",_xlfn.XLOOKUP(D304,product!$A:$A,product!$B:$B,,0))</f>
        <v>Quantum Science</v>
      </c>
    </row>
    <row r="305" spans="1:14" x14ac:dyDescent="0.35">
      <c r="A305" t="s">
        <v>331</v>
      </c>
      <c r="B305" s="3">
        <v>45368</v>
      </c>
      <c r="C305" t="s">
        <v>2704</v>
      </c>
      <c r="D305" t="s">
        <v>5657</v>
      </c>
      <c r="E305">
        <v>1</v>
      </c>
      <c r="F305" t="str">
        <f>_xlfn.XLOOKUP(C305,customers!$A$1:$A$983,customers!$B$1:$B$983,,0)</f>
        <v>Hannah Anderson</v>
      </c>
      <c r="G305" t="str">
        <f>_xlfn.XLOOKUP(C305,customers!$A:$A,customers!$C:$C,,0)</f>
        <v>hannah.anderson570@hotmail.com</v>
      </c>
      <c r="H305" t="str">
        <f>IF(_xlfn.XLOOKUP(C305,customers!$A:$A,customers!$G:$G,,0)=0,"",_xlfn.XLOOKUP(C305,customers!$A:$A,customers!$G:$G,,0))</f>
        <v>Japan</v>
      </c>
      <c r="I305" t="str">
        <f>IF(_xlfn.XLOOKUP(D305,product!$A:$A,product!$E:$E,,0)=0,"",_xlfn.XLOOKUP(D305,product!$A:$A,product!$E:$E,,0))</f>
        <v>FICTION</v>
      </c>
      <c r="J305" s="5">
        <f>IF(_xlfn.XLOOKUP(D305,product!$A:$A,product!$D:$D,,0)=0,"",_xlfn.XLOOKUP(D305,product!$A:$A,product!$D:$D,,0))</f>
        <v>31.13</v>
      </c>
      <c r="K305" s="7">
        <f t="shared" si="4"/>
        <v>31.13</v>
      </c>
      <c r="L305" s="10" t="str">
        <f>IF(_xlfn.XLOOKUP(D305,product!$A:$A,product!$F:$F,,0)=0,"",_xlfn.XLOOKUP(D305,product!$A:$A,product!$F:$F,,0))</f>
        <v>No</v>
      </c>
      <c r="M305" t="str">
        <f>IF(_xlfn.XLOOKUP(D305,product!$A:$A,product!G:G,,0)=0,"",_xlfn.XLOOKUP(D305,product!$A:$A,product!G:G,,0))</f>
        <v>Platinum</v>
      </c>
      <c r="N305" t="str">
        <f>IF(_xlfn.XLOOKUP(D305,product!$A:$A,product!$B:$B,,0)=0,"",_xlfn.XLOOKUP(D305,product!$A:$A,product!$B:$B,,0))</f>
        <v>Secrets Future</v>
      </c>
    </row>
    <row r="306" spans="1:14" x14ac:dyDescent="0.35">
      <c r="A306" t="s">
        <v>348</v>
      </c>
      <c r="B306" s="3">
        <v>44971</v>
      </c>
      <c r="C306" t="s">
        <v>2731</v>
      </c>
      <c r="D306" t="s">
        <v>5658</v>
      </c>
      <c r="E306">
        <v>1</v>
      </c>
      <c r="F306" t="str">
        <f>_xlfn.XLOOKUP(C306,customers!$A$1:$A$983,customers!$B$1:$B$983,,0)</f>
        <v>Kevin White</v>
      </c>
      <c r="G306" t="str">
        <f>_xlfn.XLOOKUP(C306,customers!$A:$A,customers!$C:$C,,0)</f>
        <v>kevin.white583@hotmail.com</v>
      </c>
      <c r="H306" t="str">
        <f>IF(_xlfn.XLOOKUP(C306,customers!$A:$A,customers!$G:$G,,0)=0,"",_xlfn.XLOOKUP(C306,customers!$A:$A,customers!$G:$G,,0))</f>
        <v>Japan</v>
      </c>
      <c r="I306" t="str">
        <f>IF(_xlfn.XLOOKUP(D306,product!$A:$A,product!$E:$E,,0)=0,"",_xlfn.XLOOKUP(D306,product!$A:$A,product!$E:$E,,0))</f>
        <v>HISTORY</v>
      </c>
      <c r="J306" s="5">
        <f>IF(_xlfn.XLOOKUP(D306,product!$A:$A,product!$D:$D,,0)=0,"",_xlfn.XLOOKUP(D306,product!$A:$A,product!$D:$D,,0))</f>
        <v>31.58</v>
      </c>
      <c r="K306" s="7">
        <f t="shared" si="4"/>
        <v>31.58</v>
      </c>
      <c r="L306" s="10" t="str">
        <f>IF(_xlfn.XLOOKUP(D306,product!$A:$A,product!$F:$F,,0)=0,"",_xlfn.XLOOKUP(D306,product!$A:$A,product!$F:$F,,0))</f>
        <v>Yes</v>
      </c>
      <c r="M306" t="str">
        <f>IF(_xlfn.XLOOKUP(D306,product!$A:$A,product!G:G,,0)=0,"",_xlfn.XLOOKUP(D306,product!$A:$A,product!G:G,,0))</f>
        <v>Silver</v>
      </c>
      <c r="N306" t="str">
        <f>IF(_xlfn.XLOOKUP(D306,product!$A:$A,product!$B:$B,,0)=0,"",_xlfn.XLOOKUP(D306,product!$A:$A,product!$B:$B,,0))</f>
        <v>Silent Journey</v>
      </c>
    </row>
    <row r="307" spans="1:14" x14ac:dyDescent="0.35">
      <c r="A307" t="s">
        <v>365</v>
      </c>
      <c r="B307" s="3">
        <v>45468</v>
      </c>
      <c r="C307" t="s">
        <v>2851</v>
      </c>
      <c r="D307" t="s">
        <v>5659</v>
      </c>
      <c r="E307">
        <v>1</v>
      </c>
      <c r="F307" t="str">
        <f>_xlfn.XLOOKUP(C307,customers!$A$1:$A$983,customers!$B$1:$B$983,,0)</f>
        <v>Edward Adams</v>
      </c>
      <c r="G307" t="str">
        <f>_xlfn.XLOOKUP(C307,customers!$A:$A,customers!$C:$C,,0)</f>
        <v>edward.adams641@gmail.com</v>
      </c>
      <c r="H307" t="str">
        <f>IF(_xlfn.XLOOKUP(C307,customers!$A:$A,customers!$G:$G,,0)=0,"",_xlfn.XLOOKUP(C307,customers!$A:$A,customers!$G:$G,,0))</f>
        <v>Pakistan</v>
      </c>
      <c r="I307" t="str">
        <f>IF(_xlfn.XLOOKUP(D307,product!$A:$A,product!$E:$E,,0)=0,"",_xlfn.XLOOKUP(D307,product!$A:$A,product!$E:$E,,0))</f>
        <v>FICTION</v>
      </c>
      <c r="J307" s="5">
        <f>IF(_xlfn.XLOOKUP(D307,product!$A:$A,product!$D:$D,,0)=0,"",_xlfn.XLOOKUP(D307,product!$A:$A,product!$D:$D,,0))</f>
        <v>13.34</v>
      </c>
      <c r="K307" s="7">
        <f t="shared" si="4"/>
        <v>13.34</v>
      </c>
      <c r="L307" s="10" t="str">
        <f>IF(_xlfn.XLOOKUP(D307,product!$A:$A,product!$F:$F,,0)=0,"",_xlfn.XLOOKUP(D307,product!$A:$A,product!$F:$F,,0))</f>
        <v>Yes</v>
      </c>
      <c r="M307" t="str">
        <f>IF(_xlfn.XLOOKUP(D307,product!$A:$A,product!G:G,,0)=0,"",_xlfn.XLOOKUP(D307,product!$A:$A,product!G:G,,0))</f>
        <v>None</v>
      </c>
      <c r="N307" t="str">
        <f>IF(_xlfn.XLOOKUP(D307,product!$A:$A,product!$B:$B,,0)=0,"",_xlfn.XLOOKUP(D307,product!$A:$A,product!$B:$B,,0))</f>
        <v>Forest Power</v>
      </c>
    </row>
    <row r="308" spans="1:14" x14ac:dyDescent="0.35">
      <c r="A308" t="s">
        <v>382</v>
      </c>
      <c r="B308" s="3">
        <v>45055</v>
      </c>
      <c r="C308" t="s">
        <v>3413</v>
      </c>
      <c r="D308" t="s">
        <v>5660</v>
      </c>
      <c r="E308">
        <v>1</v>
      </c>
      <c r="F308" t="str">
        <f>_xlfn.XLOOKUP(C308,customers!$A$1:$A$983,customers!$B$1:$B$983,,0)</f>
        <v>Sarah Garcia</v>
      </c>
      <c r="G308" t="str">
        <f>_xlfn.XLOOKUP(C308,customers!$A:$A,customers!$C:$C,,0)</f>
        <v>sarah.garcia921@hotmail.com</v>
      </c>
      <c r="H308" t="str">
        <f>IF(_xlfn.XLOOKUP(C308,customers!$A:$A,customers!$G:$G,,0)=0,"",_xlfn.XLOOKUP(C308,customers!$A:$A,customers!$G:$G,,0))</f>
        <v>Taiwan</v>
      </c>
      <c r="I308" t="str">
        <f>IF(_xlfn.XLOOKUP(D308,product!$A:$A,product!$E:$E,,0)=0,"",_xlfn.XLOOKUP(D308,product!$A:$A,product!$E:$E,,0))</f>
        <v>TECH</v>
      </c>
      <c r="J308" s="5">
        <f>IF(_xlfn.XLOOKUP(D308,product!$A:$A,product!$D:$D,,0)=0,"",_xlfn.XLOOKUP(D308,product!$A:$A,product!$D:$D,,0))</f>
        <v>15.41</v>
      </c>
      <c r="K308" s="7">
        <f t="shared" si="4"/>
        <v>15.41</v>
      </c>
      <c r="L308" s="10" t="str">
        <f>IF(_xlfn.XLOOKUP(D308,product!$A:$A,product!$F:$F,,0)=0,"",_xlfn.XLOOKUP(D308,product!$A:$A,product!$F:$F,,0))</f>
        <v>No</v>
      </c>
      <c r="M308" t="str">
        <f>IF(_xlfn.XLOOKUP(D308,product!$A:$A,product!G:G,,0)=0,"",_xlfn.XLOOKUP(D308,product!$A:$A,product!G:G,,0))</f>
        <v>Silver</v>
      </c>
      <c r="N308" t="str">
        <f>IF(_xlfn.XLOOKUP(D308,product!$A:$A,product!$B:$B,,0)=0,"",_xlfn.XLOOKUP(D308,product!$A:$A,product!$B:$B,,0))</f>
        <v>Forest Future</v>
      </c>
    </row>
    <row r="309" spans="1:14" x14ac:dyDescent="0.35">
      <c r="A309" t="s">
        <v>399</v>
      </c>
      <c r="B309" s="3">
        <v>45578</v>
      </c>
      <c r="C309" t="s">
        <v>2906</v>
      </c>
      <c r="D309" t="s">
        <v>5661</v>
      </c>
      <c r="E309">
        <v>1</v>
      </c>
      <c r="F309" t="str">
        <f>_xlfn.XLOOKUP(C309,customers!$A$1:$A$983,customers!$B$1:$B$983,,0)</f>
        <v>George Rodriguez</v>
      </c>
      <c r="G309" t="str">
        <f>_xlfn.XLOOKUP(C309,customers!$A:$A,customers!$C:$C,,0)</f>
        <v>george.rodriguez668@gmail.com</v>
      </c>
      <c r="H309" t="str">
        <f>IF(_xlfn.XLOOKUP(C309,customers!$A:$A,customers!$G:$G,,0)=0,"",_xlfn.XLOOKUP(C309,customers!$A:$A,customers!$G:$G,,0))</f>
        <v>Pakistan</v>
      </c>
      <c r="I309" t="str">
        <f>IF(_xlfn.XLOOKUP(D309,product!$A:$A,product!$E:$E,,0)=0,"",_xlfn.XLOOKUP(D309,product!$A:$A,product!$E:$E,,0))</f>
        <v>HISTORY</v>
      </c>
      <c r="J309" s="5">
        <f>IF(_xlfn.XLOOKUP(D309,product!$A:$A,product!$D:$D,,0)=0,"",_xlfn.XLOOKUP(D309,product!$A:$A,product!$D:$D,,0))</f>
        <v>37.950000000000003</v>
      </c>
      <c r="K309" s="7">
        <f t="shared" si="4"/>
        <v>37.950000000000003</v>
      </c>
      <c r="L309" s="10" t="str">
        <f>IF(_xlfn.XLOOKUP(D309,product!$A:$A,product!$F:$F,,0)=0,"",_xlfn.XLOOKUP(D309,product!$A:$A,product!$F:$F,,0))</f>
        <v>No</v>
      </c>
      <c r="M309" t="str">
        <f>IF(_xlfn.XLOOKUP(D309,product!$A:$A,product!G:G,,0)=0,"",_xlfn.XLOOKUP(D309,product!$A:$A,product!G:G,,0))</f>
        <v>Gold</v>
      </c>
      <c r="N309" t="str">
        <f>IF(_xlfn.XLOOKUP(D309,product!$A:$A,product!$B:$B,,0)=0,"",_xlfn.XLOOKUP(D309,product!$A:$A,product!$B:$B,,0))</f>
        <v>Future Quantum</v>
      </c>
    </row>
    <row r="310" spans="1:14" x14ac:dyDescent="0.35">
      <c r="A310" t="s">
        <v>416</v>
      </c>
      <c r="B310" s="3">
        <v>45128</v>
      </c>
      <c r="C310" t="s">
        <v>2425</v>
      </c>
      <c r="D310" t="s">
        <v>5662</v>
      </c>
      <c r="E310">
        <v>1</v>
      </c>
      <c r="F310" t="str">
        <f>_xlfn.XLOOKUP(C310,customers!$A$1:$A$983,customers!$B$1:$B$983,,0)</f>
        <v>Anthony Johnson</v>
      </c>
      <c r="G310" t="str">
        <f>_xlfn.XLOOKUP(C310,customers!$A:$A,customers!$C:$C,,0)</f>
        <v>anthony.johnson436@gmail.com</v>
      </c>
      <c r="H310" t="str">
        <f>IF(_xlfn.XLOOKUP(C310,customers!$A:$A,customers!$G:$G,,0)=0,"",_xlfn.XLOOKUP(C310,customers!$A:$A,customers!$G:$G,,0))</f>
        <v>Sweden</v>
      </c>
      <c r="I310" t="str">
        <f>IF(_xlfn.XLOOKUP(D310,product!$A:$A,product!$E:$E,,0)=0,"",_xlfn.XLOOKUP(D310,product!$A:$A,product!$E:$E,,0))</f>
        <v>SCIENCE</v>
      </c>
      <c r="J310" s="5">
        <f>IF(_xlfn.XLOOKUP(D310,product!$A:$A,product!$D:$D,,0)=0,"",_xlfn.XLOOKUP(D310,product!$A:$A,product!$D:$D,,0))</f>
        <v>14.25</v>
      </c>
      <c r="K310" s="7">
        <f t="shared" si="4"/>
        <v>14.25</v>
      </c>
      <c r="L310" s="10" t="str">
        <f>IF(_xlfn.XLOOKUP(D310,product!$A:$A,product!$F:$F,,0)=0,"",_xlfn.XLOOKUP(D310,product!$A:$A,product!$F:$F,,0))</f>
        <v>No</v>
      </c>
      <c r="M310" t="str">
        <f>IF(_xlfn.XLOOKUP(D310,product!$A:$A,product!G:G,,0)=0,"",_xlfn.XLOOKUP(D310,product!$A:$A,product!G:G,,0))</f>
        <v>None</v>
      </c>
      <c r="N310" t="str">
        <f>IF(_xlfn.XLOOKUP(D310,product!$A:$A,product!$B:$B,,0)=0,"",_xlfn.XLOOKUP(D310,product!$A:$A,product!$B:$B,,0))</f>
        <v>Forest Journey</v>
      </c>
    </row>
    <row r="311" spans="1:14" x14ac:dyDescent="0.35">
      <c r="A311" t="s">
        <v>433</v>
      </c>
      <c r="B311" s="3">
        <v>45534</v>
      </c>
      <c r="C311" t="s">
        <v>3427</v>
      </c>
      <c r="D311" t="s">
        <v>5663</v>
      </c>
      <c r="E311">
        <v>1</v>
      </c>
      <c r="F311" t="str">
        <f>_xlfn.XLOOKUP(C311,customers!$A$1:$A$983,customers!$B$1:$B$983,,0)</f>
        <v>John Garcia</v>
      </c>
      <c r="G311" t="str">
        <f>_xlfn.XLOOKUP(C311,customers!$A:$A,customers!$C:$C,,0)</f>
        <v>john.garcia928@hotmail.com</v>
      </c>
      <c r="H311" t="str">
        <f>IF(_xlfn.XLOOKUP(C311,customers!$A:$A,customers!$G:$G,,0)=0,"",_xlfn.XLOOKUP(C311,customers!$A:$A,customers!$G:$G,,0))</f>
        <v>China</v>
      </c>
      <c r="I311" t="str">
        <f>IF(_xlfn.XLOOKUP(D311,product!$A:$A,product!$E:$E,,0)=0,"",_xlfn.XLOOKUP(D311,product!$A:$A,product!$E:$E,,0))</f>
        <v>SCIENCE</v>
      </c>
      <c r="J311" s="5">
        <f>IF(_xlfn.XLOOKUP(D311,product!$A:$A,product!$D:$D,,0)=0,"",_xlfn.XLOOKUP(D311,product!$A:$A,product!$D:$D,,0))</f>
        <v>26.32</v>
      </c>
      <c r="K311" s="7">
        <f t="shared" si="4"/>
        <v>26.32</v>
      </c>
      <c r="L311" s="10" t="str">
        <f>IF(_xlfn.XLOOKUP(D311,product!$A:$A,product!$F:$F,,0)=0,"",_xlfn.XLOOKUP(D311,product!$A:$A,product!$F:$F,,0))</f>
        <v>Yes</v>
      </c>
      <c r="M311" t="str">
        <f>IF(_xlfn.XLOOKUP(D311,product!$A:$A,product!G:G,,0)=0,"",_xlfn.XLOOKUP(D311,product!$A:$A,product!G:G,,0))</f>
        <v>Platinum</v>
      </c>
      <c r="N311" t="str">
        <f>IF(_xlfn.XLOOKUP(D311,product!$A:$A,product!$B:$B,,0)=0,"",_xlfn.XLOOKUP(D311,product!$A:$A,product!$B:$B,,0))</f>
        <v>Forest Quantum</v>
      </c>
    </row>
    <row r="312" spans="1:14" x14ac:dyDescent="0.35">
      <c r="A312" t="s">
        <v>450</v>
      </c>
      <c r="B312" s="3">
        <v>44952</v>
      </c>
      <c r="C312" t="s">
        <v>2880</v>
      </c>
      <c r="D312" t="s">
        <v>5664</v>
      </c>
      <c r="E312">
        <v>1</v>
      </c>
      <c r="F312" t="str">
        <f>_xlfn.XLOOKUP(C312,customers!$A$1:$A$983,customers!$B$1:$B$983,,0)</f>
        <v>George Brown</v>
      </c>
      <c r="G312" t="str">
        <f>_xlfn.XLOOKUP(C312,customers!$A:$A,customers!$C:$C,,0)</f>
        <v>george.brown655@gmail.com</v>
      </c>
      <c r="H312" t="str">
        <f>IF(_xlfn.XLOOKUP(C312,customers!$A:$A,customers!$G:$G,,0)=0,"",_xlfn.XLOOKUP(C312,customers!$A:$A,customers!$G:$G,,0))</f>
        <v>Japan</v>
      </c>
      <c r="I312" t="str">
        <f>IF(_xlfn.XLOOKUP(D312,product!$A:$A,product!$E:$E,,0)=0,"",_xlfn.XLOOKUP(D312,product!$A:$A,product!$E:$E,,0))</f>
        <v>BUSINESS</v>
      </c>
      <c r="J312" s="5">
        <f>IF(_xlfn.XLOOKUP(D312,product!$A:$A,product!$D:$D,,0)=0,"",_xlfn.XLOOKUP(D312,product!$A:$A,product!$D:$D,,0))</f>
        <v>38.1</v>
      </c>
      <c r="K312" s="7">
        <f t="shared" si="4"/>
        <v>38.1</v>
      </c>
      <c r="L312" s="10" t="str">
        <f>IF(_xlfn.XLOOKUP(D312,product!$A:$A,product!$F:$F,,0)=0,"",_xlfn.XLOOKUP(D312,product!$A:$A,product!$F:$F,,0))</f>
        <v>No</v>
      </c>
      <c r="M312" t="str">
        <f>IF(_xlfn.XLOOKUP(D312,product!$A:$A,product!G:G,,0)=0,"",_xlfn.XLOOKUP(D312,product!$A:$A,product!G:G,,0))</f>
        <v>None</v>
      </c>
      <c r="N312" t="str">
        <f>IF(_xlfn.XLOOKUP(D312,product!$A:$A,product!$B:$B,,0)=0,"",_xlfn.XLOOKUP(D312,product!$A:$A,product!$B:$B,,0))</f>
        <v>Quantum Science</v>
      </c>
    </row>
    <row r="313" spans="1:14" x14ac:dyDescent="0.35">
      <c r="A313" t="s">
        <v>467</v>
      </c>
      <c r="B313" s="3">
        <v>45392</v>
      </c>
      <c r="C313" t="s">
        <v>1865</v>
      </c>
      <c r="D313" t="s">
        <v>5665</v>
      </c>
      <c r="E313">
        <v>1</v>
      </c>
      <c r="F313" t="str">
        <f>_xlfn.XLOOKUP(C313,customers!$A$1:$A$983,customers!$B$1:$B$983,,0)</f>
        <v>Amelia Adams</v>
      </c>
      <c r="G313" t="str">
        <f>_xlfn.XLOOKUP(C313,customers!$A:$A,customers!$C:$C,,0)</f>
        <v>amelia.adams218@outlook.com</v>
      </c>
      <c r="H313" t="str">
        <f>IF(_xlfn.XLOOKUP(C313,customers!$A:$A,customers!$G:$G,,0)=0,"",_xlfn.XLOOKUP(C313,customers!$A:$A,customers!$G:$G,,0))</f>
        <v>UAE</v>
      </c>
      <c r="I313" t="str">
        <f>IF(_xlfn.XLOOKUP(D313,product!$A:$A,product!$E:$E,,0)=0,"",_xlfn.XLOOKUP(D313,product!$A:$A,product!$E:$E,,0))</f>
        <v>BUSINESS</v>
      </c>
      <c r="J313" s="5">
        <f>IF(_xlfn.XLOOKUP(D313,product!$A:$A,product!$D:$D,,0)=0,"",_xlfn.XLOOKUP(D313,product!$A:$A,product!$D:$D,,0))</f>
        <v>36.979999999999997</v>
      </c>
      <c r="K313" s="7">
        <f t="shared" si="4"/>
        <v>36.979999999999997</v>
      </c>
      <c r="L313" s="10" t="str">
        <f>IF(_xlfn.XLOOKUP(D313,product!$A:$A,product!$F:$F,,0)=0,"",_xlfn.XLOOKUP(D313,product!$A:$A,product!$F:$F,,0))</f>
        <v>Yes</v>
      </c>
      <c r="M313" t="str">
        <f>IF(_xlfn.XLOOKUP(D313,product!$A:$A,product!G:G,,0)=0,"",_xlfn.XLOOKUP(D313,product!$A:$A,product!G:G,,0))</f>
        <v>None</v>
      </c>
      <c r="N313" t="str">
        <f>IF(_xlfn.XLOOKUP(D313,product!$A:$A,product!$B:$B,,0)=0,"",_xlfn.XLOOKUP(D313,product!$A:$A,product!$B:$B,,0))</f>
        <v>Quantum Journey</v>
      </c>
    </row>
    <row r="314" spans="1:14" x14ac:dyDescent="0.35">
      <c r="A314" t="s">
        <v>484</v>
      </c>
      <c r="B314" s="3">
        <v>45181</v>
      </c>
      <c r="C314" t="s">
        <v>3421</v>
      </c>
      <c r="D314" t="s">
        <v>5666</v>
      </c>
      <c r="E314">
        <v>1</v>
      </c>
      <c r="F314" t="str">
        <f>_xlfn.XLOOKUP(C314,customers!$A$1:$A$983,customers!$B$1:$B$983,,0)</f>
        <v>Mark Baker</v>
      </c>
      <c r="G314" t="str">
        <f>_xlfn.XLOOKUP(C314,customers!$A:$A,customers!$C:$C,,0)</f>
        <v>mark.baker925@yahoo.com</v>
      </c>
      <c r="H314" t="str">
        <f>IF(_xlfn.XLOOKUP(C314,customers!$A:$A,customers!$G:$G,,0)=0,"",_xlfn.XLOOKUP(C314,customers!$A:$A,customers!$G:$G,,0))</f>
        <v>France</v>
      </c>
      <c r="I314" t="str">
        <f>IF(_xlfn.XLOOKUP(D314,product!$A:$A,product!$E:$E,,0)=0,"",_xlfn.XLOOKUP(D314,product!$A:$A,product!$E:$E,,0))</f>
        <v>FICTION</v>
      </c>
      <c r="J314" s="5">
        <f>IF(_xlfn.XLOOKUP(D314,product!$A:$A,product!$D:$D,,0)=0,"",_xlfn.XLOOKUP(D314,product!$A:$A,product!$D:$D,,0))</f>
        <v>27.05</v>
      </c>
      <c r="K314" s="7">
        <f t="shared" si="4"/>
        <v>27.05</v>
      </c>
      <c r="L314" s="10" t="str">
        <f>IF(_xlfn.XLOOKUP(D314,product!$A:$A,product!$F:$F,,0)=0,"",_xlfn.XLOOKUP(D314,product!$A:$A,product!$F:$F,,0))</f>
        <v>No</v>
      </c>
      <c r="M314" t="str">
        <f>IF(_xlfn.XLOOKUP(D314,product!$A:$A,product!G:G,,0)=0,"",_xlfn.XLOOKUP(D314,product!$A:$A,product!G:G,,0))</f>
        <v>Silver</v>
      </c>
      <c r="N314" t="str">
        <f>IF(_xlfn.XLOOKUP(D314,product!$A:$A,product!$B:$B,,0)=0,"",_xlfn.XLOOKUP(D314,product!$A:$A,product!$B:$B,,0))</f>
        <v>Silent Power</v>
      </c>
    </row>
    <row r="315" spans="1:14" x14ac:dyDescent="0.35">
      <c r="A315" t="s">
        <v>501</v>
      </c>
      <c r="B315" s="3">
        <v>45644</v>
      </c>
      <c r="C315" t="s">
        <v>2662</v>
      </c>
      <c r="D315" t="s">
        <v>5667</v>
      </c>
      <c r="E315">
        <v>1</v>
      </c>
      <c r="F315" t="str">
        <f>_xlfn.XLOOKUP(C315,customers!$A$1:$A$983,customers!$B$1:$B$983,,0)</f>
        <v>Charlotte Walker</v>
      </c>
      <c r="G315" t="str">
        <f>_xlfn.XLOOKUP(C315,customers!$A:$A,customers!$C:$C,,0)</f>
        <v>charlotte.walker550@gmail.com</v>
      </c>
      <c r="H315" t="str">
        <f>IF(_xlfn.XLOOKUP(C315,customers!$A:$A,customers!$G:$G,,0)=0,"",_xlfn.XLOOKUP(C315,customers!$A:$A,customers!$G:$G,,0))</f>
        <v>USA</v>
      </c>
      <c r="I315" t="str">
        <f>IF(_xlfn.XLOOKUP(D315,product!$A:$A,product!$E:$E,,0)=0,"",_xlfn.XLOOKUP(D315,product!$A:$A,product!$E:$E,,0))</f>
        <v>HISTORY</v>
      </c>
      <c r="J315" s="5">
        <f>IF(_xlfn.XLOOKUP(D315,product!$A:$A,product!$D:$D,,0)=0,"",_xlfn.XLOOKUP(D315,product!$A:$A,product!$D:$D,,0))</f>
        <v>15.09</v>
      </c>
      <c r="K315" s="7">
        <f t="shared" si="4"/>
        <v>15.09</v>
      </c>
      <c r="L315" s="10" t="str">
        <f>IF(_xlfn.XLOOKUP(D315,product!$A:$A,product!$F:$F,,0)=0,"",_xlfn.XLOOKUP(D315,product!$A:$A,product!$F:$F,,0))</f>
        <v>No</v>
      </c>
      <c r="M315" t="str">
        <f>IF(_xlfn.XLOOKUP(D315,product!$A:$A,product!G:G,,0)=0,"",_xlfn.XLOOKUP(D315,product!$A:$A,product!G:G,,0))</f>
        <v>None</v>
      </c>
      <c r="N315" t="str">
        <f>IF(_xlfn.XLOOKUP(D315,product!$A:$A,product!$B:$B,,0)=0,"",_xlfn.XLOOKUP(D315,product!$A:$A,product!$B:$B,,0))</f>
        <v>Future Quantum</v>
      </c>
    </row>
    <row r="316" spans="1:14" x14ac:dyDescent="0.35">
      <c r="A316" t="s">
        <v>518</v>
      </c>
      <c r="B316" s="3">
        <v>44991</v>
      </c>
      <c r="C316" t="s">
        <v>3447</v>
      </c>
      <c r="D316" t="s">
        <v>5668</v>
      </c>
      <c r="E316">
        <v>1</v>
      </c>
      <c r="F316" t="str">
        <f>_xlfn.XLOOKUP(C316,customers!$A$1:$A$983,customers!$B$1:$B$983,,0)</f>
        <v>Mark Clark</v>
      </c>
      <c r="G316" t="str">
        <f>_xlfn.XLOOKUP(C316,customers!$A:$A,customers!$C:$C,,0)</f>
        <v>mark.clark938@outlook.com</v>
      </c>
      <c r="H316" t="str">
        <f>IF(_xlfn.XLOOKUP(C316,customers!$A:$A,customers!$G:$G,,0)=0,"",_xlfn.XLOOKUP(C316,customers!$A:$A,customers!$G:$G,,0))</f>
        <v>India</v>
      </c>
      <c r="I316" t="str">
        <f>IF(_xlfn.XLOOKUP(D316,product!$A:$A,product!$E:$E,,0)=0,"",_xlfn.XLOOKUP(D316,product!$A:$A,product!$E:$E,,0))</f>
        <v>TECH</v>
      </c>
      <c r="J316" s="5">
        <f>IF(_xlfn.XLOOKUP(D316,product!$A:$A,product!$D:$D,,0)=0,"",_xlfn.XLOOKUP(D316,product!$A:$A,product!$D:$D,,0))</f>
        <v>15.37</v>
      </c>
      <c r="K316" s="7">
        <f t="shared" si="4"/>
        <v>15.37</v>
      </c>
      <c r="L316" s="10" t="str">
        <f>IF(_xlfn.XLOOKUP(D316,product!$A:$A,product!$F:$F,,0)=0,"",_xlfn.XLOOKUP(D316,product!$A:$A,product!$F:$F,,0))</f>
        <v>No</v>
      </c>
      <c r="M316" t="str">
        <f>IF(_xlfn.XLOOKUP(D316,product!$A:$A,product!G:G,,0)=0,"",_xlfn.XLOOKUP(D316,product!$A:$A,product!G:G,,0))</f>
        <v>None</v>
      </c>
      <c r="N316" t="str">
        <f>IF(_xlfn.XLOOKUP(D316,product!$A:$A,product!$B:$B,,0)=0,"",_xlfn.XLOOKUP(D316,product!$A:$A,product!$B:$B,,0))</f>
        <v>Quantum Future</v>
      </c>
    </row>
    <row r="317" spans="1:14" x14ac:dyDescent="0.35">
      <c r="A317" t="s">
        <v>535</v>
      </c>
      <c r="B317" s="3">
        <v>45347</v>
      </c>
      <c r="C317" t="s">
        <v>1126</v>
      </c>
      <c r="D317" t="s">
        <v>5669</v>
      </c>
      <c r="E317">
        <v>1</v>
      </c>
      <c r="F317" t="str">
        <f>_xlfn.XLOOKUP(C317,customers!$A$1:$A$983,customers!$B$1:$B$983,,0)</f>
        <v>Ryan Baker</v>
      </c>
      <c r="G317" t="str">
        <f>_xlfn.XLOOKUP(C317,customers!$A:$A,customers!$C:$C,,0)</f>
        <v>ryan.baker22@yahoo.com</v>
      </c>
      <c r="H317" t="str">
        <f>IF(_xlfn.XLOOKUP(C317,customers!$A:$A,customers!$G:$G,,0)=0,"",_xlfn.XLOOKUP(C317,customers!$A:$A,customers!$G:$G,,0))</f>
        <v>Sweden</v>
      </c>
      <c r="I317" t="str">
        <f>IF(_xlfn.XLOOKUP(D317,product!$A:$A,product!$E:$E,,0)=0,"",_xlfn.XLOOKUP(D317,product!$A:$A,product!$E:$E,,0))</f>
        <v>FICTION</v>
      </c>
      <c r="J317" s="5">
        <f>IF(_xlfn.XLOOKUP(D317,product!$A:$A,product!$D:$D,,0)=0,"",_xlfn.XLOOKUP(D317,product!$A:$A,product!$D:$D,,0))</f>
        <v>11.13</v>
      </c>
      <c r="K317" s="7">
        <f t="shared" si="4"/>
        <v>11.13</v>
      </c>
      <c r="L317" s="10" t="str">
        <f>IF(_xlfn.XLOOKUP(D317,product!$A:$A,product!$F:$F,,0)=0,"",_xlfn.XLOOKUP(D317,product!$A:$A,product!$F:$F,,0))</f>
        <v>Yes</v>
      </c>
      <c r="M317" t="str">
        <f>IF(_xlfn.XLOOKUP(D317,product!$A:$A,product!G:G,,0)=0,"",_xlfn.XLOOKUP(D317,product!$A:$A,product!G:G,,0))</f>
        <v>None</v>
      </c>
      <c r="N317" t="str">
        <f>IF(_xlfn.XLOOKUP(D317,product!$A:$A,product!$B:$B,,0)=0,"",_xlfn.XLOOKUP(D317,product!$A:$A,product!$B:$B,,0))</f>
        <v>Mind Silent</v>
      </c>
    </row>
    <row r="318" spans="1:14" x14ac:dyDescent="0.35">
      <c r="A318" t="s">
        <v>552</v>
      </c>
      <c r="B318" s="3">
        <v>45154</v>
      </c>
      <c r="C318" t="s">
        <v>1395</v>
      </c>
      <c r="D318" t="s">
        <v>5670</v>
      </c>
      <c r="E318">
        <v>1</v>
      </c>
      <c r="F318" t="str">
        <f>_xlfn.XLOOKUP(C318,customers!$A$1:$A$983,customers!$B$1:$B$983,,0)</f>
        <v>Isabella Green</v>
      </c>
      <c r="G318" t="str">
        <f>_xlfn.XLOOKUP(C318,customers!$A:$A,customers!$C:$C,,0)</f>
        <v>isabella.green91@hotmail.com</v>
      </c>
      <c r="H318" t="str">
        <f>IF(_xlfn.XLOOKUP(C318,customers!$A:$A,customers!$G:$G,,0)=0,"",_xlfn.XLOOKUP(C318,customers!$A:$A,customers!$G:$G,,0))</f>
        <v>USA</v>
      </c>
      <c r="I318" t="str">
        <f>IF(_xlfn.XLOOKUP(D318,product!$A:$A,product!$E:$E,,0)=0,"",_xlfn.XLOOKUP(D318,product!$A:$A,product!$E:$E,,0))</f>
        <v>BUSINESS</v>
      </c>
      <c r="J318" s="5">
        <f>IF(_xlfn.XLOOKUP(D318,product!$A:$A,product!$D:$D,,0)=0,"",_xlfn.XLOOKUP(D318,product!$A:$A,product!$D:$D,,0))</f>
        <v>31.5</v>
      </c>
      <c r="K318" s="7">
        <f t="shared" si="4"/>
        <v>31.5</v>
      </c>
      <c r="L318" s="10" t="str">
        <f>IF(_xlfn.XLOOKUP(D318,product!$A:$A,product!$F:$F,,0)=0,"",_xlfn.XLOOKUP(D318,product!$A:$A,product!$F:$F,,0))</f>
        <v>No</v>
      </c>
      <c r="M318" t="str">
        <f>IF(_xlfn.XLOOKUP(D318,product!$A:$A,product!G:G,,0)=0,"",_xlfn.XLOOKUP(D318,product!$A:$A,product!G:G,,0))</f>
        <v>None</v>
      </c>
      <c r="N318" t="str">
        <f>IF(_xlfn.XLOOKUP(D318,product!$A:$A,product!$B:$B,,0)=0,"",_xlfn.XLOOKUP(D318,product!$A:$A,product!$B:$B,,0))</f>
        <v>Data Mind</v>
      </c>
    </row>
    <row r="319" spans="1:14" x14ac:dyDescent="0.35">
      <c r="A319" t="s">
        <v>569</v>
      </c>
      <c r="B319" s="3">
        <v>45415</v>
      </c>
      <c r="C319" t="s">
        <v>2679</v>
      </c>
      <c r="D319" t="s">
        <v>5671</v>
      </c>
      <c r="E319">
        <v>1</v>
      </c>
      <c r="F319" t="str">
        <f>_xlfn.XLOOKUP(C319,customers!$A$1:$A$983,customers!$B$1:$B$983,,0)</f>
        <v>John Robinson</v>
      </c>
      <c r="G319" t="str">
        <f>_xlfn.XLOOKUP(C319,customers!$A:$A,customers!$C:$C,,0)</f>
        <v>john.robinson558@hotmail.com</v>
      </c>
      <c r="H319" t="str">
        <f>IF(_xlfn.XLOOKUP(C319,customers!$A:$A,customers!$G:$G,,0)=0,"",_xlfn.XLOOKUP(C319,customers!$A:$A,customers!$G:$G,,0))</f>
        <v>Germany</v>
      </c>
      <c r="I319" t="str">
        <f>IF(_xlfn.XLOOKUP(D319,product!$A:$A,product!$E:$E,,0)=0,"",_xlfn.XLOOKUP(D319,product!$A:$A,product!$E:$E,,0))</f>
        <v>FICTION</v>
      </c>
      <c r="J319" s="5">
        <f>IF(_xlfn.XLOOKUP(D319,product!$A:$A,product!$D:$D,,0)=0,"",_xlfn.XLOOKUP(D319,product!$A:$A,product!$D:$D,,0))</f>
        <v>17.670000000000002</v>
      </c>
      <c r="K319" s="7">
        <f t="shared" si="4"/>
        <v>17.670000000000002</v>
      </c>
      <c r="L319" s="10" t="str">
        <f>IF(_xlfn.XLOOKUP(D319,product!$A:$A,product!$F:$F,,0)=0,"",_xlfn.XLOOKUP(D319,product!$A:$A,product!$F:$F,,0))</f>
        <v>No</v>
      </c>
      <c r="M319" t="str">
        <f>IF(_xlfn.XLOOKUP(D319,product!$A:$A,product!G:G,,0)=0,"",_xlfn.XLOOKUP(D319,product!$A:$A,product!G:G,,0))</f>
        <v>Silver</v>
      </c>
      <c r="N319" t="str">
        <f>IF(_xlfn.XLOOKUP(D319,product!$A:$A,product!$B:$B,,0)=0,"",_xlfn.XLOOKUP(D319,product!$A:$A,product!$B:$B,,0))</f>
        <v>Secrets Journey</v>
      </c>
    </row>
    <row r="320" spans="1:14" x14ac:dyDescent="0.35">
      <c r="A320" t="s">
        <v>586</v>
      </c>
      <c r="B320" s="3">
        <v>45239</v>
      </c>
      <c r="C320" t="s">
        <v>2278</v>
      </c>
      <c r="D320" t="s">
        <v>5672</v>
      </c>
      <c r="E320">
        <v>1</v>
      </c>
      <c r="F320" t="str">
        <f>_xlfn.XLOOKUP(C320,customers!$A$1:$A$983,customers!$B$1:$B$983,,0)</f>
        <v>Sarah Adams</v>
      </c>
      <c r="G320" t="str">
        <f>_xlfn.XLOOKUP(C320,customers!$A:$A,customers!$C:$C,,0)</f>
        <v>sarah.adams370@yahoo.com</v>
      </c>
      <c r="H320" t="str">
        <f>IF(_xlfn.XLOOKUP(C320,customers!$A:$A,customers!$G:$G,,0)=0,"",_xlfn.XLOOKUP(C320,customers!$A:$A,customers!$G:$G,,0))</f>
        <v>USA</v>
      </c>
      <c r="I320" t="str">
        <f>IF(_xlfn.XLOOKUP(D320,product!$A:$A,product!$E:$E,,0)=0,"",_xlfn.XLOOKUP(D320,product!$A:$A,product!$E:$E,,0))</f>
        <v>TECH</v>
      </c>
      <c r="J320" s="5">
        <f>IF(_xlfn.XLOOKUP(D320,product!$A:$A,product!$D:$D,,0)=0,"",_xlfn.XLOOKUP(D320,product!$A:$A,product!$D:$D,,0))</f>
        <v>20.78</v>
      </c>
      <c r="K320" s="7">
        <f t="shared" si="4"/>
        <v>20.78</v>
      </c>
      <c r="L320" s="10" t="str">
        <f>IF(_xlfn.XLOOKUP(D320,product!$A:$A,product!$F:$F,,0)=0,"",_xlfn.XLOOKUP(D320,product!$A:$A,product!$F:$F,,0))</f>
        <v>No</v>
      </c>
      <c r="M320" t="str">
        <f>IF(_xlfn.XLOOKUP(D320,product!$A:$A,product!G:G,,0)=0,"",_xlfn.XLOOKUP(D320,product!$A:$A,product!G:G,,0))</f>
        <v>Gold</v>
      </c>
      <c r="N320" t="str">
        <f>IF(_xlfn.XLOOKUP(D320,product!$A:$A,product!$B:$B,,0)=0,"",_xlfn.XLOOKUP(D320,product!$A:$A,product!$B:$B,,0))</f>
        <v>Data Science</v>
      </c>
    </row>
    <row r="321" spans="1:14" x14ac:dyDescent="0.35">
      <c r="A321" t="s">
        <v>603</v>
      </c>
      <c r="B321" s="3">
        <v>45477</v>
      </c>
      <c r="C321" t="s">
        <v>2378</v>
      </c>
      <c r="D321" t="s">
        <v>5673</v>
      </c>
      <c r="E321">
        <v>1</v>
      </c>
      <c r="F321" t="str">
        <f>_xlfn.XLOOKUP(C321,customers!$A$1:$A$983,customers!$B$1:$B$983,,0)</f>
        <v>Andrew Robinson</v>
      </c>
      <c r="G321" t="str">
        <f>_xlfn.XLOOKUP(C321,customers!$A:$A,customers!$C:$C,,0)</f>
        <v>andrew.robinson415@gmail.com</v>
      </c>
      <c r="H321" t="str">
        <f>IF(_xlfn.XLOOKUP(C321,customers!$A:$A,customers!$G:$G,,0)=0,"",_xlfn.XLOOKUP(C321,customers!$A:$A,customers!$G:$G,,0))</f>
        <v>USA</v>
      </c>
      <c r="I321" t="str">
        <f>IF(_xlfn.XLOOKUP(D321,product!$A:$A,product!$E:$E,,0)=0,"",_xlfn.XLOOKUP(D321,product!$A:$A,product!$E:$E,,0))</f>
        <v>BUSINESS</v>
      </c>
      <c r="J321" s="5">
        <f>IF(_xlfn.XLOOKUP(D321,product!$A:$A,product!$D:$D,,0)=0,"",_xlfn.XLOOKUP(D321,product!$A:$A,product!$D:$D,,0))</f>
        <v>23.82</v>
      </c>
      <c r="K321" s="7">
        <f t="shared" si="4"/>
        <v>23.82</v>
      </c>
      <c r="L321" s="10" t="str">
        <f>IF(_xlfn.XLOOKUP(D321,product!$A:$A,product!$F:$F,,0)=0,"",_xlfn.XLOOKUP(D321,product!$A:$A,product!$F:$F,,0))</f>
        <v>Yes</v>
      </c>
      <c r="M321" t="str">
        <f>IF(_xlfn.XLOOKUP(D321,product!$A:$A,product!G:G,,0)=0,"",_xlfn.XLOOKUP(D321,product!$A:$A,product!G:G,,0))</f>
        <v>Silver</v>
      </c>
      <c r="N321" t="str">
        <f>IF(_xlfn.XLOOKUP(D321,product!$A:$A,product!$B:$B,,0)=0,"",_xlfn.XLOOKUP(D321,product!$A:$A,product!$B:$B,,0))</f>
        <v>Future Secrets</v>
      </c>
    </row>
    <row r="322" spans="1:14" x14ac:dyDescent="0.35">
      <c r="A322" t="s">
        <v>620</v>
      </c>
      <c r="B322" s="3">
        <v>45093</v>
      </c>
      <c r="C322" t="s">
        <v>1801</v>
      </c>
      <c r="D322" t="s">
        <v>5674</v>
      </c>
      <c r="E322">
        <v>1</v>
      </c>
      <c r="F322" t="str">
        <f>_xlfn.XLOOKUP(C322,customers!$A$1:$A$983,customers!$B$1:$B$983,,0)</f>
        <v>Kevin Walker</v>
      </c>
      <c r="G322" t="str">
        <f>_xlfn.XLOOKUP(C322,customers!$A:$A,customers!$C:$C,,0)</f>
        <v>kevin.walker199@hotmail.com</v>
      </c>
      <c r="H322" t="str">
        <f>IF(_xlfn.XLOOKUP(C322,customers!$A:$A,customers!$G:$G,,0)=0,"",_xlfn.XLOOKUP(C322,customers!$A:$A,customers!$G:$G,,0))</f>
        <v>USA</v>
      </c>
      <c r="I322" t="str">
        <f>IF(_xlfn.XLOOKUP(D322,product!$A:$A,product!$E:$E,,0)=0,"",_xlfn.XLOOKUP(D322,product!$A:$A,product!$E:$E,,0))</f>
        <v>TECH</v>
      </c>
      <c r="J322" s="5">
        <f>IF(_xlfn.XLOOKUP(D322,product!$A:$A,product!$D:$D,,0)=0,"",_xlfn.XLOOKUP(D322,product!$A:$A,product!$D:$D,,0))</f>
        <v>16.93</v>
      </c>
      <c r="K322" s="7">
        <f t="shared" si="4"/>
        <v>16.93</v>
      </c>
      <c r="L322" s="10" t="str">
        <f>IF(_xlfn.XLOOKUP(D322,product!$A:$A,product!$F:$F,,0)=0,"",_xlfn.XLOOKUP(D322,product!$A:$A,product!$F:$F,,0))</f>
        <v>Yes</v>
      </c>
      <c r="M322" t="str">
        <f>IF(_xlfn.XLOOKUP(D322,product!$A:$A,product!G:G,,0)=0,"",_xlfn.XLOOKUP(D322,product!$A:$A,product!G:G,,0))</f>
        <v>None</v>
      </c>
      <c r="N322" t="str">
        <f>IF(_xlfn.XLOOKUP(D322,product!$A:$A,product!$B:$B,,0)=0,"",_xlfn.XLOOKUP(D322,product!$A:$A,product!$B:$B,,0))</f>
        <v>Science Forest</v>
      </c>
    </row>
    <row r="323" spans="1:14" x14ac:dyDescent="0.35">
      <c r="A323" t="s">
        <v>637</v>
      </c>
      <c r="B323" s="3">
        <v>45542</v>
      </c>
      <c r="C323" t="s">
        <v>2249</v>
      </c>
      <c r="D323" t="s">
        <v>5675</v>
      </c>
      <c r="E323">
        <v>1</v>
      </c>
      <c r="F323" t="str">
        <f>_xlfn.XLOOKUP(C323,customers!$A$1:$A$983,customers!$B$1:$B$983,,0)</f>
        <v>Hannah Walker</v>
      </c>
      <c r="G323" t="str">
        <f>_xlfn.XLOOKUP(C323,customers!$A:$A,customers!$C:$C,,0)</f>
        <v>hannah.walker358@yahoo.com</v>
      </c>
      <c r="H323" t="str">
        <f>IF(_xlfn.XLOOKUP(C323,customers!$A:$A,customers!$G:$G,,0)=0,"",_xlfn.XLOOKUP(C323,customers!$A:$A,customers!$G:$G,,0))</f>
        <v>Japan</v>
      </c>
      <c r="I323" t="str">
        <f>IF(_xlfn.XLOOKUP(D323,product!$A:$A,product!$E:$E,,0)=0,"",_xlfn.XLOOKUP(D323,product!$A:$A,product!$E:$E,,0))</f>
        <v>FICTION</v>
      </c>
      <c r="J323" s="5">
        <f>IF(_xlfn.XLOOKUP(D323,product!$A:$A,product!$D:$D,,0)=0,"",_xlfn.XLOOKUP(D323,product!$A:$A,product!$D:$D,,0))</f>
        <v>21.86</v>
      </c>
      <c r="K323" s="7">
        <f t="shared" ref="K323:K386" si="5">J323*E323</f>
        <v>21.86</v>
      </c>
      <c r="L323" s="10" t="str">
        <f>IF(_xlfn.XLOOKUP(D323,product!$A:$A,product!$F:$F,,0)=0,"",_xlfn.XLOOKUP(D323,product!$A:$A,product!$F:$F,,0))</f>
        <v>No</v>
      </c>
      <c r="M323" t="str">
        <f>IF(_xlfn.XLOOKUP(D323,product!$A:$A,product!G:G,,0)=0,"",_xlfn.XLOOKUP(D323,product!$A:$A,product!G:G,,0))</f>
        <v>Gold</v>
      </c>
      <c r="N323" t="str">
        <f>IF(_xlfn.XLOOKUP(D323,product!$A:$A,product!$B:$B,,0)=0,"",_xlfn.XLOOKUP(D323,product!$A:$A,product!$B:$B,,0))</f>
        <v>Secrets Future</v>
      </c>
    </row>
    <row r="324" spans="1:14" x14ac:dyDescent="0.35">
      <c r="A324" t="s">
        <v>654</v>
      </c>
      <c r="B324" s="3">
        <v>45039</v>
      </c>
      <c r="C324" t="s">
        <v>2296</v>
      </c>
      <c r="D324" t="s">
        <v>5676</v>
      </c>
      <c r="E324">
        <v>1</v>
      </c>
      <c r="F324" t="str">
        <f>_xlfn.XLOOKUP(C324,customers!$A$1:$A$983,customers!$B$1:$B$983,,0)</f>
        <v>Hannah Allen</v>
      </c>
      <c r="G324" t="str">
        <f>_xlfn.XLOOKUP(C324,customers!$A:$A,customers!$C:$C,,0)</f>
        <v>hannah.allen378@gmail.com</v>
      </c>
      <c r="H324" t="str">
        <f>IF(_xlfn.XLOOKUP(C324,customers!$A:$A,customers!$G:$G,,0)=0,"",_xlfn.XLOOKUP(C324,customers!$A:$A,customers!$G:$G,,0))</f>
        <v>Germany</v>
      </c>
      <c r="I324" t="str">
        <f>IF(_xlfn.XLOOKUP(D324,product!$A:$A,product!$E:$E,,0)=0,"",_xlfn.XLOOKUP(D324,product!$A:$A,product!$E:$E,,0))</f>
        <v>FICTION</v>
      </c>
      <c r="J324" s="5">
        <f>IF(_xlfn.XLOOKUP(D324,product!$A:$A,product!$D:$D,,0)=0,"",_xlfn.XLOOKUP(D324,product!$A:$A,product!$D:$D,,0))</f>
        <v>17.11</v>
      </c>
      <c r="K324" s="7">
        <f t="shared" si="5"/>
        <v>17.11</v>
      </c>
      <c r="L324" s="10" t="str">
        <f>IF(_xlfn.XLOOKUP(D324,product!$A:$A,product!$F:$F,,0)=0,"",_xlfn.XLOOKUP(D324,product!$A:$A,product!$F:$F,,0))</f>
        <v>No</v>
      </c>
      <c r="M324" t="str">
        <f>IF(_xlfn.XLOOKUP(D324,product!$A:$A,product!G:G,,0)=0,"",_xlfn.XLOOKUP(D324,product!$A:$A,product!G:G,,0))</f>
        <v>Platinum</v>
      </c>
      <c r="N324" t="str">
        <f>IF(_xlfn.XLOOKUP(D324,product!$A:$A,product!$B:$B,,0)=0,"",_xlfn.XLOOKUP(D324,product!$A:$A,product!$B:$B,,0))</f>
        <v>Future Silent</v>
      </c>
    </row>
    <row r="325" spans="1:14" x14ac:dyDescent="0.35">
      <c r="A325" t="s">
        <v>671</v>
      </c>
      <c r="B325" s="3">
        <v>45312</v>
      </c>
      <c r="C325" t="s">
        <v>1304</v>
      </c>
      <c r="D325" t="s">
        <v>5677</v>
      </c>
      <c r="E325">
        <v>1</v>
      </c>
      <c r="F325" t="str">
        <f>_xlfn.XLOOKUP(C325,customers!$A$1:$A$983,customers!$B$1:$B$983,,0)</f>
        <v>Robert Adams</v>
      </c>
      <c r="G325" t="str">
        <f>_xlfn.XLOOKUP(C325,customers!$A:$A,customers!$C:$C,,0)</f>
        <v>robert.adams65@yahoo.com</v>
      </c>
      <c r="H325" t="str">
        <f>IF(_xlfn.XLOOKUP(C325,customers!$A:$A,customers!$G:$G,,0)=0,"",_xlfn.XLOOKUP(C325,customers!$A:$A,customers!$G:$G,,0))</f>
        <v>Pakistan</v>
      </c>
      <c r="I325" t="str">
        <f>IF(_xlfn.XLOOKUP(D325,product!$A:$A,product!$E:$E,,0)=0,"",_xlfn.XLOOKUP(D325,product!$A:$A,product!$E:$E,,0))</f>
        <v>SCIENCE</v>
      </c>
      <c r="J325" s="5">
        <f>IF(_xlfn.XLOOKUP(D325,product!$A:$A,product!$D:$D,,0)=0,"",_xlfn.XLOOKUP(D325,product!$A:$A,product!$D:$D,,0))</f>
        <v>16.04</v>
      </c>
      <c r="K325" s="7">
        <f t="shared" si="5"/>
        <v>16.04</v>
      </c>
      <c r="L325" s="10" t="str">
        <f>IF(_xlfn.XLOOKUP(D325,product!$A:$A,product!$F:$F,,0)=0,"",_xlfn.XLOOKUP(D325,product!$A:$A,product!$F:$F,,0))</f>
        <v>No</v>
      </c>
      <c r="M325" t="str">
        <f>IF(_xlfn.XLOOKUP(D325,product!$A:$A,product!G:G,,0)=0,"",_xlfn.XLOOKUP(D325,product!$A:$A,product!G:G,,0))</f>
        <v>Silver</v>
      </c>
      <c r="N325" t="str">
        <f>IF(_xlfn.XLOOKUP(D325,product!$A:$A,product!$B:$B,,0)=0,"",_xlfn.XLOOKUP(D325,product!$A:$A,product!$B:$B,,0))</f>
        <v>Forest Science</v>
      </c>
    </row>
    <row r="326" spans="1:14" x14ac:dyDescent="0.35">
      <c r="A326" t="s">
        <v>688</v>
      </c>
      <c r="B326" s="3">
        <v>45230</v>
      </c>
      <c r="C326" t="s">
        <v>2330</v>
      </c>
      <c r="D326" t="s">
        <v>5678</v>
      </c>
      <c r="E326">
        <v>1</v>
      </c>
      <c r="F326" t="str">
        <f>_xlfn.XLOOKUP(C326,customers!$A$1:$A$983,customers!$B$1:$B$983,,0)</f>
        <v>Anna Johnson</v>
      </c>
      <c r="G326" t="str">
        <f>_xlfn.XLOOKUP(C326,customers!$A:$A,customers!$C:$C,,0)</f>
        <v>anna.johnson393@yahoo.com</v>
      </c>
      <c r="H326" t="str">
        <f>IF(_xlfn.XLOOKUP(C326,customers!$A:$A,customers!$G:$G,,0)=0,"",_xlfn.XLOOKUP(C326,customers!$A:$A,customers!$G:$G,,0))</f>
        <v>Spain</v>
      </c>
      <c r="I326" t="str">
        <f>IF(_xlfn.XLOOKUP(D326,product!$A:$A,product!$E:$E,,0)=0,"",_xlfn.XLOOKUP(D326,product!$A:$A,product!$E:$E,,0))</f>
        <v>FICTION</v>
      </c>
      <c r="J326" s="5">
        <f>IF(_xlfn.XLOOKUP(D326,product!$A:$A,product!$D:$D,,0)=0,"",_xlfn.XLOOKUP(D326,product!$A:$A,product!$D:$D,,0))</f>
        <v>14.63</v>
      </c>
      <c r="K326" s="7">
        <f t="shared" si="5"/>
        <v>14.63</v>
      </c>
      <c r="L326" s="10" t="str">
        <f>IF(_xlfn.XLOOKUP(D326,product!$A:$A,product!$F:$F,,0)=0,"",_xlfn.XLOOKUP(D326,product!$A:$A,product!$F:$F,,0))</f>
        <v>Yes</v>
      </c>
      <c r="M326" t="str">
        <f>IF(_xlfn.XLOOKUP(D326,product!$A:$A,product!G:G,,0)=0,"",_xlfn.XLOOKUP(D326,product!$A:$A,product!G:G,,0))</f>
        <v>Silver</v>
      </c>
      <c r="N326" t="str">
        <f>IF(_xlfn.XLOOKUP(D326,product!$A:$A,product!$B:$B,,0)=0,"",_xlfn.XLOOKUP(D326,product!$A:$A,product!$B:$B,,0))</f>
        <v>Quantum Forest</v>
      </c>
    </row>
    <row r="327" spans="1:14" x14ac:dyDescent="0.35">
      <c r="A327" t="s">
        <v>705</v>
      </c>
      <c r="B327" s="3">
        <v>45613</v>
      </c>
      <c r="C327" t="s">
        <v>2898</v>
      </c>
      <c r="D327" t="s">
        <v>5679</v>
      </c>
      <c r="E327">
        <v>1</v>
      </c>
      <c r="F327" t="str">
        <f>_xlfn.XLOOKUP(C327,customers!$A$1:$A$983,customers!$B$1:$B$983,,0)</f>
        <v>Mia Hall</v>
      </c>
      <c r="G327" t="str">
        <f>_xlfn.XLOOKUP(C327,customers!$A:$A,customers!$C:$C,,0)</f>
        <v>mia.hall664@gmail.com</v>
      </c>
      <c r="H327" t="str">
        <f>IF(_xlfn.XLOOKUP(C327,customers!$A:$A,customers!$G:$G,,0)=0,"",_xlfn.XLOOKUP(C327,customers!$A:$A,customers!$G:$G,,0))</f>
        <v>Japan</v>
      </c>
      <c r="I327" t="str">
        <f>IF(_xlfn.XLOOKUP(D327,product!$A:$A,product!$E:$E,,0)=0,"",_xlfn.XLOOKUP(D327,product!$A:$A,product!$E:$E,,0))</f>
        <v>HISTORY</v>
      </c>
      <c r="J327" s="5">
        <f>IF(_xlfn.XLOOKUP(D327,product!$A:$A,product!$D:$D,,0)=0,"",_xlfn.XLOOKUP(D327,product!$A:$A,product!$D:$D,,0))</f>
        <v>16.510000000000002</v>
      </c>
      <c r="K327" s="7">
        <f t="shared" si="5"/>
        <v>16.510000000000002</v>
      </c>
      <c r="L327" s="10" t="str">
        <f>IF(_xlfn.XLOOKUP(D327,product!$A:$A,product!$F:$F,,0)=0,"",_xlfn.XLOOKUP(D327,product!$A:$A,product!$F:$F,,0))</f>
        <v>No</v>
      </c>
      <c r="M327" t="str">
        <f>IF(_xlfn.XLOOKUP(D327,product!$A:$A,product!G:G,,0)=0,"",_xlfn.XLOOKUP(D327,product!$A:$A,product!G:G,,0))</f>
        <v>None</v>
      </c>
      <c r="N327" t="str">
        <f>IF(_xlfn.XLOOKUP(D327,product!$A:$A,product!$B:$B,,0)=0,"",_xlfn.XLOOKUP(D327,product!$A:$A,product!$B:$B,,0))</f>
        <v>Science Mind</v>
      </c>
    </row>
    <row r="328" spans="1:14" x14ac:dyDescent="0.35">
      <c r="A328" t="s">
        <v>722</v>
      </c>
      <c r="B328" s="3">
        <v>45289</v>
      </c>
      <c r="C328" t="s">
        <v>3457</v>
      </c>
      <c r="D328" t="s">
        <v>5680</v>
      </c>
      <c r="E328">
        <v>1</v>
      </c>
      <c r="F328" t="str">
        <f>_xlfn.XLOOKUP(C328,customers!$A$1:$A$983,customers!$B$1:$B$983,,0)</f>
        <v>Edward Smith</v>
      </c>
      <c r="G328" t="str">
        <f>_xlfn.XLOOKUP(C328,customers!$A:$A,customers!$C:$C,,0)</f>
        <v>edward.smith943@outlook.com</v>
      </c>
      <c r="H328" t="str">
        <f>IF(_xlfn.XLOOKUP(C328,customers!$A:$A,customers!$G:$G,,0)=0,"",_xlfn.XLOOKUP(C328,customers!$A:$A,customers!$G:$G,,0))</f>
        <v>Japan</v>
      </c>
      <c r="I328" t="str">
        <f>IF(_xlfn.XLOOKUP(D328,product!$A:$A,product!$E:$E,,0)=0,"",_xlfn.XLOOKUP(D328,product!$A:$A,product!$E:$E,,0))</f>
        <v>HISTORY</v>
      </c>
      <c r="J328" s="5">
        <f>IF(_xlfn.XLOOKUP(D328,product!$A:$A,product!$D:$D,,0)=0,"",_xlfn.XLOOKUP(D328,product!$A:$A,product!$D:$D,,0))</f>
        <v>23.62</v>
      </c>
      <c r="K328" s="7">
        <f t="shared" si="5"/>
        <v>23.62</v>
      </c>
      <c r="L328" s="10" t="str">
        <f>IF(_xlfn.XLOOKUP(D328,product!$A:$A,product!$F:$F,,0)=0,"",_xlfn.XLOOKUP(D328,product!$A:$A,product!$F:$F,,0))</f>
        <v>Yes</v>
      </c>
      <c r="M328" t="str">
        <f>IF(_xlfn.XLOOKUP(D328,product!$A:$A,product!G:G,,0)=0,"",_xlfn.XLOOKUP(D328,product!$A:$A,product!G:G,,0))</f>
        <v>Silver</v>
      </c>
      <c r="N328" t="str">
        <f>IF(_xlfn.XLOOKUP(D328,product!$A:$A,product!$B:$B,,0)=0,"",_xlfn.XLOOKUP(D328,product!$A:$A,product!$B:$B,,0))</f>
        <v>Secrets Silent</v>
      </c>
    </row>
    <row r="329" spans="1:14" x14ac:dyDescent="0.35">
      <c r="A329" t="s">
        <v>739</v>
      </c>
      <c r="B329" s="3">
        <v>45358</v>
      </c>
      <c r="C329" t="s">
        <v>2827</v>
      </c>
      <c r="D329" t="s">
        <v>5681</v>
      </c>
      <c r="E329">
        <v>1</v>
      </c>
      <c r="F329" t="str">
        <f>_xlfn.XLOOKUP(C329,customers!$A$1:$A$983,customers!$B$1:$B$983,,0)</f>
        <v>George Johnson</v>
      </c>
      <c r="G329" t="str">
        <f>_xlfn.XLOOKUP(C329,customers!$A:$A,customers!$C:$C,,0)</f>
        <v>george.johnson629@yahoo.com</v>
      </c>
      <c r="H329" t="str">
        <f>IF(_xlfn.XLOOKUP(C329,customers!$A:$A,customers!$G:$G,,0)=0,"",_xlfn.XLOOKUP(C329,customers!$A:$A,customers!$G:$G,,0))</f>
        <v>Spain</v>
      </c>
      <c r="I329" t="str">
        <f>IF(_xlfn.XLOOKUP(D329,product!$A:$A,product!$E:$E,,0)=0,"",_xlfn.XLOOKUP(D329,product!$A:$A,product!$E:$E,,0))</f>
        <v>SCIENCE</v>
      </c>
      <c r="J329" s="5">
        <f>IF(_xlfn.XLOOKUP(D329,product!$A:$A,product!$D:$D,,0)=0,"",_xlfn.XLOOKUP(D329,product!$A:$A,product!$D:$D,,0))</f>
        <v>20.84</v>
      </c>
      <c r="K329" s="7">
        <f t="shared" si="5"/>
        <v>20.84</v>
      </c>
      <c r="L329" s="10" t="str">
        <f>IF(_xlfn.XLOOKUP(D329,product!$A:$A,product!$F:$F,,0)=0,"",_xlfn.XLOOKUP(D329,product!$A:$A,product!$F:$F,,0))</f>
        <v>Yes</v>
      </c>
      <c r="M329" t="str">
        <f>IF(_xlfn.XLOOKUP(D329,product!$A:$A,product!G:G,,0)=0,"",_xlfn.XLOOKUP(D329,product!$A:$A,product!G:G,,0))</f>
        <v>None</v>
      </c>
      <c r="N329" t="str">
        <f>IF(_xlfn.XLOOKUP(D329,product!$A:$A,product!$B:$B,,0)=0,"",_xlfn.XLOOKUP(D329,product!$A:$A,product!$B:$B,,0))</f>
        <v>Future Mind</v>
      </c>
    </row>
    <row r="330" spans="1:14" x14ac:dyDescent="0.35">
      <c r="A330" t="s">
        <v>756</v>
      </c>
      <c r="B330" s="3">
        <v>44960</v>
      </c>
      <c r="C330" t="s">
        <v>2152</v>
      </c>
      <c r="D330" t="s">
        <v>5682</v>
      </c>
      <c r="E330">
        <v>1</v>
      </c>
      <c r="F330" t="str">
        <f>_xlfn.XLOOKUP(C330,customers!$A$1:$A$983,customers!$B$1:$B$983,,0)</f>
        <v>Steven Allen</v>
      </c>
      <c r="G330" t="str">
        <f>_xlfn.XLOOKUP(C330,customers!$A:$A,customers!$C:$C,,0)</f>
        <v>steven.allen316@hotmail.com</v>
      </c>
      <c r="H330" t="str">
        <f>IF(_xlfn.XLOOKUP(C330,customers!$A:$A,customers!$G:$G,,0)=0,"",_xlfn.XLOOKUP(C330,customers!$A:$A,customers!$G:$G,,0))</f>
        <v>USA</v>
      </c>
      <c r="I330" t="str">
        <f>IF(_xlfn.XLOOKUP(D330,product!$A:$A,product!$E:$E,,0)=0,"",_xlfn.XLOOKUP(D330,product!$A:$A,product!$E:$E,,0))</f>
        <v>TECH</v>
      </c>
      <c r="J330" s="5">
        <f>IF(_xlfn.XLOOKUP(D330,product!$A:$A,product!$D:$D,,0)=0,"",_xlfn.XLOOKUP(D330,product!$A:$A,product!$D:$D,,0))</f>
        <v>25.8</v>
      </c>
      <c r="K330" s="7">
        <f t="shared" si="5"/>
        <v>25.8</v>
      </c>
      <c r="L330" s="10" t="str">
        <f>IF(_xlfn.XLOOKUP(D330,product!$A:$A,product!$F:$F,,0)=0,"",_xlfn.XLOOKUP(D330,product!$A:$A,product!$F:$F,,0))</f>
        <v>Yes</v>
      </c>
      <c r="M330" t="str">
        <f>IF(_xlfn.XLOOKUP(D330,product!$A:$A,product!G:G,,0)=0,"",_xlfn.XLOOKUP(D330,product!$A:$A,product!G:G,,0))</f>
        <v>Silver</v>
      </c>
      <c r="N330" t="str">
        <f>IF(_xlfn.XLOOKUP(D330,product!$A:$A,product!$B:$B,,0)=0,"",_xlfn.XLOOKUP(D330,product!$A:$A,product!$B:$B,,0))</f>
        <v>Silent Quantum</v>
      </c>
    </row>
    <row r="331" spans="1:14" x14ac:dyDescent="0.35">
      <c r="A331" t="s">
        <v>773</v>
      </c>
      <c r="B331" s="3">
        <v>45459</v>
      </c>
      <c r="C331" t="s">
        <v>3429</v>
      </c>
      <c r="D331" t="s">
        <v>5683</v>
      </c>
      <c r="E331">
        <v>1</v>
      </c>
      <c r="F331" t="str">
        <f>_xlfn.XLOOKUP(C331,customers!$A$1:$A$983,customers!$B$1:$B$983,,0)</f>
        <v>Ella Green</v>
      </c>
      <c r="G331" t="str">
        <f>_xlfn.XLOOKUP(C331,customers!$A:$A,customers!$C:$C,,0)</f>
        <v>ella.green929@hotmail.com</v>
      </c>
      <c r="H331" t="str">
        <f>IF(_xlfn.XLOOKUP(C331,customers!$A:$A,customers!$G:$G,,0)=0,"",_xlfn.XLOOKUP(C331,customers!$A:$A,customers!$G:$G,,0))</f>
        <v>Germany</v>
      </c>
      <c r="I331" t="str">
        <f>IF(_xlfn.XLOOKUP(D331,product!$A:$A,product!$E:$E,,0)=0,"",_xlfn.XLOOKUP(D331,product!$A:$A,product!$E:$E,,0))</f>
        <v>TECH</v>
      </c>
      <c r="J331" s="5">
        <f>IF(_xlfn.XLOOKUP(D331,product!$A:$A,product!$D:$D,,0)=0,"",_xlfn.XLOOKUP(D331,product!$A:$A,product!$D:$D,,0))</f>
        <v>25.84</v>
      </c>
      <c r="K331" s="7">
        <f t="shared" si="5"/>
        <v>25.84</v>
      </c>
      <c r="L331" s="10" t="str">
        <f>IF(_xlfn.XLOOKUP(D331,product!$A:$A,product!$F:$F,,0)=0,"",_xlfn.XLOOKUP(D331,product!$A:$A,product!$F:$F,,0))</f>
        <v>No</v>
      </c>
      <c r="M331" t="str">
        <f>IF(_xlfn.XLOOKUP(D331,product!$A:$A,product!G:G,,0)=0,"",_xlfn.XLOOKUP(D331,product!$A:$A,product!G:G,,0))</f>
        <v>Silver</v>
      </c>
      <c r="N331" t="str">
        <f>IF(_xlfn.XLOOKUP(D331,product!$A:$A,product!$B:$B,,0)=0,"",_xlfn.XLOOKUP(D331,product!$A:$A,product!$B:$B,,0))</f>
        <v>Data Quantum</v>
      </c>
    </row>
    <row r="332" spans="1:14" x14ac:dyDescent="0.35">
      <c r="A332" t="s">
        <v>790</v>
      </c>
      <c r="B332" s="3">
        <v>45067</v>
      </c>
      <c r="C332" t="s">
        <v>3317</v>
      </c>
      <c r="D332" t="s">
        <v>5684</v>
      </c>
      <c r="E332">
        <v>1</v>
      </c>
      <c r="F332" t="str">
        <f>_xlfn.XLOOKUP(C332,customers!$A$1:$A$983,customers!$B$1:$B$983,,0)</f>
        <v>Thomas Hill</v>
      </c>
      <c r="G332" t="str">
        <f>_xlfn.XLOOKUP(C332,customers!$A:$A,customers!$C:$C,,0)</f>
        <v>thomas.hill872@gmail.com</v>
      </c>
      <c r="H332" t="str">
        <f>IF(_xlfn.XLOOKUP(C332,customers!$A:$A,customers!$G:$G,,0)=0,"",_xlfn.XLOOKUP(C332,customers!$A:$A,customers!$G:$G,,0))</f>
        <v>Egypt</v>
      </c>
      <c r="I332" t="str">
        <f>IF(_xlfn.XLOOKUP(D332,product!$A:$A,product!$E:$E,,0)=0,"",_xlfn.XLOOKUP(D332,product!$A:$A,product!$E:$E,,0))</f>
        <v>BUSINESS</v>
      </c>
      <c r="J332" s="5">
        <f>IF(_xlfn.XLOOKUP(D332,product!$A:$A,product!$D:$D,,0)=0,"",_xlfn.XLOOKUP(D332,product!$A:$A,product!$D:$D,,0))</f>
        <v>26.72</v>
      </c>
      <c r="K332" s="7">
        <f t="shared" si="5"/>
        <v>26.72</v>
      </c>
      <c r="L332" s="10" t="str">
        <f>IF(_xlfn.XLOOKUP(D332,product!$A:$A,product!$F:$F,,0)=0,"",_xlfn.XLOOKUP(D332,product!$A:$A,product!$F:$F,,0))</f>
        <v>No</v>
      </c>
      <c r="M332" t="str">
        <f>IF(_xlfn.XLOOKUP(D332,product!$A:$A,product!G:G,,0)=0,"",_xlfn.XLOOKUP(D332,product!$A:$A,product!G:G,,0))</f>
        <v>Silver</v>
      </c>
      <c r="N332" t="str">
        <f>IF(_xlfn.XLOOKUP(D332,product!$A:$A,product!$B:$B,,0)=0,"",_xlfn.XLOOKUP(D332,product!$A:$A,product!$B:$B,,0))</f>
        <v>Silent Science</v>
      </c>
    </row>
    <row r="333" spans="1:14" x14ac:dyDescent="0.35">
      <c r="A333" t="s">
        <v>807</v>
      </c>
      <c r="B333" s="3">
        <v>45592</v>
      </c>
      <c r="C333" t="s">
        <v>2571</v>
      </c>
      <c r="D333" t="s">
        <v>5685</v>
      </c>
      <c r="E333">
        <v>1</v>
      </c>
      <c r="F333" t="str">
        <f>_xlfn.XLOOKUP(C333,customers!$A$1:$A$983,customers!$B$1:$B$983,,0)</f>
        <v>Laura Clark</v>
      </c>
      <c r="G333" t="str">
        <f>_xlfn.XLOOKUP(C333,customers!$A:$A,customers!$C:$C,,0)</f>
        <v>laura.clark506@gmail.com</v>
      </c>
      <c r="H333" t="str">
        <f>IF(_xlfn.XLOOKUP(C333,customers!$A:$A,customers!$G:$G,,0)=0,"",_xlfn.XLOOKUP(C333,customers!$A:$A,customers!$G:$G,,0))</f>
        <v>Pakistan</v>
      </c>
      <c r="I333" t="str">
        <f>IF(_xlfn.XLOOKUP(D333,product!$A:$A,product!$E:$E,,0)=0,"",_xlfn.XLOOKUP(D333,product!$A:$A,product!$E:$E,,0))</f>
        <v>SCIENCE</v>
      </c>
      <c r="J333" s="5">
        <f>IF(_xlfn.XLOOKUP(D333,product!$A:$A,product!$D:$D,,0)=0,"",_xlfn.XLOOKUP(D333,product!$A:$A,product!$D:$D,,0))</f>
        <v>13.15</v>
      </c>
      <c r="K333" s="7">
        <f t="shared" si="5"/>
        <v>13.15</v>
      </c>
      <c r="L333" s="10" t="str">
        <f>IF(_xlfn.XLOOKUP(D333,product!$A:$A,product!$F:$F,,0)=0,"",_xlfn.XLOOKUP(D333,product!$A:$A,product!$F:$F,,0))</f>
        <v>Yes</v>
      </c>
      <c r="M333" t="str">
        <f>IF(_xlfn.XLOOKUP(D333,product!$A:$A,product!G:G,,0)=0,"",_xlfn.XLOOKUP(D333,product!$A:$A,product!G:G,,0))</f>
        <v>Silver</v>
      </c>
      <c r="N333" t="str">
        <f>IF(_xlfn.XLOOKUP(D333,product!$A:$A,product!$B:$B,,0)=0,"",_xlfn.XLOOKUP(D333,product!$A:$A,product!$B:$B,,0))</f>
        <v>Future Silent</v>
      </c>
    </row>
    <row r="334" spans="1:14" x14ac:dyDescent="0.35">
      <c r="A334" t="s">
        <v>824</v>
      </c>
      <c r="B334" s="3">
        <v>45138</v>
      </c>
      <c r="C334" t="s">
        <v>3451</v>
      </c>
      <c r="D334" t="s">
        <v>5686</v>
      </c>
      <c r="E334">
        <v>1</v>
      </c>
      <c r="F334" t="str">
        <f>_xlfn.XLOOKUP(C334,customers!$A$1:$A$983,customers!$B$1:$B$983,,0)</f>
        <v>Ryan Lewis</v>
      </c>
      <c r="G334" t="str">
        <f>_xlfn.XLOOKUP(C334,customers!$A:$A,customers!$C:$C,,0)</f>
        <v>ryan.lewis940@yahoo.com</v>
      </c>
      <c r="H334" t="str">
        <f>IF(_xlfn.XLOOKUP(C334,customers!$A:$A,customers!$G:$G,,0)=0,"",_xlfn.XLOOKUP(C334,customers!$A:$A,customers!$G:$G,,0))</f>
        <v>Spain</v>
      </c>
      <c r="I334" t="str">
        <f>IF(_xlfn.XLOOKUP(D334,product!$A:$A,product!$E:$E,,0)=0,"",_xlfn.XLOOKUP(D334,product!$A:$A,product!$E:$E,,0))</f>
        <v>HISTORY</v>
      </c>
      <c r="J334" s="5">
        <f>IF(_xlfn.XLOOKUP(D334,product!$A:$A,product!$D:$D,,0)=0,"",_xlfn.XLOOKUP(D334,product!$A:$A,product!$D:$D,,0))</f>
        <v>10.95</v>
      </c>
      <c r="K334" s="7">
        <f t="shared" si="5"/>
        <v>10.95</v>
      </c>
      <c r="L334" s="10" t="str">
        <f>IF(_xlfn.XLOOKUP(D334,product!$A:$A,product!$F:$F,,0)=0,"",_xlfn.XLOOKUP(D334,product!$A:$A,product!$F:$F,,0))</f>
        <v>Yes</v>
      </c>
      <c r="M334" t="str">
        <f>IF(_xlfn.XLOOKUP(D334,product!$A:$A,product!G:G,,0)=0,"",_xlfn.XLOOKUP(D334,product!$A:$A,product!G:G,,0))</f>
        <v>None</v>
      </c>
      <c r="N334" t="str">
        <f>IF(_xlfn.XLOOKUP(D334,product!$A:$A,product!$B:$B,,0)=0,"",_xlfn.XLOOKUP(D334,product!$A:$A,product!$B:$B,,0))</f>
        <v>Science Journey</v>
      </c>
    </row>
    <row r="335" spans="1:14" x14ac:dyDescent="0.35">
      <c r="A335" t="s">
        <v>841</v>
      </c>
      <c r="B335" s="3">
        <v>45529</v>
      </c>
      <c r="C335" t="s">
        <v>3024</v>
      </c>
      <c r="D335" t="s">
        <v>5687</v>
      </c>
      <c r="E335">
        <v>1</v>
      </c>
      <c r="F335" t="str">
        <f>_xlfn.XLOOKUP(C335,customers!$A$1:$A$983,customers!$B$1:$B$983,,0)</f>
        <v>William Baker</v>
      </c>
      <c r="G335" t="str">
        <f>_xlfn.XLOOKUP(C335,customers!$A:$A,customers!$C:$C,,0)</f>
        <v>william.baker725@gmail.com</v>
      </c>
      <c r="H335" t="str">
        <f>IF(_xlfn.XLOOKUP(C335,customers!$A:$A,customers!$G:$G,,0)=0,"",_xlfn.XLOOKUP(C335,customers!$A:$A,customers!$G:$G,,0))</f>
        <v>Egypt</v>
      </c>
      <c r="I335" t="str">
        <f>IF(_xlfn.XLOOKUP(D335,product!$A:$A,product!$E:$E,,0)=0,"",_xlfn.XLOOKUP(D335,product!$A:$A,product!$E:$E,,0))</f>
        <v>BUSINESS</v>
      </c>
      <c r="J335" s="5">
        <f>IF(_xlfn.XLOOKUP(D335,product!$A:$A,product!$D:$D,,0)=0,"",_xlfn.XLOOKUP(D335,product!$A:$A,product!$D:$D,,0))</f>
        <v>21.54</v>
      </c>
      <c r="K335" s="7">
        <f t="shared" si="5"/>
        <v>21.54</v>
      </c>
      <c r="L335" s="10" t="str">
        <f>IF(_xlfn.XLOOKUP(D335,product!$A:$A,product!$F:$F,,0)=0,"",_xlfn.XLOOKUP(D335,product!$A:$A,product!$F:$F,,0))</f>
        <v>Yes</v>
      </c>
      <c r="M335" t="str">
        <f>IF(_xlfn.XLOOKUP(D335,product!$A:$A,product!G:G,,0)=0,"",_xlfn.XLOOKUP(D335,product!$A:$A,product!G:G,,0))</f>
        <v>Platinum</v>
      </c>
      <c r="N335" t="str">
        <f>IF(_xlfn.XLOOKUP(D335,product!$A:$A,product!$B:$B,,0)=0,"",_xlfn.XLOOKUP(D335,product!$A:$A,product!$B:$B,,0))</f>
        <v>Future Silent</v>
      </c>
    </row>
    <row r="336" spans="1:14" x14ac:dyDescent="0.35">
      <c r="A336" t="s">
        <v>858</v>
      </c>
      <c r="B336" s="3">
        <v>44936</v>
      </c>
      <c r="C336" t="s">
        <v>3012</v>
      </c>
      <c r="D336" t="s">
        <v>5688</v>
      </c>
      <c r="E336">
        <v>1</v>
      </c>
      <c r="F336" t="str">
        <f>_xlfn.XLOOKUP(C336,customers!$A$1:$A$983,customers!$B$1:$B$983,,0)</f>
        <v>Mark Baker</v>
      </c>
      <c r="G336" t="str">
        <f>_xlfn.XLOOKUP(C336,customers!$A:$A,customers!$C:$C,,0)</f>
        <v>mark.baker719@gmail.com</v>
      </c>
      <c r="H336" t="str">
        <f>IF(_xlfn.XLOOKUP(C336,customers!$A:$A,customers!$G:$G,,0)=0,"",_xlfn.XLOOKUP(C336,customers!$A:$A,customers!$G:$G,,0))</f>
        <v>Spain</v>
      </c>
      <c r="I336" t="str">
        <f>IF(_xlfn.XLOOKUP(D336,product!$A:$A,product!$E:$E,,0)=0,"",_xlfn.XLOOKUP(D336,product!$A:$A,product!$E:$E,,0))</f>
        <v>TECH</v>
      </c>
      <c r="J336" s="5">
        <f>IF(_xlfn.XLOOKUP(D336,product!$A:$A,product!$D:$D,,0)=0,"",_xlfn.XLOOKUP(D336,product!$A:$A,product!$D:$D,,0))</f>
        <v>23.82</v>
      </c>
      <c r="K336" s="7">
        <f t="shared" si="5"/>
        <v>23.82</v>
      </c>
      <c r="L336" s="10" t="str">
        <f>IF(_xlfn.XLOOKUP(D336,product!$A:$A,product!$F:$F,,0)=0,"",_xlfn.XLOOKUP(D336,product!$A:$A,product!$F:$F,,0))</f>
        <v>No</v>
      </c>
      <c r="M336" t="str">
        <f>IF(_xlfn.XLOOKUP(D336,product!$A:$A,product!G:G,,0)=0,"",_xlfn.XLOOKUP(D336,product!$A:$A,product!G:G,,0))</f>
        <v>None</v>
      </c>
      <c r="N336" t="str">
        <f>IF(_xlfn.XLOOKUP(D336,product!$A:$A,product!$B:$B,,0)=0,"",_xlfn.XLOOKUP(D336,product!$A:$A,product!$B:$B,,0))</f>
        <v>Quantum Science</v>
      </c>
    </row>
    <row r="337" spans="1:14" x14ac:dyDescent="0.35">
      <c r="A337" t="s">
        <v>875</v>
      </c>
      <c r="B337" s="3">
        <v>45411</v>
      </c>
      <c r="C337" t="s">
        <v>2247</v>
      </c>
      <c r="D337" t="s">
        <v>5689</v>
      </c>
      <c r="E337">
        <v>1</v>
      </c>
      <c r="F337" t="str">
        <f>_xlfn.XLOOKUP(C337,customers!$A$1:$A$983,customers!$B$1:$B$983,,0)</f>
        <v>Hannah Martin</v>
      </c>
      <c r="G337" t="str">
        <f>_xlfn.XLOOKUP(C337,customers!$A:$A,customers!$C:$C,,0)</f>
        <v>hannah.martin357@yahoo.com</v>
      </c>
      <c r="H337" t="str">
        <f>IF(_xlfn.XLOOKUP(C337,customers!$A:$A,customers!$G:$G,,0)=0,"",_xlfn.XLOOKUP(C337,customers!$A:$A,customers!$G:$G,,0))</f>
        <v>Spain</v>
      </c>
      <c r="I337" t="str">
        <f>IF(_xlfn.XLOOKUP(D337,product!$A:$A,product!$E:$E,,0)=0,"",_xlfn.XLOOKUP(D337,product!$A:$A,product!$E:$E,,0))</f>
        <v>FICTION</v>
      </c>
      <c r="J337" s="5">
        <f>IF(_xlfn.XLOOKUP(D337,product!$A:$A,product!$D:$D,,0)=0,"",_xlfn.XLOOKUP(D337,product!$A:$A,product!$D:$D,,0))</f>
        <v>35.119999999999997</v>
      </c>
      <c r="K337" s="7">
        <f t="shared" si="5"/>
        <v>35.119999999999997</v>
      </c>
      <c r="L337" s="10" t="str">
        <f>IF(_xlfn.XLOOKUP(D337,product!$A:$A,product!$F:$F,,0)=0,"",_xlfn.XLOOKUP(D337,product!$A:$A,product!$F:$F,,0))</f>
        <v>Yes</v>
      </c>
      <c r="M337" t="str">
        <f>IF(_xlfn.XLOOKUP(D337,product!$A:$A,product!G:G,,0)=0,"",_xlfn.XLOOKUP(D337,product!$A:$A,product!G:G,,0))</f>
        <v>None</v>
      </c>
      <c r="N337" t="str">
        <f>IF(_xlfn.XLOOKUP(D337,product!$A:$A,product!$B:$B,,0)=0,"",_xlfn.XLOOKUP(D337,product!$A:$A,product!$B:$B,,0))</f>
        <v>Science Forest</v>
      </c>
    </row>
    <row r="338" spans="1:14" x14ac:dyDescent="0.35">
      <c r="A338" t="s">
        <v>892</v>
      </c>
      <c r="B338" s="3">
        <v>45190</v>
      </c>
      <c r="C338" t="s">
        <v>1913</v>
      </c>
      <c r="D338" t="s">
        <v>5690</v>
      </c>
      <c r="E338">
        <v>1</v>
      </c>
      <c r="F338" t="str">
        <f>_xlfn.XLOOKUP(C338,customers!$A$1:$A$983,customers!$B$1:$B$983,,0)</f>
        <v>Amelia Harris</v>
      </c>
      <c r="G338" t="str">
        <f>_xlfn.XLOOKUP(C338,customers!$A:$A,customers!$C:$C,,0)</f>
        <v>amelia.harris233@outlook.com</v>
      </c>
      <c r="H338" t="str">
        <f>IF(_xlfn.XLOOKUP(C338,customers!$A:$A,customers!$G:$G,,0)=0,"",_xlfn.XLOOKUP(C338,customers!$A:$A,customers!$G:$G,,0))</f>
        <v>Spain</v>
      </c>
      <c r="I338" t="str">
        <f>IF(_xlfn.XLOOKUP(D338,product!$A:$A,product!$E:$E,,0)=0,"",_xlfn.XLOOKUP(D338,product!$A:$A,product!$E:$E,,0))</f>
        <v>SCIENCE</v>
      </c>
      <c r="J338" s="5">
        <f>IF(_xlfn.XLOOKUP(D338,product!$A:$A,product!$D:$D,,0)=0,"",_xlfn.XLOOKUP(D338,product!$A:$A,product!$D:$D,,0))</f>
        <v>15.7</v>
      </c>
      <c r="K338" s="7">
        <f t="shared" si="5"/>
        <v>15.7</v>
      </c>
      <c r="L338" s="10" t="str">
        <f>IF(_xlfn.XLOOKUP(D338,product!$A:$A,product!$F:$F,,0)=0,"",_xlfn.XLOOKUP(D338,product!$A:$A,product!$F:$F,,0))</f>
        <v>No</v>
      </c>
      <c r="M338" t="str">
        <f>IF(_xlfn.XLOOKUP(D338,product!$A:$A,product!G:G,,0)=0,"",_xlfn.XLOOKUP(D338,product!$A:$A,product!G:G,,0))</f>
        <v>Gold</v>
      </c>
      <c r="N338" t="str">
        <f>IF(_xlfn.XLOOKUP(D338,product!$A:$A,product!$B:$B,,0)=0,"",_xlfn.XLOOKUP(D338,product!$A:$A,product!$B:$B,,0))</f>
        <v>Secrets Journey</v>
      </c>
    </row>
    <row r="339" spans="1:14" x14ac:dyDescent="0.35">
      <c r="A339" t="s">
        <v>909</v>
      </c>
      <c r="B339" s="3">
        <v>45628</v>
      </c>
      <c r="C339" t="s">
        <v>1497</v>
      </c>
      <c r="D339" t="s">
        <v>5691</v>
      </c>
      <c r="E339">
        <v>1</v>
      </c>
      <c r="F339" t="str">
        <f>_xlfn.XLOOKUP(C339,customers!$A$1:$A$983,customers!$B$1:$B$983,,0)</f>
        <v>Anna Anderson</v>
      </c>
      <c r="G339" t="str">
        <f>_xlfn.XLOOKUP(C339,customers!$A:$A,customers!$C:$C,,0)</f>
        <v>anna.anderson122@yahoo.com</v>
      </c>
      <c r="H339" t="str">
        <f>IF(_xlfn.XLOOKUP(C339,customers!$A:$A,customers!$G:$G,,0)=0,"",_xlfn.XLOOKUP(C339,customers!$A:$A,customers!$G:$G,,0))</f>
        <v>Egypt</v>
      </c>
      <c r="I339" t="str">
        <f>IF(_xlfn.XLOOKUP(D339,product!$A:$A,product!$E:$E,,0)=0,"",_xlfn.XLOOKUP(D339,product!$A:$A,product!$E:$E,,0))</f>
        <v>HISTORY</v>
      </c>
      <c r="J339" s="5">
        <f>IF(_xlfn.XLOOKUP(D339,product!$A:$A,product!$D:$D,,0)=0,"",_xlfn.XLOOKUP(D339,product!$A:$A,product!$D:$D,,0))</f>
        <v>31.39</v>
      </c>
      <c r="K339" s="7">
        <f t="shared" si="5"/>
        <v>31.39</v>
      </c>
      <c r="L339" s="10" t="str">
        <f>IF(_xlfn.XLOOKUP(D339,product!$A:$A,product!$F:$F,,0)=0,"",_xlfn.XLOOKUP(D339,product!$A:$A,product!$F:$F,,0))</f>
        <v>Yes</v>
      </c>
      <c r="M339" t="str">
        <f>IF(_xlfn.XLOOKUP(D339,product!$A:$A,product!G:G,,0)=0,"",_xlfn.XLOOKUP(D339,product!$A:$A,product!G:G,,0))</f>
        <v>None</v>
      </c>
      <c r="N339" t="str">
        <f>IF(_xlfn.XLOOKUP(D339,product!$A:$A,product!$B:$B,,0)=0,"",_xlfn.XLOOKUP(D339,product!$A:$A,product!$B:$B,,0))</f>
        <v>Science Journey</v>
      </c>
    </row>
    <row r="340" spans="1:14" x14ac:dyDescent="0.35">
      <c r="A340" t="s">
        <v>926</v>
      </c>
      <c r="B340" s="3">
        <v>45007</v>
      </c>
      <c r="C340" t="s">
        <v>2997</v>
      </c>
      <c r="D340" t="s">
        <v>5692</v>
      </c>
      <c r="E340">
        <v>1</v>
      </c>
      <c r="F340" t="str">
        <f>_xlfn.XLOOKUP(C340,customers!$A$1:$A$983,customers!$B$1:$B$983,,0)</f>
        <v>Steven Hill</v>
      </c>
      <c r="G340" t="str">
        <f>_xlfn.XLOOKUP(C340,customers!$A:$A,customers!$C:$C,,0)</f>
        <v>steven.hill712@outlook.com</v>
      </c>
      <c r="H340" t="str">
        <f>IF(_xlfn.XLOOKUP(C340,customers!$A:$A,customers!$G:$G,,0)=0,"",_xlfn.XLOOKUP(C340,customers!$A:$A,customers!$G:$G,,0))</f>
        <v>USA</v>
      </c>
      <c r="I340" t="str">
        <f>IF(_xlfn.XLOOKUP(D340,product!$A:$A,product!$E:$E,,0)=0,"",_xlfn.XLOOKUP(D340,product!$A:$A,product!$E:$E,,0))</f>
        <v>SCIENCE</v>
      </c>
      <c r="J340" s="5">
        <f>IF(_xlfn.XLOOKUP(D340,product!$A:$A,product!$D:$D,,0)=0,"",_xlfn.XLOOKUP(D340,product!$A:$A,product!$D:$D,,0))</f>
        <v>19.399999999999999</v>
      </c>
      <c r="K340" s="7">
        <f t="shared" si="5"/>
        <v>19.399999999999999</v>
      </c>
      <c r="L340" s="10" t="str">
        <f>IF(_xlfn.XLOOKUP(D340,product!$A:$A,product!$F:$F,,0)=0,"",_xlfn.XLOOKUP(D340,product!$A:$A,product!$F:$F,,0))</f>
        <v>Yes</v>
      </c>
      <c r="M340" t="str">
        <f>IF(_xlfn.XLOOKUP(D340,product!$A:$A,product!G:G,,0)=0,"",_xlfn.XLOOKUP(D340,product!$A:$A,product!G:G,,0))</f>
        <v>Platinum</v>
      </c>
      <c r="N340" t="str">
        <f>IF(_xlfn.XLOOKUP(D340,product!$A:$A,product!$B:$B,,0)=0,"",_xlfn.XLOOKUP(D340,product!$A:$A,product!$B:$B,,0))</f>
        <v>Science Quantum</v>
      </c>
    </row>
    <row r="341" spans="1:14" x14ac:dyDescent="0.35">
      <c r="A341" t="s">
        <v>943</v>
      </c>
      <c r="B341" s="3">
        <v>45337</v>
      </c>
      <c r="C341" t="s">
        <v>2391</v>
      </c>
      <c r="D341" t="s">
        <v>5693</v>
      </c>
      <c r="E341">
        <v>1</v>
      </c>
      <c r="F341" t="str">
        <f>_xlfn.XLOOKUP(C341,customers!$A$1:$A$983,customers!$B$1:$B$983,,0)</f>
        <v>Laura Lewis</v>
      </c>
      <c r="G341" t="str">
        <f>_xlfn.XLOOKUP(C341,customers!$A:$A,customers!$C:$C,,0)</f>
        <v>laura.lewis421@yahoo.com</v>
      </c>
      <c r="H341" t="str">
        <f>IF(_xlfn.XLOOKUP(C341,customers!$A:$A,customers!$G:$G,,0)=0,"",_xlfn.XLOOKUP(C341,customers!$A:$A,customers!$G:$G,,0))</f>
        <v>Japan</v>
      </c>
      <c r="I341" t="str">
        <f>IF(_xlfn.XLOOKUP(D341,product!$A:$A,product!$E:$E,,0)=0,"",_xlfn.XLOOKUP(D341,product!$A:$A,product!$E:$E,,0))</f>
        <v>FICTION</v>
      </c>
      <c r="J341" s="5">
        <f>IF(_xlfn.XLOOKUP(D341,product!$A:$A,product!$D:$D,,0)=0,"",_xlfn.XLOOKUP(D341,product!$A:$A,product!$D:$D,,0))</f>
        <v>28.2</v>
      </c>
      <c r="K341" s="7">
        <f t="shared" si="5"/>
        <v>28.2</v>
      </c>
      <c r="L341" s="10" t="str">
        <f>IF(_xlfn.XLOOKUP(D341,product!$A:$A,product!$F:$F,,0)=0,"",_xlfn.XLOOKUP(D341,product!$A:$A,product!$F:$F,,0))</f>
        <v>Yes</v>
      </c>
      <c r="M341" t="str">
        <f>IF(_xlfn.XLOOKUP(D341,product!$A:$A,product!G:G,,0)=0,"",_xlfn.XLOOKUP(D341,product!$A:$A,product!G:G,,0))</f>
        <v>None</v>
      </c>
      <c r="N341" t="str">
        <f>IF(_xlfn.XLOOKUP(D341,product!$A:$A,product!$B:$B,,0)=0,"",_xlfn.XLOOKUP(D341,product!$A:$A,product!$B:$B,,0))</f>
        <v>Data Power</v>
      </c>
    </row>
    <row r="342" spans="1:14" x14ac:dyDescent="0.35">
      <c r="A342" t="s">
        <v>960</v>
      </c>
      <c r="B342" s="3">
        <v>45150</v>
      </c>
      <c r="C342" t="s">
        <v>3222</v>
      </c>
      <c r="D342" t="s">
        <v>5695</v>
      </c>
      <c r="E342">
        <v>1</v>
      </c>
      <c r="F342" t="str">
        <f>_xlfn.XLOOKUP(C342,customers!$A$1:$A$983,customers!$B$1:$B$983,,0)</f>
        <v>Sophia Harris</v>
      </c>
      <c r="G342" t="str">
        <f>_xlfn.XLOOKUP(C342,customers!$A:$A,customers!$C:$C,,0)</f>
        <v>sophia.harris824@yahoo.com</v>
      </c>
      <c r="H342" t="str">
        <f>IF(_xlfn.XLOOKUP(C342,customers!$A:$A,customers!$G:$G,,0)=0,"",_xlfn.XLOOKUP(C342,customers!$A:$A,customers!$G:$G,,0))</f>
        <v>Egypt</v>
      </c>
      <c r="I342" t="str">
        <f>IF(_xlfn.XLOOKUP(D342,product!$A:$A,product!$E:$E,,0)=0,"",_xlfn.XLOOKUP(D342,product!$A:$A,product!$E:$E,,0))</f>
        <v>TECH</v>
      </c>
      <c r="J342" s="5">
        <f>IF(_xlfn.XLOOKUP(D342,product!$A:$A,product!$D:$D,,0)=0,"",_xlfn.XLOOKUP(D342,product!$A:$A,product!$D:$D,,0))</f>
        <v>21.73</v>
      </c>
      <c r="K342" s="7">
        <f t="shared" si="5"/>
        <v>21.73</v>
      </c>
      <c r="L342" s="10" t="str">
        <f>IF(_xlfn.XLOOKUP(D342,product!$A:$A,product!$F:$F,,0)=0,"",_xlfn.XLOOKUP(D342,product!$A:$A,product!$F:$F,,0))</f>
        <v>No</v>
      </c>
      <c r="M342" t="str">
        <f>IF(_xlfn.XLOOKUP(D342,product!$A:$A,product!G:G,,0)=0,"",_xlfn.XLOOKUP(D342,product!$A:$A,product!G:G,,0))</f>
        <v>None</v>
      </c>
      <c r="N342" t="str">
        <f>IF(_xlfn.XLOOKUP(D342,product!$A:$A,product!$B:$B,,0)=0,"",_xlfn.XLOOKUP(D342,product!$A:$A,product!$B:$B,,0))</f>
        <v>Silent Mind</v>
      </c>
    </row>
    <row r="343" spans="1:14" x14ac:dyDescent="0.35">
      <c r="A343" t="s">
        <v>977</v>
      </c>
      <c r="B343" s="3">
        <v>45422</v>
      </c>
      <c r="C343" t="s">
        <v>1617</v>
      </c>
      <c r="D343" t="s">
        <v>5696</v>
      </c>
      <c r="E343">
        <v>1</v>
      </c>
      <c r="F343" t="str">
        <f>_xlfn.XLOOKUP(C343,customers!$A$1:$A$983,customers!$B$1:$B$983,,0)</f>
        <v>John Lopez</v>
      </c>
      <c r="G343" t="str">
        <f>_xlfn.XLOOKUP(C343,customers!$A:$A,customers!$C:$C,,0)</f>
        <v>john.lopez153@gmail.com</v>
      </c>
      <c r="H343" t="str">
        <f>IF(_xlfn.XLOOKUP(C343,customers!$A:$A,customers!$G:$G,,0)=0,"",_xlfn.XLOOKUP(C343,customers!$A:$A,customers!$G:$G,,0))</f>
        <v>Germany</v>
      </c>
      <c r="I343" t="str">
        <f>IF(_xlfn.XLOOKUP(D343,product!$A:$A,product!$E:$E,,0)=0,"",_xlfn.XLOOKUP(D343,product!$A:$A,product!$E:$E,,0))</f>
        <v>TECH</v>
      </c>
      <c r="J343" s="5">
        <f>IF(_xlfn.XLOOKUP(D343,product!$A:$A,product!$D:$D,,0)=0,"",_xlfn.XLOOKUP(D343,product!$A:$A,product!$D:$D,,0))</f>
        <v>31.98</v>
      </c>
      <c r="K343" s="7">
        <f t="shared" si="5"/>
        <v>31.98</v>
      </c>
      <c r="L343" s="10" t="str">
        <f>IF(_xlfn.XLOOKUP(D343,product!$A:$A,product!$F:$F,,0)=0,"",_xlfn.XLOOKUP(D343,product!$A:$A,product!$F:$F,,0))</f>
        <v>No</v>
      </c>
      <c r="M343" t="str">
        <f>IF(_xlfn.XLOOKUP(D343,product!$A:$A,product!G:G,,0)=0,"",_xlfn.XLOOKUP(D343,product!$A:$A,product!G:G,,0))</f>
        <v>Platinum</v>
      </c>
      <c r="N343" t="str">
        <f>IF(_xlfn.XLOOKUP(D343,product!$A:$A,product!$B:$B,,0)=0,"",_xlfn.XLOOKUP(D343,product!$A:$A,product!$B:$B,,0))</f>
        <v>Quantum Science</v>
      </c>
    </row>
    <row r="344" spans="1:14" x14ac:dyDescent="0.35">
      <c r="A344" t="s">
        <v>994</v>
      </c>
      <c r="B344" s="3">
        <v>45258</v>
      </c>
      <c r="C344" t="s">
        <v>2922</v>
      </c>
      <c r="D344" t="s">
        <v>5697</v>
      </c>
      <c r="E344">
        <v>1</v>
      </c>
      <c r="F344" t="str">
        <f>_xlfn.XLOOKUP(C344,customers!$A$1:$A$983,customers!$B$1:$B$983,,0)</f>
        <v>Mia Garcia</v>
      </c>
      <c r="G344" t="str">
        <f>_xlfn.XLOOKUP(C344,customers!$A:$A,customers!$C:$C,,0)</f>
        <v>mia.garcia676@outlook.com</v>
      </c>
      <c r="H344" t="str">
        <f>IF(_xlfn.XLOOKUP(C344,customers!$A:$A,customers!$G:$G,,0)=0,"",_xlfn.XLOOKUP(C344,customers!$A:$A,customers!$G:$G,,0))</f>
        <v>USA</v>
      </c>
      <c r="I344" t="str">
        <f>IF(_xlfn.XLOOKUP(D344,product!$A:$A,product!$E:$E,,0)=0,"",_xlfn.XLOOKUP(D344,product!$A:$A,product!$E:$E,,0))</f>
        <v>FICTION</v>
      </c>
      <c r="J344" s="5">
        <f>IF(_xlfn.XLOOKUP(D344,product!$A:$A,product!$D:$D,,0)=0,"",_xlfn.XLOOKUP(D344,product!$A:$A,product!$D:$D,,0))</f>
        <v>12.18</v>
      </c>
      <c r="K344" s="7">
        <f t="shared" si="5"/>
        <v>12.18</v>
      </c>
      <c r="L344" s="10" t="str">
        <f>IF(_xlfn.XLOOKUP(D344,product!$A:$A,product!$F:$F,,0)=0,"",_xlfn.XLOOKUP(D344,product!$A:$A,product!$F:$F,,0))</f>
        <v>Yes</v>
      </c>
      <c r="M344" t="str">
        <f>IF(_xlfn.XLOOKUP(D344,product!$A:$A,product!G:G,,0)=0,"",_xlfn.XLOOKUP(D344,product!$A:$A,product!G:G,,0))</f>
        <v>None</v>
      </c>
      <c r="N344" t="str">
        <f>IF(_xlfn.XLOOKUP(D344,product!$A:$A,product!$B:$B,,0)=0,"",_xlfn.XLOOKUP(D344,product!$A:$A,product!$B:$B,,0))</f>
        <v>Forest Mind</v>
      </c>
    </row>
    <row r="345" spans="1:14" x14ac:dyDescent="0.35">
      <c r="A345" t="s">
        <v>1011</v>
      </c>
      <c r="B345" s="3">
        <v>45490</v>
      </c>
      <c r="C345" t="s">
        <v>2501</v>
      </c>
      <c r="D345" t="s">
        <v>5699</v>
      </c>
      <c r="E345">
        <v>1</v>
      </c>
      <c r="F345" t="str">
        <f>_xlfn.XLOOKUP(C345,customers!$A$1:$A$983,customers!$B$1:$B$983,,0)</f>
        <v>Joshua Baker</v>
      </c>
      <c r="G345" t="str">
        <f>_xlfn.XLOOKUP(C345,customers!$A:$A,customers!$C:$C,,0)</f>
        <v>joshua.baker472@yahoo.com</v>
      </c>
      <c r="H345" t="str">
        <f>IF(_xlfn.XLOOKUP(C345,customers!$A:$A,customers!$G:$G,,0)=0,"",_xlfn.XLOOKUP(C345,customers!$A:$A,customers!$G:$G,,0))</f>
        <v>Sweden</v>
      </c>
      <c r="I345" t="str">
        <f>IF(_xlfn.XLOOKUP(D345,product!$A:$A,product!$E:$E,,0)=0,"",_xlfn.XLOOKUP(D345,product!$A:$A,product!$E:$E,,0))</f>
        <v>BUSINESS</v>
      </c>
      <c r="J345" s="5">
        <f>IF(_xlfn.XLOOKUP(D345,product!$A:$A,product!$D:$D,,0)=0,"",_xlfn.XLOOKUP(D345,product!$A:$A,product!$D:$D,,0))</f>
        <v>17.66</v>
      </c>
      <c r="K345" s="7">
        <f t="shared" si="5"/>
        <v>17.66</v>
      </c>
      <c r="L345" s="10" t="str">
        <f>IF(_xlfn.XLOOKUP(D345,product!$A:$A,product!$F:$F,,0)=0,"",_xlfn.XLOOKUP(D345,product!$A:$A,product!$F:$F,,0))</f>
        <v>Yes</v>
      </c>
      <c r="M345" t="str">
        <f>IF(_xlfn.XLOOKUP(D345,product!$A:$A,product!G:G,,0)=0,"",_xlfn.XLOOKUP(D345,product!$A:$A,product!G:G,,0))</f>
        <v>None</v>
      </c>
      <c r="N345" t="str">
        <f>IF(_xlfn.XLOOKUP(D345,product!$A:$A,product!$B:$B,,0)=0,"",_xlfn.XLOOKUP(D345,product!$A:$A,product!$B:$B,,0))</f>
        <v>Data Science</v>
      </c>
    </row>
    <row r="346" spans="1:14" x14ac:dyDescent="0.35">
      <c r="A346" t="s">
        <v>1028</v>
      </c>
      <c r="B346" s="3">
        <v>45080</v>
      </c>
      <c r="C346" t="s">
        <v>1775</v>
      </c>
      <c r="D346" t="s">
        <v>5700</v>
      </c>
      <c r="E346">
        <v>1</v>
      </c>
      <c r="F346" t="str">
        <f>_xlfn.XLOOKUP(C346,customers!$A$1:$A$983,customers!$B$1:$B$983,,0)</f>
        <v>Sophia Smith</v>
      </c>
      <c r="G346" t="str">
        <f>_xlfn.XLOOKUP(C346,customers!$A:$A,customers!$C:$C,,0)</f>
        <v>sophia.smith191@yahoo.com</v>
      </c>
      <c r="H346" t="str">
        <f>IF(_xlfn.XLOOKUP(C346,customers!$A:$A,customers!$G:$G,,0)=0,"",_xlfn.XLOOKUP(C346,customers!$A:$A,customers!$G:$G,,0))</f>
        <v>UAE</v>
      </c>
      <c r="I346" t="str">
        <f>IF(_xlfn.XLOOKUP(D346,product!$A:$A,product!$E:$E,,0)=0,"",_xlfn.XLOOKUP(D346,product!$A:$A,product!$E:$E,,0))</f>
        <v>SCIENCE</v>
      </c>
      <c r="J346" s="5">
        <f>IF(_xlfn.XLOOKUP(D346,product!$A:$A,product!$D:$D,,0)=0,"",_xlfn.XLOOKUP(D346,product!$A:$A,product!$D:$D,,0))</f>
        <v>38.200000000000003</v>
      </c>
      <c r="K346" s="7">
        <f t="shared" si="5"/>
        <v>38.200000000000003</v>
      </c>
      <c r="L346" s="10" t="str">
        <f>IF(_xlfn.XLOOKUP(D346,product!$A:$A,product!$F:$F,,0)=0,"",_xlfn.XLOOKUP(D346,product!$A:$A,product!$F:$F,,0))</f>
        <v>Yes</v>
      </c>
      <c r="M346" t="str">
        <f>IF(_xlfn.XLOOKUP(D346,product!$A:$A,product!G:G,,0)=0,"",_xlfn.XLOOKUP(D346,product!$A:$A,product!G:G,,0))</f>
        <v>Silver</v>
      </c>
      <c r="N346" t="str">
        <f>IF(_xlfn.XLOOKUP(D346,product!$A:$A,product!$B:$B,,0)=0,"",_xlfn.XLOOKUP(D346,product!$A:$A,product!$B:$B,,0))</f>
        <v>Journey Science</v>
      </c>
    </row>
    <row r="347" spans="1:14" x14ac:dyDescent="0.35">
      <c r="A347" t="s">
        <v>1045</v>
      </c>
      <c r="B347" s="3">
        <v>45563</v>
      </c>
      <c r="C347" t="s">
        <v>1764</v>
      </c>
      <c r="D347" t="s">
        <v>5701</v>
      </c>
      <c r="E347">
        <v>1</v>
      </c>
      <c r="F347" t="str">
        <f>_xlfn.XLOOKUP(C347,customers!$A$1:$A$983,customers!$B$1:$B$983,,0)</f>
        <v>Jessica Clark</v>
      </c>
      <c r="G347" t="str">
        <f>_xlfn.XLOOKUP(C347,customers!$A:$A,customers!$C:$C,,0)</f>
        <v>jessica.clark188@gmail.com</v>
      </c>
      <c r="H347" t="str">
        <f>IF(_xlfn.XLOOKUP(C347,customers!$A:$A,customers!$G:$G,,0)=0,"",_xlfn.XLOOKUP(C347,customers!$A:$A,customers!$G:$G,,0))</f>
        <v>Spain</v>
      </c>
      <c r="I347" t="str">
        <f>IF(_xlfn.XLOOKUP(D347,product!$A:$A,product!$E:$E,,0)=0,"",_xlfn.XLOOKUP(D347,product!$A:$A,product!$E:$E,,0))</f>
        <v>BUSINESS</v>
      </c>
      <c r="J347" s="5">
        <f>IF(_xlfn.XLOOKUP(D347,product!$A:$A,product!$D:$D,,0)=0,"",_xlfn.XLOOKUP(D347,product!$A:$A,product!$D:$D,,0))</f>
        <v>27.37</v>
      </c>
      <c r="K347" s="7">
        <f t="shared" si="5"/>
        <v>27.37</v>
      </c>
      <c r="L347" s="10" t="str">
        <f>IF(_xlfn.XLOOKUP(D347,product!$A:$A,product!$F:$F,,0)=0,"",_xlfn.XLOOKUP(D347,product!$A:$A,product!$F:$F,,0))</f>
        <v>No</v>
      </c>
      <c r="M347" t="str">
        <f>IF(_xlfn.XLOOKUP(D347,product!$A:$A,product!G:G,,0)=0,"",_xlfn.XLOOKUP(D347,product!$A:$A,product!G:G,,0))</f>
        <v>None</v>
      </c>
      <c r="N347" t="str">
        <f>IF(_xlfn.XLOOKUP(D347,product!$A:$A,product!$B:$B,,0)=0,"",_xlfn.XLOOKUP(D347,product!$A:$A,product!$B:$B,,0))</f>
        <v>Silent Future</v>
      </c>
    </row>
    <row r="348" spans="1:14" x14ac:dyDescent="0.35">
      <c r="A348" t="s">
        <v>16</v>
      </c>
      <c r="B348" s="3">
        <v>45033</v>
      </c>
      <c r="C348" t="s">
        <v>1594</v>
      </c>
      <c r="D348" t="s">
        <v>5702</v>
      </c>
      <c r="E348">
        <v>5</v>
      </c>
      <c r="F348" t="str">
        <f>_xlfn.XLOOKUP(C348,customers!$A$1:$A$983,customers!$B$1:$B$983,,0)</f>
        <v>Lily Scott</v>
      </c>
      <c r="G348" t="str">
        <f>_xlfn.XLOOKUP(C348,customers!$A:$A,customers!$C:$C,,0)</f>
        <v>lily.scott148@gmail.com</v>
      </c>
      <c r="H348" t="str">
        <f>IF(_xlfn.XLOOKUP(C348,customers!$A:$A,customers!$G:$G,,0)=0,"",_xlfn.XLOOKUP(C348,customers!$A:$A,customers!$G:$G,,0))</f>
        <v>Sweden</v>
      </c>
      <c r="I348" t="str">
        <f>IF(_xlfn.XLOOKUP(D348,product!$A:$A,product!$E:$E,,0)=0,"",_xlfn.XLOOKUP(D348,product!$A:$A,product!$E:$E,,0))</f>
        <v>HISTORY</v>
      </c>
      <c r="J348" s="5">
        <f>IF(_xlfn.XLOOKUP(D348,product!$A:$A,product!$D:$D,,0)=0,"",_xlfn.XLOOKUP(D348,product!$A:$A,product!$D:$D,,0))</f>
        <v>25.51</v>
      </c>
      <c r="K348" s="7">
        <f t="shared" si="5"/>
        <v>127.55000000000001</v>
      </c>
      <c r="L348" s="10" t="str">
        <f>IF(_xlfn.XLOOKUP(D348,product!$A:$A,product!$F:$F,,0)=0,"",_xlfn.XLOOKUP(D348,product!$A:$A,product!$F:$F,,0))</f>
        <v>Yes</v>
      </c>
      <c r="M348" t="str">
        <f>IF(_xlfn.XLOOKUP(D348,product!$A:$A,product!G:G,,0)=0,"",_xlfn.XLOOKUP(D348,product!$A:$A,product!G:G,,0))</f>
        <v>Gold</v>
      </c>
      <c r="N348" t="str">
        <f>IF(_xlfn.XLOOKUP(D348,product!$A:$A,product!$B:$B,,0)=0,"",_xlfn.XLOOKUP(D348,product!$A:$A,product!$B:$B,,0))</f>
        <v>Power Future</v>
      </c>
    </row>
    <row r="349" spans="1:14" x14ac:dyDescent="0.35">
      <c r="A349" t="s">
        <v>32</v>
      </c>
      <c r="B349" s="3">
        <v>45297</v>
      </c>
      <c r="C349" t="s">
        <v>2742</v>
      </c>
      <c r="D349" t="s">
        <v>5703</v>
      </c>
      <c r="E349">
        <v>4</v>
      </c>
      <c r="F349" t="str">
        <f>_xlfn.XLOOKUP(C349,customers!$A$1:$A$983,customers!$B$1:$B$983,,0)</f>
        <v>Emma Anderson</v>
      </c>
      <c r="G349" t="str">
        <f>_xlfn.XLOOKUP(C349,customers!$A:$A,customers!$C:$C,,0)</f>
        <v>emma.anderson588@yahoo.com</v>
      </c>
      <c r="H349" t="str">
        <f>IF(_xlfn.XLOOKUP(C349,customers!$A:$A,customers!$G:$G,,0)=0,"",_xlfn.XLOOKUP(C349,customers!$A:$A,customers!$G:$G,,0))</f>
        <v>Japan</v>
      </c>
      <c r="I349" t="str">
        <f>IF(_xlfn.XLOOKUP(D349,product!$A:$A,product!$E:$E,,0)=0,"",_xlfn.XLOOKUP(D349,product!$A:$A,product!$E:$E,,0))</f>
        <v>TECH</v>
      </c>
      <c r="J349" s="5">
        <f>IF(_xlfn.XLOOKUP(D349,product!$A:$A,product!$D:$D,,0)=0,"",_xlfn.XLOOKUP(D349,product!$A:$A,product!$D:$D,,0))</f>
        <v>20.66</v>
      </c>
      <c r="K349" s="7">
        <f t="shared" si="5"/>
        <v>82.64</v>
      </c>
      <c r="L349" s="10" t="str">
        <f>IF(_xlfn.XLOOKUP(D349,product!$A:$A,product!$F:$F,,0)=0,"",_xlfn.XLOOKUP(D349,product!$A:$A,product!$F:$F,,0))</f>
        <v>Yes</v>
      </c>
      <c r="M349" t="str">
        <f>IF(_xlfn.XLOOKUP(D349,product!$A:$A,product!G:G,,0)=0,"",_xlfn.XLOOKUP(D349,product!$A:$A,product!G:G,,0))</f>
        <v>Platinum</v>
      </c>
      <c r="N349" t="str">
        <f>IF(_xlfn.XLOOKUP(D349,product!$A:$A,product!$B:$B,,0)=0,"",_xlfn.XLOOKUP(D349,product!$A:$A,product!$B:$B,,0))</f>
        <v>Silent Journey</v>
      </c>
    </row>
    <row r="350" spans="1:14" x14ac:dyDescent="0.35">
      <c r="A350" t="s">
        <v>49</v>
      </c>
      <c r="B350" s="3">
        <v>45212</v>
      </c>
      <c r="C350" t="s">
        <v>3526</v>
      </c>
      <c r="D350" t="s">
        <v>5704</v>
      </c>
      <c r="E350">
        <v>1</v>
      </c>
      <c r="F350" t="str">
        <f>_xlfn.XLOOKUP(C350,customers!$A$1:$A$983,customers!$B$1:$B$983,,0)</f>
        <v>Steven Adams</v>
      </c>
      <c r="G350" t="str">
        <f>_xlfn.XLOOKUP(C350,customers!$A:$A,customers!$C:$C,,0)</f>
        <v>steven.adams978@yahoo.com</v>
      </c>
      <c r="H350" t="str">
        <f>IF(_xlfn.XLOOKUP(C350,customers!$A:$A,customers!$G:$G,,0)=0,"",_xlfn.XLOOKUP(C350,customers!$A:$A,customers!$G:$G,,0))</f>
        <v>Japan</v>
      </c>
      <c r="I350" t="str">
        <f>IF(_xlfn.XLOOKUP(D350,product!$A:$A,product!$E:$E,,0)=0,"",_xlfn.XLOOKUP(D350,product!$A:$A,product!$E:$E,,0))</f>
        <v>HISTORY</v>
      </c>
      <c r="J350" s="5">
        <f>IF(_xlfn.XLOOKUP(D350,product!$A:$A,product!$D:$D,,0)=0,"",_xlfn.XLOOKUP(D350,product!$A:$A,product!$D:$D,,0))</f>
        <v>13.19</v>
      </c>
      <c r="K350" s="7">
        <f t="shared" si="5"/>
        <v>13.19</v>
      </c>
      <c r="L350" s="10" t="str">
        <f>IF(_xlfn.XLOOKUP(D350,product!$A:$A,product!$F:$F,,0)=0,"",_xlfn.XLOOKUP(D350,product!$A:$A,product!$F:$F,,0))</f>
        <v>No</v>
      </c>
      <c r="M350" t="str">
        <f>IF(_xlfn.XLOOKUP(D350,product!$A:$A,product!G:G,,0)=0,"",_xlfn.XLOOKUP(D350,product!$A:$A,product!G:G,,0))</f>
        <v>Silver</v>
      </c>
      <c r="N350" t="str">
        <f>IF(_xlfn.XLOOKUP(D350,product!$A:$A,product!$B:$B,,0)=0,"",_xlfn.XLOOKUP(D350,product!$A:$A,product!$B:$B,,0))</f>
        <v>Science Mind</v>
      </c>
    </row>
    <row r="351" spans="1:14" x14ac:dyDescent="0.35">
      <c r="A351" t="s">
        <v>136</v>
      </c>
      <c r="B351" s="3">
        <v>45618</v>
      </c>
      <c r="C351" t="s">
        <v>1968</v>
      </c>
      <c r="D351" t="s">
        <v>5705</v>
      </c>
      <c r="E351">
        <v>4</v>
      </c>
      <c r="F351" t="str">
        <f>_xlfn.XLOOKUP(C351,customers!$A$1:$A$983,customers!$B$1:$B$983,,0)</f>
        <v>Anna Jackson</v>
      </c>
      <c r="G351" t="str">
        <f>_xlfn.XLOOKUP(C351,customers!$A:$A,customers!$C:$C,,0)</f>
        <v>anna.jackson250@outlook.com</v>
      </c>
      <c r="H351" t="str">
        <f>IF(_xlfn.XLOOKUP(C351,customers!$A:$A,customers!$G:$G,,0)=0,"",_xlfn.XLOOKUP(C351,customers!$A:$A,customers!$G:$G,,0))</f>
        <v>Japan</v>
      </c>
      <c r="I351" t="str">
        <f>IF(_xlfn.XLOOKUP(D351,product!$A:$A,product!$E:$E,,0)=0,"",_xlfn.XLOOKUP(D351,product!$A:$A,product!$E:$E,,0))</f>
        <v>SCIENCE</v>
      </c>
      <c r="J351" s="5">
        <f>IF(_xlfn.XLOOKUP(D351,product!$A:$A,product!$D:$D,,0)=0,"",_xlfn.XLOOKUP(D351,product!$A:$A,product!$D:$D,,0))</f>
        <v>18.149999999999999</v>
      </c>
      <c r="K351" s="7">
        <f t="shared" si="5"/>
        <v>72.599999999999994</v>
      </c>
      <c r="L351" s="10" t="str">
        <f>IF(_xlfn.XLOOKUP(D351,product!$A:$A,product!$F:$F,,0)=0,"",_xlfn.XLOOKUP(D351,product!$A:$A,product!$F:$F,,0))</f>
        <v>No</v>
      </c>
      <c r="M351" t="str">
        <f>IF(_xlfn.XLOOKUP(D351,product!$A:$A,product!G:G,,0)=0,"",_xlfn.XLOOKUP(D351,product!$A:$A,product!G:G,,0))</f>
        <v>Platinum</v>
      </c>
      <c r="N351" t="str">
        <f>IF(_xlfn.XLOOKUP(D351,product!$A:$A,product!$B:$B,,0)=0,"",_xlfn.XLOOKUP(D351,product!$A:$A,product!$B:$B,,0))</f>
        <v>Future Forest</v>
      </c>
    </row>
    <row r="352" spans="1:14" x14ac:dyDescent="0.35">
      <c r="A352" t="s">
        <v>153</v>
      </c>
      <c r="B352" s="3">
        <v>45271</v>
      </c>
      <c r="C352" t="s">
        <v>2836</v>
      </c>
      <c r="D352" t="s">
        <v>5706</v>
      </c>
      <c r="E352">
        <v>1</v>
      </c>
      <c r="F352" t="str">
        <f>_xlfn.XLOOKUP(C352,customers!$A$1:$A$983,customers!$B$1:$B$983,,0)</f>
        <v>Lily Scott</v>
      </c>
      <c r="G352" t="str">
        <f>_xlfn.XLOOKUP(C352,customers!$A:$A,customers!$C:$C,,0)</f>
        <v>lily.scott633@hotmail.com</v>
      </c>
      <c r="H352" t="str">
        <f>IF(_xlfn.XLOOKUP(C352,customers!$A:$A,customers!$G:$G,,0)=0,"",_xlfn.XLOOKUP(C352,customers!$A:$A,customers!$G:$G,,0))</f>
        <v>Japan</v>
      </c>
      <c r="I352" t="str">
        <f>IF(_xlfn.XLOOKUP(D352,product!$A:$A,product!$E:$E,,0)=0,"",_xlfn.XLOOKUP(D352,product!$A:$A,product!$E:$E,,0))</f>
        <v>SCIENCE</v>
      </c>
      <c r="J352" s="5">
        <f>IF(_xlfn.XLOOKUP(D352,product!$A:$A,product!$D:$D,,0)=0,"",_xlfn.XLOOKUP(D352,product!$A:$A,product!$D:$D,,0))</f>
        <v>33.33</v>
      </c>
      <c r="K352" s="7">
        <f t="shared" si="5"/>
        <v>33.33</v>
      </c>
      <c r="L352" s="10" t="str">
        <f>IF(_xlfn.XLOOKUP(D352,product!$A:$A,product!$F:$F,,0)=0,"",_xlfn.XLOOKUP(D352,product!$A:$A,product!$F:$F,,0))</f>
        <v>Yes</v>
      </c>
      <c r="M352" t="str">
        <f>IF(_xlfn.XLOOKUP(D352,product!$A:$A,product!G:G,,0)=0,"",_xlfn.XLOOKUP(D352,product!$A:$A,product!G:G,,0))</f>
        <v>None</v>
      </c>
      <c r="N352" t="str">
        <f>IF(_xlfn.XLOOKUP(D352,product!$A:$A,product!$B:$B,,0)=0,"",_xlfn.XLOOKUP(D352,product!$A:$A,product!$B:$B,,0))</f>
        <v>Quantum Silent</v>
      </c>
    </row>
    <row r="353" spans="1:14" x14ac:dyDescent="0.35">
      <c r="A353" t="s">
        <v>170</v>
      </c>
      <c r="B353" s="3">
        <v>45373</v>
      </c>
      <c r="C353" t="s">
        <v>2691</v>
      </c>
      <c r="D353" t="s">
        <v>5707</v>
      </c>
      <c r="E353">
        <v>4</v>
      </c>
      <c r="F353" t="str">
        <f>_xlfn.XLOOKUP(C353,customers!$A$1:$A$983,customers!$B$1:$B$983,,0)</f>
        <v>Olivia Baker</v>
      </c>
      <c r="G353" t="str">
        <f>_xlfn.XLOOKUP(C353,customers!$A:$A,customers!$C:$C,,0)</f>
        <v>olivia.baker564@gmail.com</v>
      </c>
      <c r="H353" t="str">
        <f>IF(_xlfn.XLOOKUP(C353,customers!$A:$A,customers!$G:$G,,0)=0,"",_xlfn.XLOOKUP(C353,customers!$A:$A,customers!$G:$G,,0))</f>
        <v>Spain</v>
      </c>
      <c r="I353" t="str">
        <f>IF(_xlfn.XLOOKUP(D353,product!$A:$A,product!$E:$E,,0)=0,"",_xlfn.XLOOKUP(D353,product!$A:$A,product!$E:$E,,0))</f>
        <v>FICTION</v>
      </c>
      <c r="J353" s="5">
        <f>IF(_xlfn.XLOOKUP(D353,product!$A:$A,product!$D:$D,,0)=0,"",_xlfn.XLOOKUP(D353,product!$A:$A,product!$D:$D,,0))</f>
        <v>37.15</v>
      </c>
      <c r="K353" s="7">
        <f t="shared" si="5"/>
        <v>148.6</v>
      </c>
      <c r="L353" s="10" t="str">
        <f>IF(_xlfn.XLOOKUP(D353,product!$A:$A,product!$F:$F,,0)=0,"",_xlfn.XLOOKUP(D353,product!$A:$A,product!$F:$F,,0))</f>
        <v>Yes</v>
      </c>
      <c r="M353" t="str">
        <f>IF(_xlfn.XLOOKUP(D353,product!$A:$A,product!G:G,,0)=0,"",_xlfn.XLOOKUP(D353,product!$A:$A,product!G:G,,0))</f>
        <v>Silver</v>
      </c>
      <c r="N353" t="str">
        <f>IF(_xlfn.XLOOKUP(D353,product!$A:$A,product!$B:$B,,0)=0,"",_xlfn.XLOOKUP(D353,product!$A:$A,product!$B:$B,,0))</f>
        <v>Data Future</v>
      </c>
    </row>
    <row r="354" spans="1:14" x14ac:dyDescent="0.35">
      <c r="A354" t="s">
        <v>187</v>
      </c>
      <c r="B354" s="3">
        <v>44976</v>
      </c>
      <c r="C354" t="s">
        <v>2870</v>
      </c>
      <c r="D354" t="s">
        <v>5708</v>
      </c>
      <c r="E354">
        <v>4</v>
      </c>
      <c r="F354" t="str">
        <f>_xlfn.XLOOKUP(C354,customers!$A$1:$A$983,customers!$B$1:$B$983,,0)</f>
        <v>Sarah Baker</v>
      </c>
      <c r="G354" t="str">
        <f>_xlfn.XLOOKUP(C354,customers!$A:$A,customers!$C:$C,,0)</f>
        <v>sarah.baker650@yahoo.com</v>
      </c>
      <c r="H354" t="str">
        <f>IF(_xlfn.XLOOKUP(C354,customers!$A:$A,customers!$G:$G,,0)=0,"",_xlfn.XLOOKUP(C354,customers!$A:$A,customers!$G:$G,,0))</f>
        <v>UAE</v>
      </c>
      <c r="I354" t="str">
        <f>IF(_xlfn.XLOOKUP(D354,product!$A:$A,product!$E:$E,,0)=0,"",_xlfn.XLOOKUP(D354,product!$A:$A,product!$E:$E,,0))</f>
        <v>SCIENCE</v>
      </c>
      <c r="J354" s="5">
        <f>IF(_xlfn.XLOOKUP(D354,product!$A:$A,product!$D:$D,,0)=0,"",_xlfn.XLOOKUP(D354,product!$A:$A,product!$D:$D,,0))</f>
        <v>37.950000000000003</v>
      </c>
      <c r="K354" s="7">
        <f t="shared" si="5"/>
        <v>151.80000000000001</v>
      </c>
      <c r="L354" s="10" t="str">
        <f>IF(_xlfn.XLOOKUP(D354,product!$A:$A,product!$F:$F,,0)=0,"",_xlfn.XLOOKUP(D354,product!$A:$A,product!$F:$F,,0))</f>
        <v>No</v>
      </c>
      <c r="M354" t="str">
        <f>IF(_xlfn.XLOOKUP(D354,product!$A:$A,product!G:G,,0)=0,"",_xlfn.XLOOKUP(D354,product!$A:$A,product!G:G,,0))</f>
        <v>Gold</v>
      </c>
      <c r="N354" t="str">
        <f>IF(_xlfn.XLOOKUP(D354,product!$A:$A,product!$B:$B,,0)=0,"",_xlfn.XLOOKUP(D354,product!$A:$A,product!$B:$B,,0))</f>
        <v>Future Science</v>
      </c>
    </row>
    <row r="355" spans="1:14" x14ac:dyDescent="0.35">
      <c r="A355" t="s">
        <v>204</v>
      </c>
      <c r="B355" s="3">
        <v>45446</v>
      </c>
      <c r="C355" t="s">
        <v>3153</v>
      </c>
      <c r="D355" t="s">
        <v>5709</v>
      </c>
      <c r="E355">
        <v>4</v>
      </c>
      <c r="F355" t="str">
        <f>_xlfn.XLOOKUP(C355,customers!$A$1:$A$983,customers!$B$1:$B$983,,0)</f>
        <v>Daniel Martin</v>
      </c>
      <c r="G355" t="str">
        <f>_xlfn.XLOOKUP(C355,customers!$A:$A,customers!$C:$C,,0)</f>
        <v>daniel.martin789@gmail.com</v>
      </c>
      <c r="H355" t="str">
        <f>IF(_xlfn.XLOOKUP(C355,customers!$A:$A,customers!$G:$G,,0)=0,"",_xlfn.XLOOKUP(C355,customers!$A:$A,customers!$G:$G,,0))</f>
        <v>Spain</v>
      </c>
      <c r="I355" t="str">
        <f>IF(_xlfn.XLOOKUP(D355,product!$A:$A,product!$E:$E,,0)=0,"",_xlfn.XLOOKUP(D355,product!$A:$A,product!$E:$E,,0))</f>
        <v>SCIENCE</v>
      </c>
      <c r="J355" s="5">
        <f>IF(_xlfn.XLOOKUP(D355,product!$A:$A,product!$D:$D,,0)=0,"",_xlfn.XLOOKUP(D355,product!$A:$A,product!$D:$D,,0))</f>
        <v>19.79</v>
      </c>
      <c r="K355" s="7">
        <f t="shared" si="5"/>
        <v>79.16</v>
      </c>
      <c r="L355" s="10" t="str">
        <f>IF(_xlfn.XLOOKUP(D355,product!$A:$A,product!$F:$F,,0)=0,"",_xlfn.XLOOKUP(D355,product!$A:$A,product!$F:$F,,0))</f>
        <v>No</v>
      </c>
      <c r="M355" t="str">
        <f>IF(_xlfn.XLOOKUP(D355,product!$A:$A,product!G:G,,0)=0,"",_xlfn.XLOOKUP(D355,product!$A:$A,product!G:G,,0))</f>
        <v>Silver</v>
      </c>
      <c r="N355" t="str">
        <f>IF(_xlfn.XLOOKUP(D355,product!$A:$A,product!$B:$B,,0)=0,"",_xlfn.XLOOKUP(D355,product!$A:$A,product!$B:$B,,0))</f>
        <v>Silent Journey</v>
      </c>
    </row>
    <row r="356" spans="1:14" x14ac:dyDescent="0.35">
      <c r="A356" t="s">
        <v>221</v>
      </c>
      <c r="B356" s="3">
        <v>45057</v>
      </c>
      <c r="C356" t="s">
        <v>2336</v>
      </c>
      <c r="D356" t="s">
        <v>5710</v>
      </c>
      <c r="E356">
        <v>4</v>
      </c>
      <c r="F356" t="str">
        <f>_xlfn.XLOOKUP(C356,customers!$A$1:$A$983,customers!$B$1:$B$983,,0)</f>
        <v>Emma Clark</v>
      </c>
      <c r="G356" t="str">
        <f>_xlfn.XLOOKUP(C356,customers!$A:$A,customers!$C:$C,,0)</f>
        <v>emma.clark396@yahoo.com</v>
      </c>
      <c r="H356" t="str">
        <f>IF(_xlfn.XLOOKUP(C356,customers!$A:$A,customers!$G:$G,,0)=0,"",_xlfn.XLOOKUP(C356,customers!$A:$A,customers!$G:$G,,0))</f>
        <v>Germany</v>
      </c>
      <c r="I356" t="str">
        <f>IF(_xlfn.XLOOKUP(D356,product!$A:$A,product!$E:$E,,0)=0,"",_xlfn.XLOOKUP(D356,product!$A:$A,product!$E:$E,,0))</f>
        <v>TECH</v>
      </c>
      <c r="J356" s="5">
        <f>IF(_xlfn.XLOOKUP(D356,product!$A:$A,product!$D:$D,,0)=0,"",_xlfn.XLOOKUP(D356,product!$A:$A,product!$D:$D,,0))</f>
        <v>29.58</v>
      </c>
      <c r="K356" s="7">
        <f t="shared" si="5"/>
        <v>118.32</v>
      </c>
      <c r="L356" s="10" t="str">
        <f>IF(_xlfn.XLOOKUP(D356,product!$A:$A,product!$F:$F,,0)=0,"",_xlfn.XLOOKUP(D356,product!$A:$A,product!$F:$F,,0))</f>
        <v>Yes</v>
      </c>
      <c r="M356" t="str">
        <f>IF(_xlfn.XLOOKUP(D356,product!$A:$A,product!G:G,,0)=0,"",_xlfn.XLOOKUP(D356,product!$A:$A,product!G:G,,0))</f>
        <v>None</v>
      </c>
      <c r="N356" t="str">
        <f>IF(_xlfn.XLOOKUP(D356,product!$A:$A,product!$B:$B,,0)=0,"",_xlfn.XLOOKUP(D356,product!$A:$A,product!$B:$B,,0))</f>
        <v>Mind Power</v>
      </c>
    </row>
    <row r="357" spans="1:14" x14ac:dyDescent="0.35">
      <c r="A357" t="s">
        <v>238</v>
      </c>
      <c r="B357" s="3">
        <v>45584</v>
      </c>
      <c r="C357" t="s">
        <v>1570</v>
      </c>
      <c r="D357" t="s">
        <v>5711</v>
      </c>
      <c r="E357">
        <v>4</v>
      </c>
      <c r="F357" t="str">
        <f>_xlfn.XLOOKUP(C357,customers!$A$1:$A$983,customers!$B$1:$B$983,,0)</f>
        <v>Edward Baker</v>
      </c>
      <c r="G357" t="str">
        <f>_xlfn.XLOOKUP(C357,customers!$A:$A,customers!$C:$C,,0)</f>
        <v>edward.baker142@gmail.com</v>
      </c>
      <c r="H357" t="str">
        <f>IF(_xlfn.XLOOKUP(C357,customers!$A:$A,customers!$G:$G,,0)=0,"",_xlfn.XLOOKUP(C357,customers!$A:$A,customers!$G:$G,,0))</f>
        <v>Japan</v>
      </c>
      <c r="I357" t="str">
        <f>IF(_xlfn.XLOOKUP(D357,product!$A:$A,product!$E:$E,,0)=0,"",_xlfn.XLOOKUP(D357,product!$A:$A,product!$E:$E,,0))</f>
        <v>HISTORY</v>
      </c>
      <c r="J357" s="5">
        <f>IF(_xlfn.XLOOKUP(D357,product!$A:$A,product!$D:$D,,0)=0,"",_xlfn.XLOOKUP(D357,product!$A:$A,product!$D:$D,,0))</f>
        <v>31.06</v>
      </c>
      <c r="K357" s="7">
        <f t="shared" si="5"/>
        <v>124.24</v>
      </c>
      <c r="L357" s="10" t="str">
        <f>IF(_xlfn.XLOOKUP(D357,product!$A:$A,product!$F:$F,,0)=0,"",_xlfn.XLOOKUP(D357,product!$A:$A,product!$F:$F,,0))</f>
        <v>No</v>
      </c>
      <c r="M357" t="str">
        <f>IF(_xlfn.XLOOKUP(D357,product!$A:$A,product!G:G,,0)=0,"",_xlfn.XLOOKUP(D357,product!$A:$A,product!G:G,,0))</f>
        <v>Silver</v>
      </c>
      <c r="N357" t="str">
        <f>IF(_xlfn.XLOOKUP(D357,product!$A:$A,product!$B:$B,,0)=0,"",_xlfn.XLOOKUP(D357,product!$A:$A,product!$B:$B,,0))</f>
        <v>Secrets Power</v>
      </c>
    </row>
    <row r="358" spans="1:14" x14ac:dyDescent="0.35">
      <c r="A358" t="s">
        <v>255</v>
      </c>
      <c r="B358" s="3">
        <v>45115</v>
      </c>
      <c r="C358" t="s">
        <v>2714</v>
      </c>
      <c r="D358" t="s">
        <v>5712</v>
      </c>
      <c r="E358">
        <v>4</v>
      </c>
      <c r="F358" t="str">
        <f>_xlfn.XLOOKUP(C358,customers!$A$1:$A$983,customers!$B$1:$B$983,,0)</f>
        <v>Jessica White</v>
      </c>
      <c r="G358" t="str">
        <f>_xlfn.XLOOKUP(C358,customers!$A:$A,customers!$C:$C,,0)</f>
        <v>jessica.white575@yahoo.com</v>
      </c>
      <c r="H358" t="str">
        <f>IF(_xlfn.XLOOKUP(C358,customers!$A:$A,customers!$G:$G,,0)=0,"",_xlfn.XLOOKUP(C358,customers!$A:$A,customers!$G:$G,,0))</f>
        <v>Spain</v>
      </c>
      <c r="I358" t="str">
        <f>IF(_xlfn.XLOOKUP(D358,product!$A:$A,product!$E:$E,,0)=0,"",_xlfn.XLOOKUP(D358,product!$A:$A,product!$E:$E,,0))</f>
        <v>SCIENCE</v>
      </c>
      <c r="J358" s="5">
        <f>IF(_xlfn.XLOOKUP(D358,product!$A:$A,product!$D:$D,,0)=0,"",_xlfn.XLOOKUP(D358,product!$A:$A,product!$D:$D,,0))</f>
        <v>14.98</v>
      </c>
      <c r="K358" s="7">
        <f t="shared" si="5"/>
        <v>59.92</v>
      </c>
      <c r="L358" s="10" t="str">
        <f>IF(_xlfn.XLOOKUP(D358,product!$A:$A,product!$F:$F,,0)=0,"",_xlfn.XLOOKUP(D358,product!$A:$A,product!$F:$F,,0))</f>
        <v>No</v>
      </c>
      <c r="M358" t="str">
        <f>IF(_xlfn.XLOOKUP(D358,product!$A:$A,product!G:G,,0)=0,"",_xlfn.XLOOKUP(D358,product!$A:$A,product!G:G,,0))</f>
        <v>Silver</v>
      </c>
      <c r="N358" t="str">
        <f>IF(_xlfn.XLOOKUP(D358,product!$A:$A,product!$B:$B,,0)=0,"",_xlfn.XLOOKUP(D358,product!$A:$A,product!$B:$B,,0))</f>
        <v>Data Forest</v>
      </c>
    </row>
    <row r="359" spans="1:14" x14ac:dyDescent="0.35">
      <c r="A359" t="s">
        <v>272</v>
      </c>
      <c r="B359" s="3">
        <v>45512</v>
      </c>
      <c r="C359" t="s">
        <v>1757</v>
      </c>
      <c r="D359" t="s">
        <v>5713</v>
      </c>
      <c r="E359">
        <v>4</v>
      </c>
      <c r="F359" t="str">
        <f>_xlfn.XLOOKUP(C359,customers!$A$1:$A$983,customers!$B$1:$B$983,,0)</f>
        <v>Brian Thompson</v>
      </c>
      <c r="G359" t="str">
        <f>_xlfn.XLOOKUP(C359,customers!$A:$A,customers!$C:$C,,0)</f>
        <v>brian.thompson186@hotmail.com</v>
      </c>
      <c r="H359" t="str">
        <f>IF(_xlfn.XLOOKUP(C359,customers!$A:$A,customers!$G:$G,,0)=0,"",_xlfn.XLOOKUP(C359,customers!$A:$A,customers!$G:$G,,0))</f>
        <v>Spain</v>
      </c>
      <c r="I359" t="str">
        <f>IF(_xlfn.XLOOKUP(D359,product!$A:$A,product!$E:$E,,0)=0,"",_xlfn.XLOOKUP(D359,product!$A:$A,product!$E:$E,,0))</f>
        <v>SCIENCE</v>
      </c>
      <c r="J359" s="5">
        <f>IF(_xlfn.XLOOKUP(D359,product!$A:$A,product!$D:$D,,0)=0,"",_xlfn.XLOOKUP(D359,product!$A:$A,product!$D:$D,,0))</f>
        <v>27.12</v>
      </c>
      <c r="K359" s="7">
        <f t="shared" si="5"/>
        <v>108.48</v>
      </c>
      <c r="L359" s="10" t="str">
        <f>IF(_xlfn.XLOOKUP(D359,product!$A:$A,product!$F:$F,,0)=0,"",_xlfn.XLOOKUP(D359,product!$A:$A,product!$F:$F,,0))</f>
        <v>No</v>
      </c>
      <c r="M359" t="str">
        <f>IF(_xlfn.XLOOKUP(D359,product!$A:$A,product!G:G,,0)=0,"",_xlfn.XLOOKUP(D359,product!$A:$A,product!G:G,,0))</f>
        <v>Silver</v>
      </c>
      <c r="N359" t="str">
        <f>IF(_xlfn.XLOOKUP(D359,product!$A:$A,product!$B:$B,,0)=0,"",_xlfn.XLOOKUP(D359,product!$A:$A,product!$B:$B,,0))</f>
        <v>Forest Secrets</v>
      </c>
    </row>
    <row r="360" spans="1:14" x14ac:dyDescent="0.35">
      <c r="A360" t="s">
        <v>289</v>
      </c>
      <c r="B360" s="3">
        <v>44955</v>
      </c>
      <c r="C360" t="s">
        <v>3232</v>
      </c>
      <c r="D360" t="s">
        <v>5714</v>
      </c>
      <c r="E360">
        <v>4</v>
      </c>
      <c r="F360" t="str">
        <f>_xlfn.XLOOKUP(C360,customers!$A$1:$A$983,customers!$B$1:$B$983,,0)</f>
        <v>Sophia Clark</v>
      </c>
      <c r="G360" t="str">
        <f>_xlfn.XLOOKUP(C360,customers!$A:$A,customers!$C:$C,,0)</f>
        <v>sophia.clark829@outlook.com</v>
      </c>
      <c r="H360" t="str">
        <f>IF(_xlfn.XLOOKUP(C360,customers!$A:$A,customers!$G:$G,,0)=0,"",_xlfn.XLOOKUP(C360,customers!$A:$A,customers!$G:$G,,0))</f>
        <v>Canada</v>
      </c>
      <c r="I360" t="str">
        <f>IF(_xlfn.XLOOKUP(D360,product!$A:$A,product!$E:$E,,0)=0,"",_xlfn.XLOOKUP(D360,product!$A:$A,product!$E:$E,,0))</f>
        <v>FICTION</v>
      </c>
      <c r="J360" s="5">
        <f>IF(_xlfn.XLOOKUP(D360,product!$A:$A,product!$D:$D,,0)=0,"",_xlfn.XLOOKUP(D360,product!$A:$A,product!$D:$D,,0))</f>
        <v>34.270000000000003</v>
      </c>
      <c r="K360" s="7">
        <f t="shared" si="5"/>
        <v>137.08000000000001</v>
      </c>
      <c r="L360" s="10" t="str">
        <f>IF(_xlfn.XLOOKUP(D360,product!$A:$A,product!$F:$F,,0)=0,"",_xlfn.XLOOKUP(D360,product!$A:$A,product!$F:$F,,0))</f>
        <v>Yes</v>
      </c>
      <c r="M360" t="str">
        <f>IF(_xlfn.XLOOKUP(D360,product!$A:$A,product!G:G,,0)=0,"",_xlfn.XLOOKUP(D360,product!$A:$A,product!G:G,,0))</f>
        <v>None</v>
      </c>
      <c r="N360" t="str">
        <f>IF(_xlfn.XLOOKUP(D360,product!$A:$A,product!$B:$B,,0)=0,"",_xlfn.XLOOKUP(D360,product!$A:$A,product!$B:$B,,0))</f>
        <v>Forest Future</v>
      </c>
    </row>
    <row r="361" spans="1:14" x14ac:dyDescent="0.35">
      <c r="A361" t="s">
        <v>306</v>
      </c>
      <c r="B361" s="3">
        <v>45405</v>
      </c>
      <c r="C361" t="s">
        <v>3354</v>
      </c>
      <c r="D361" t="s">
        <v>5715</v>
      </c>
      <c r="E361">
        <v>4</v>
      </c>
      <c r="F361" t="str">
        <f>_xlfn.XLOOKUP(C361,customers!$A$1:$A$983,customers!$B$1:$B$983,,0)</f>
        <v>Mark Jackson</v>
      </c>
      <c r="G361" t="str">
        <f>_xlfn.XLOOKUP(C361,customers!$A:$A,customers!$C:$C,,0)</f>
        <v>mark.jackson891@hotmail.com</v>
      </c>
      <c r="H361" t="str">
        <f>IF(_xlfn.XLOOKUP(C361,customers!$A:$A,customers!$G:$G,,0)=0,"",_xlfn.XLOOKUP(C361,customers!$A:$A,customers!$G:$G,,0))</f>
        <v>Portugal</v>
      </c>
      <c r="I361" t="str">
        <f>IF(_xlfn.XLOOKUP(D361,product!$A:$A,product!$E:$E,,0)=0,"",_xlfn.XLOOKUP(D361,product!$A:$A,product!$E:$E,,0))</f>
        <v>SCIENCE</v>
      </c>
      <c r="J361" s="5">
        <f>IF(_xlfn.XLOOKUP(D361,product!$A:$A,product!$D:$D,,0)=0,"",_xlfn.XLOOKUP(D361,product!$A:$A,product!$D:$D,,0))</f>
        <v>35.520000000000003</v>
      </c>
      <c r="K361" s="7">
        <f t="shared" si="5"/>
        <v>142.08000000000001</v>
      </c>
      <c r="L361" s="10" t="str">
        <f>IF(_xlfn.XLOOKUP(D361,product!$A:$A,product!$F:$F,,0)=0,"",_xlfn.XLOOKUP(D361,product!$A:$A,product!$F:$F,,0))</f>
        <v>Yes</v>
      </c>
      <c r="M361" t="str">
        <f>IF(_xlfn.XLOOKUP(D361,product!$A:$A,product!G:G,,0)=0,"",_xlfn.XLOOKUP(D361,product!$A:$A,product!G:G,,0))</f>
        <v>Silver</v>
      </c>
      <c r="N361" t="str">
        <f>IF(_xlfn.XLOOKUP(D361,product!$A:$A,product!$B:$B,,0)=0,"",_xlfn.XLOOKUP(D361,product!$A:$A,product!$B:$B,,0))</f>
        <v>Mind Forest</v>
      </c>
    </row>
    <row r="362" spans="1:14" x14ac:dyDescent="0.35">
      <c r="A362" t="s">
        <v>323</v>
      </c>
      <c r="B362" s="3">
        <v>45178</v>
      </c>
      <c r="C362" t="s">
        <v>3269</v>
      </c>
      <c r="D362" t="s">
        <v>5716</v>
      </c>
      <c r="E362">
        <v>4</v>
      </c>
      <c r="F362" t="str">
        <f>_xlfn.XLOOKUP(C362,customers!$A$1:$A$983,customers!$B$1:$B$983,,0)</f>
        <v>Robert Lopez</v>
      </c>
      <c r="G362" t="str">
        <f>_xlfn.XLOOKUP(C362,customers!$A:$A,customers!$C:$C,,0)</f>
        <v>robert.lopez848@gmail.com</v>
      </c>
      <c r="H362" t="str">
        <f>IF(_xlfn.XLOOKUP(C362,customers!$A:$A,customers!$G:$G,,0)=0,"",_xlfn.XLOOKUP(C362,customers!$A:$A,customers!$G:$G,,0))</f>
        <v>Japan</v>
      </c>
      <c r="I362" t="str">
        <f>IF(_xlfn.XLOOKUP(D362,product!$A:$A,product!$E:$E,,0)=0,"",_xlfn.XLOOKUP(D362,product!$A:$A,product!$E:$E,,0))</f>
        <v>SCIENCE</v>
      </c>
      <c r="J362" s="5">
        <f>IF(_xlfn.XLOOKUP(D362,product!$A:$A,product!$D:$D,,0)=0,"",_xlfn.XLOOKUP(D362,product!$A:$A,product!$D:$D,,0))</f>
        <v>23.33</v>
      </c>
      <c r="K362" s="7">
        <f t="shared" si="5"/>
        <v>93.32</v>
      </c>
      <c r="L362" s="10" t="str">
        <f>IF(_xlfn.XLOOKUP(D362,product!$A:$A,product!$F:$F,,0)=0,"",_xlfn.XLOOKUP(D362,product!$A:$A,product!$F:$F,,0))</f>
        <v>Yes</v>
      </c>
      <c r="M362" t="str">
        <f>IF(_xlfn.XLOOKUP(D362,product!$A:$A,product!G:G,,0)=0,"",_xlfn.XLOOKUP(D362,product!$A:$A,product!G:G,,0))</f>
        <v>Silver</v>
      </c>
      <c r="N362" t="str">
        <f>IF(_xlfn.XLOOKUP(D362,product!$A:$A,product!$B:$B,,0)=0,"",_xlfn.XLOOKUP(D362,product!$A:$A,product!$B:$B,,0))</f>
        <v>Science Future</v>
      </c>
    </row>
    <row r="363" spans="1:14" x14ac:dyDescent="0.35">
      <c r="A363" t="s">
        <v>340</v>
      </c>
      <c r="B363" s="3">
        <v>45655</v>
      </c>
      <c r="C363" t="s">
        <v>1880</v>
      </c>
      <c r="D363" t="s">
        <v>5717</v>
      </c>
      <c r="E363">
        <v>4</v>
      </c>
      <c r="F363" t="str">
        <f>_xlfn.XLOOKUP(C363,customers!$A$1:$A$983,customers!$B$1:$B$983,,0)</f>
        <v>James Brown</v>
      </c>
      <c r="G363" t="str">
        <f>_xlfn.XLOOKUP(C363,customers!$A:$A,customers!$C:$C,,0)</f>
        <v>james.brown223@hotmail.com</v>
      </c>
      <c r="H363" t="str">
        <f>IF(_xlfn.XLOOKUP(C363,customers!$A:$A,customers!$G:$G,,0)=0,"",_xlfn.XLOOKUP(C363,customers!$A:$A,customers!$G:$G,,0))</f>
        <v>Japan</v>
      </c>
      <c r="I363" t="str">
        <f>IF(_xlfn.XLOOKUP(D363,product!$A:$A,product!$E:$E,,0)=0,"",_xlfn.XLOOKUP(D363,product!$A:$A,product!$E:$E,,0))</f>
        <v>SCIENCE</v>
      </c>
      <c r="J363" s="5">
        <f>IF(_xlfn.XLOOKUP(D363,product!$A:$A,product!$D:$D,,0)=0,"",_xlfn.XLOOKUP(D363,product!$A:$A,product!$D:$D,,0))</f>
        <v>11.94</v>
      </c>
      <c r="K363" s="7">
        <f t="shared" si="5"/>
        <v>47.76</v>
      </c>
      <c r="L363" s="10" t="str">
        <f>IF(_xlfn.XLOOKUP(D363,product!$A:$A,product!$F:$F,,0)=0,"",_xlfn.XLOOKUP(D363,product!$A:$A,product!$F:$F,,0))</f>
        <v>Yes</v>
      </c>
      <c r="M363" t="str">
        <f>IF(_xlfn.XLOOKUP(D363,product!$A:$A,product!G:G,,0)=0,"",_xlfn.XLOOKUP(D363,product!$A:$A,product!G:G,,0))</f>
        <v>Silver</v>
      </c>
      <c r="N363" t="str">
        <f>IF(_xlfn.XLOOKUP(D363,product!$A:$A,product!$B:$B,,0)=0,"",_xlfn.XLOOKUP(D363,product!$A:$A,product!$B:$B,,0))</f>
        <v>Mind Science</v>
      </c>
    </row>
    <row r="364" spans="1:14" x14ac:dyDescent="0.35">
      <c r="A364" t="s">
        <v>357</v>
      </c>
      <c r="B364" s="3">
        <v>44996</v>
      </c>
      <c r="C364" t="s">
        <v>3020</v>
      </c>
      <c r="D364" t="s">
        <v>5718</v>
      </c>
      <c r="E364">
        <v>4</v>
      </c>
      <c r="F364" t="str">
        <f>_xlfn.XLOOKUP(C364,customers!$A$1:$A$983,customers!$B$1:$B$983,,0)</f>
        <v>George Thompson</v>
      </c>
      <c r="G364" t="str">
        <f>_xlfn.XLOOKUP(C364,customers!$A:$A,customers!$C:$C,,0)</f>
        <v>george.thompson723@outlook.com</v>
      </c>
      <c r="H364" t="str">
        <f>IF(_xlfn.XLOOKUP(C364,customers!$A:$A,customers!$G:$G,,0)=0,"",_xlfn.XLOOKUP(C364,customers!$A:$A,customers!$G:$G,,0))</f>
        <v>Japan</v>
      </c>
      <c r="I364" t="str">
        <f>IF(_xlfn.XLOOKUP(D364,product!$A:$A,product!$E:$E,,0)=0,"",_xlfn.XLOOKUP(D364,product!$A:$A,product!$E:$E,,0))</f>
        <v>FICTION</v>
      </c>
      <c r="J364" s="5">
        <f>IF(_xlfn.XLOOKUP(D364,product!$A:$A,product!$D:$D,,0)=0,"",_xlfn.XLOOKUP(D364,product!$A:$A,product!$D:$D,,0))</f>
        <v>16.440000000000001</v>
      </c>
      <c r="K364" s="7">
        <f t="shared" si="5"/>
        <v>65.760000000000005</v>
      </c>
      <c r="L364" s="10" t="str">
        <f>IF(_xlfn.XLOOKUP(D364,product!$A:$A,product!$F:$F,,0)=0,"",_xlfn.XLOOKUP(D364,product!$A:$A,product!$F:$F,,0))</f>
        <v>Yes</v>
      </c>
      <c r="M364" t="str">
        <f>IF(_xlfn.XLOOKUP(D364,product!$A:$A,product!G:G,,0)=0,"",_xlfn.XLOOKUP(D364,product!$A:$A,product!G:G,,0))</f>
        <v>None</v>
      </c>
      <c r="N364" t="str">
        <f>IF(_xlfn.XLOOKUP(D364,product!$A:$A,product!$B:$B,,0)=0,"",_xlfn.XLOOKUP(D364,product!$A:$A,product!$B:$B,,0))</f>
        <v>Forest Power</v>
      </c>
    </row>
    <row r="365" spans="1:14" x14ac:dyDescent="0.35">
      <c r="A365" t="s">
        <v>374</v>
      </c>
      <c r="B365" s="3">
        <v>45324</v>
      </c>
      <c r="C365" t="s">
        <v>1379</v>
      </c>
      <c r="D365" t="s">
        <v>5719</v>
      </c>
      <c r="E365">
        <v>4</v>
      </c>
      <c r="F365" t="str">
        <f>_xlfn.XLOOKUP(C365,customers!$A$1:$A$983,customers!$B$1:$B$983,,0)</f>
        <v>Andrew Smith</v>
      </c>
      <c r="G365" t="str">
        <f>_xlfn.XLOOKUP(C365,customers!$A:$A,customers!$C:$C,,0)</f>
        <v>andrew.smith86@hotmail.com</v>
      </c>
      <c r="H365" t="str">
        <f>IF(_xlfn.XLOOKUP(C365,customers!$A:$A,customers!$G:$G,,0)=0,"",_xlfn.XLOOKUP(C365,customers!$A:$A,customers!$G:$G,,0))</f>
        <v>Egypt</v>
      </c>
      <c r="I365" t="str">
        <f>IF(_xlfn.XLOOKUP(D365,product!$A:$A,product!$E:$E,,0)=0,"",_xlfn.XLOOKUP(D365,product!$A:$A,product!$E:$E,,0))</f>
        <v>SCIENCE</v>
      </c>
      <c r="J365" s="5">
        <f>IF(_xlfn.XLOOKUP(D365,product!$A:$A,product!$D:$D,,0)=0,"",_xlfn.XLOOKUP(D365,product!$A:$A,product!$D:$D,,0))</f>
        <v>21.75</v>
      </c>
      <c r="K365" s="7">
        <f t="shared" si="5"/>
        <v>87</v>
      </c>
      <c r="L365" s="10" t="str">
        <f>IF(_xlfn.XLOOKUP(D365,product!$A:$A,product!$F:$F,,0)=0,"",_xlfn.XLOOKUP(D365,product!$A:$A,product!$F:$F,,0))</f>
        <v>No</v>
      </c>
      <c r="M365" t="str">
        <f>IF(_xlfn.XLOOKUP(D365,product!$A:$A,product!G:G,,0)=0,"",_xlfn.XLOOKUP(D365,product!$A:$A,product!G:G,,0))</f>
        <v>Silver</v>
      </c>
      <c r="N365" t="str">
        <f>IF(_xlfn.XLOOKUP(D365,product!$A:$A,product!$B:$B,,0)=0,"",_xlfn.XLOOKUP(D365,product!$A:$A,product!$B:$B,,0))</f>
        <v>Secrets Power</v>
      </c>
    </row>
    <row r="366" spans="1:14" x14ac:dyDescent="0.35">
      <c r="A366" t="s">
        <v>391</v>
      </c>
      <c r="B366" s="3">
        <v>45166</v>
      </c>
      <c r="C366" t="s">
        <v>3396</v>
      </c>
      <c r="D366" t="s">
        <v>5720</v>
      </c>
      <c r="E366">
        <v>4</v>
      </c>
      <c r="F366" t="str">
        <f>_xlfn.XLOOKUP(C366,customers!$A$1:$A$983,customers!$B$1:$B$983,,0)</f>
        <v>Ella White</v>
      </c>
      <c r="G366" t="str">
        <f>_xlfn.XLOOKUP(C366,customers!$A:$A,customers!$C:$C,,0)</f>
        <v>ella.white912@hotmail.com</v>
      </c>
      <c r="H366" t="str">
        <f>IF(_xlfn.XLOOKUP(C366,customers!$A:$A,customers!$G:$G,,0)=0,"",_xlfn.XLOOKUP(C366,customers!$A:$A,customers!$G:$G,,0))</f>
        <v>Japan</v>
      </c>
      <c r="I366" t="str">
        <f>IF(_xlfn.XLOOKUP(D366,product!$A:$A,product!$E:$E,,0)=0,"",_xlfn.XLOOKUP(D366,product!$A:$A,product!$E:$E,,0))</f>
        <v>HISTORY</v>
      </c>
      <c r="J366" s="5">
        <f>IF(_xlfn.XLOOKUP(D366,product!$A:$A,product!$D:$D,,0)=0,"",_xlfn.XLOOKUP(D366,product!$A:$A,product!$D:$D,,0))</f>
        <v>21.97</v>
      </c>
      <c r="K366" s="7">
        <f t="shared" si="5"/>
        <v>87.88</v>
      </c>
      <c r="L366" s="10" t="str">
        <f>IF(_xlfn.XLOOKUP(D366,product!$A:$A,product!$F:$F,,0)=0,"",_xlfn.XLOOKUP(D366,product!$A:$A,product!$F:$F,,0))</f>
        <v>Yes</v>
      </c>
      <c r="M366" t="str">
        <f>IF(_xlfn.XLOOKUP(D366,product!$A:$A,product!G:G,,0)=0,"",_xlfn.XLOOKUP(D366,product!$A:$A,product!G:G,,0))</f>
        <v>Gold</v>
      </c>
      <c r="N366" t="str">
        <f>IF(_xlfn.XLOOKUP(D366,product!$A:$A,product!$B:$B,,0)=0,"",_xlfn.XLOOKUP(D366,product!$A:$A,product!$B:$B,,0))</f>
        <v>Silent Secrets</v>
      </c>
    </row>
    <row r="367" spans="1:14" x14ac:dyDescent="0.35">
      <c r="A367" t="s">
        <v>408</v>
      </c>
      <c r="B367" s="3">
        <v>45434</v>
      </c>
      <c r="C367" t="s">
        <v>3329</v>
      </c>
      <c r="D367" t="s">
        <v>5721</v>
      </c>
      <c r="E367">
        <v>4</v>
      </c>
      <c r="F367" t="str">
        <f>_xlfn.XLOOKUP(C367,customers!$A$1:$A$983,customers!$B$1:$B$983,,0)</f>
        <v>David Hill</v>
      </c>
      <c r="G367" t="str">
        <f>_xlfn.XLOOKUP(C367,customers!$A:$A,customers!$C:$C,,0)</f>
        <v>david.hill878@yahoo.com</v>
      </c>
      <c r="H367" t="str">
        <f>IF(_xlfn.XLOOKUP(C367,customers!$A:$A,customers!$G:$G,,0)=0,"",_xlfn.XLOOKUP(C367,customers!$A:$A,customers!$G:$G,,0))</f>
        <v>Egypt</v>
      </c>
      <c r="I367" t="str">
        <f>IF(_xlfn.XLOOKUP(D367,product!$A:$A,product!$E:$E,,0)=0,"",_xlfn.XLOOKUP(D367,product!$A:$A,product!$E:$E,,0))</f>
        <v>SCIENCE</v>
      </c>
      <c r="J367" s="5">
        <f>IF(_xlfn.XLOOKUP(D367,product!$A:$A,product!$D:$D,,0)=0,"",_xlfn.XLOOKUP(D367,product!$A:$A,product!$D:$D,,0))</f>
        <v>20.72</v>
      </c>
      <c r="K367" s="7">
        <f t="shared" si="5"/>
        <v>82.88</v>
      </c>
      <c r="L367" s="10" t="str">
        <f>IF(_xlfn.XLOOKUP(D367,product!$A:$A,product!$F:$F,,0)=0,"",_xlfn.XLOOKUP(D367,product!$A:$A,product!$F:$F,,0))</f>
        <v>Yes</v>
      </c>
      <c r="M367" t="str">
        <f>IF(_xlfn.XLOOKUP(D367,product!$A:$A,product!G:G,,0)=0,"",_xlfn.XLOOKUP(D367,product!$A:$A,product!G:G,,0))</f>
        <v>Gold</v>
      </c>
      <c r="N367" t="str">
        <f>IF(_xlfn.XLOOKUP(D367,product!$A:$A,product!$B:$B,,0)=0,"",_xlfn.XLOOKUP(D367,product!$A:$A,product!$B:$B,,0))</f>
        <v>Data Future</v>
      </c>
    </row>
    <row r="368" spans="1:14" x14ac:dyDescent="0.35">
      <c r="A368" t="s">
        <v>425</v>
      </c>
      <c r="B368" s="3">
        <v>45244</v>
      </c>
      <c r="C368" t="s">
        <v>1588</v>
      </c>
      <c r="D368" t="s">
        <v>5722</v>
      </c>
      <c r="E368">
        <v>4</v>
      </c>
      <c r="F368" t="str">
        <f>_xlfn.XLOOKUP(C368,customers!$A$1:$A$983,customers!$B$1:$B$983,,0)</f>
        <v>Emily Garcia</v>
      </c>
      <c r="G368" t="str">
        <f>_xlfn.XLOOKUP(C368,customers!$A:$A,customers!$C:$C,,0)</f>
        <v>emily.garcia147@yahoo.com</v>
      </c>
      <c r="H368" t="str">
        <f>IF(_xlfn.XLOOKUP(C368,customers!$A:$A,customers!$G:$G,,0)=0,"",_xlfn.XLOOKUP(C368,customers!$A:$A,customers!$G:$G,,0))</f>
        <v>Japan</v>
      </c>
      <c r="I368" t="str">
        <f>IF(_xlfn.XLOOKUP(D368,product!$A:$A,product!$E:$E,,0)=0,"",_xlfn.XLOOKUP(D368,product!$A:$A,product!$E:$E,,0))</f>
        <v>TECH</v>
      </c>
      <c r="J368" s="5">
        <f>IF(_xlfn.XLOOKUP(D368,product!$A:$A,product!$D:$D,,0)=0,"",_xlfn.XLOOKUP(D368,product!$A:$A,product!$D:$D,,0))</f>
        <v>22.05</v>
      </c>
      <c r="K368" s="7">
        <f t="shared" si="5"/>
        <v>88.2</v>
      </c>
      <c r="L368" s="10" t="str">
        <f>IF(_xlfn.XLOOKUP(D368,product!$A:$A,product!$F:$F,,0)=0,"",_xlfn.XLOOKUP(D368,product!$A:$A,product!$F:$F,,0))</f>
        <v>Yes</v>
      </c>
      <c r="M368" t="str">
        <f>IF(_xlfn.XLOOKUP(D368,product!$A:$A,product!G:G,,0)=0,"",_xlfn.XLOOKUP(D368,product!$A:$A,product!G:G,,0))</f>
        <v>None</v>
      </c>
      <c r="N368" t="str">
        <f>IF(_xlfn.XLOOKUP(D368,product!$A:$A,product!$B:$B,,0)=0,"",_xlfn.XLOOKUP(D368,product!$A:$A,product!$B:$B,,0))</f>
        <v>Mind Science</v>
      </c>
    </row>
    <row r="369" spans="1:14" x14ac:dyDescent="0.35">
      <c r="A369" t="s">
        <v>442</v>
      </c>
      <c r="B369" s="3">
        <v>45483</v>
      </c>
      <c r="C369" t="s">
        <v>3041</v>
      </c>
      <c r="D369" t="s">
        <v>5723</v>
      </c>
      <c r="E369">
        <v>4</v>
      </c>
      <c r="F369" t="str">
        <f>_xlfn.XLOOKUP(C369,customers!$A$1:$A$983,customers!$B$1:$B$983,,0)</f>
        <v>James Scott</v>
      </c>
      <c r="G369" t="str">
        <f>_xlfn.XLOOKUP(C369,customers!$A:$A,customers!$C:$C,,0)</f>
        <v>james.scott733@hotmail.com</v>
      </c>
      <c r="H369" t="str">
        <f>IF(_xlfn.XLOOKUP(C369,customers!$A:$A,customers!$G:$G,,0)=0,"",_xlfn.XLOOKUP(C369,customers!$A:$A,customers!$G:$G,,0))</f>
        <v>Sweden</v>
      </c>
      <c r="I369" t="str">
        <f>IF(_xlfn.XLOOKUP(D369,product!$A:$A,product!$E:$E,,0)=0,"",_xlfn.XLOOKUP(D369,product!$A:$A,product!$E:$E,,0))</f>
        <v>BUSINESS</v>
      </c>
      <c r="J369" s="5">
        <f>IF(_xlfn.XLOOKUP(D369,product!$A:$A,product!$D:$D,,0)=0,"",_xlfn.XLOOKUP(D369,product!$A:$A,product!$D:$D,,0))</f>
        <v>28.28</v>
      </c>
      <c r="K369" s="7">
        <f t="shared" si="5"/>
        <v>113.12</v>
      </c>
      <c r="L369" s="10" t="str">
        <f>IF(_xlfn.XLOOKUP(D369,product!$A:$A,product!$F:$F,,0)=0,"",_xlfn.XLOOKUP(D369,product!$A:$A,product!$F:$F,,0))</f>
        <v>No</v>
      </c>
      <c r="M369" t="str">
        <f>IF(_xlfn.XLOOKUP(D369,product!$A:$A,product!G:G,,0)=0,"",_xlfn.XLOOKUP(D369,product!$A:$A,product!G:G,,0))</f>
        <v>Silver</v>
      </c>
      <c r="N369" t="str">
        <f>IF(_xlfn.XLOOKUP(D369,product!$A:$A,product!$B:$B,,0)=0,"",_xlfn.XLOOKUP(D369,product!$A:$A,product!$B:$B,,0))</f>
        <v>Power Science</v>
      </c>
    </row>
    <row r="370" spans="1:14" x14ac:dyDescent="0.35">
      <c r="A370" t="s">
        <v>459</v>
      </c>
      <c r="B370" s="3">
        <v>45098</v>
      </c>
      <c r="C370" t="s">
        <v>3398</v>
      </c>
      <c r="D370" t="s">
        <v>5724</v>
      </c>
      <c r="E370">
        <v>4</v>
      </c>
      <c r="F370" t="str">
        <f>_xlfn.XLOOKUP(C370,customers!$A$1:$A$983,customers!$B$1:$B$983,,0)</f>
        <v>Amelia Wright</v>
      </c>
      <c r="G370" t="str">
        <f>_xlfn.XLOOKUP(C370,customers!$A:$A,customers!$C:$C,,0)</f>
        <v>amelia.wright913@yahoo.com</v>
      </c>
      <c r="H370" t="str">
        <f>IF(_xlfn.XLOOKUP(C370,customers!$A:$A,customers!$G:$G,,0)=0,"",_xlfn.XLOOKUP(C370,customers!$A:$A,customers!$G:$G,,0))</f>
        <v>Spain</v>
      </c>
      <c r="I370" t="str">
        <f>IF(_xlfn.XLOOKUP(D370,product!$A:$A,product!$E:$E,,0)=0,"",_xlfn.XLOOKUP(D370,product!$A:$A,product!$E:$E,,0))</f>
        <v>TECH</v>
      </c>
      <c r="J370" s="5">
        <f>IF(_xlfn.XLOOKUP(D370,product!$A:$A,product!$D:$D,,0)=0,"",_xlfn.XLOOKUP(D370,product!$A:$A,product!$D:$D,,0))</f>
        <v>20.14</v>
      </c>
      <c r="K370" s="7">
        <f t="shared" si="5"/>
        <v>80.56</v>
      </c>
      <c r="L370" s="10" t="str">
        <f>IF(_xlfn.XLOOKUP(D370,product!$A:$A,product!$F:$F,,0)=0,"",_xlfn.XLOOKUP(D370,product!$A:$A,product!$F:$F,,0))</f>
        <v>Yes</v>
      </c>
      <c r="M370" t="str">
        <f>IF(_xlfn.XLOOKUP(D370,product!$A:$A,product!G:G,,0)=0,"",_xlfn.XLOOKUP(D370,product!$A:$A,product!G:G,,0))</f>
        <v>Silver</v>
      </c>
      <c r="N370" t="str">
        <f>IF(_xlfn.XLOOKUP(D370,product!$A:$A,product!$B:$B,,0)=0,"",_xlfn.XLOOKUP(D370,product!$A:$A,product!$B:$B,,0))</f>
        <v>Forest Data</v>
      </c>
    </row>
    <row r="371" spans="1:14" x14ac:dyDescent="0.35">
      <c r="A371" t="s">
        <v>476</v>
      </c>
      <c r="B371" s="3">
        <v>45558</v>
      </c>
      <c r="C371" t="s">
        <v>2493</v>
      </c>
      <c r="D371" t="s">
        <v>5725</v>
      </c>
      <c r="E371">
        <v>4</v>
      </c>
      <c r="F371" t="str">
        <f>_xlfn.XLOOKUP(C371,customers!$A$1:$A$983,customers!$B$1:$B$983,,0)</f>
        <v>Jessica Hall</v>
      </c>
      <c r="G371" t="str">
        <f>_xlfn.XLOOKUP(C371,customers!$A:$A,customers!$C:$C,,0)</f>
        <v>jessica.hall468@hotmail.com</v>
      </c>
      <c r="H371" t="str">
        <f>IF(_xlfn.XLOOKUP(C371,customers!$A:$A,customers!$G:$G,,0)=0,"",_xlfn.XLOOKUP(C371,customers!$A:$A,customers!$G:$G,,0))</f>
        <v>Germany</v>
      </c>
      <c r="I371" t="str">
        <f>IF(_xlfn.XLOOKUP(D371,product!$A:$A,product!$E:$E,,0)=0,"",_xlfn.XLOOKUP(D371,product!$A:$A,product!$E:$E,,0))</f>
        <v>SCIENCE</v>
      </c>
      <c r="J371" s="5">
        <f>IF(_xlfn.XLOOKUP(D371,product!$A:$A,product!$D:$D,,0)=0,"",_xlfn.XLOOKUP(D371,product!$A:$A,product!$D:$D,,0))</f>
        <v>20.58</v>
      </c>
      <c r="K371" s="7">
        <f t="shared" si="5"/>
        <v>82.32</v>
      </c>
      <c r="L371" s="10" t="str">
        <f>IF(_xlfn.XLOOKUP(D371,product!$A:$A,product!$F:$F,,0)=0,"",_xlfn.XLOOKUP(D371,product!$A:$A,product!$F:$F,,0))</f>
        <v>Yes</v>
      </c>
      <c r="M371" t="str">
        <f>IF(_xlfn.XLOOKUP(D371,product!$A:$A,product!G:G,,0)=0,"",_xlfn.XLOOKUP(D371,product!$A:$A,product!G:G,,0))</f>
        <v>Platinum</v>
      </c>
      <c r="N371" t="str">
        <f>IF(_xlfn.XLOOKUP(D371,product!$A:$A,product!$B:$B,,0)=0,"",_xlfn.XLOOKUP(D371,product!$A:$A,product!$B:$B,,0))</f>
        <v>Quantum Silent</v>
      </c>
    </row>
    <row r="372" spans="1:14" x14ac:dyDescent="0.35">
      <c r="A372" t="s">
        <v>493</v>
      </c>
      <c r="B372" s="3">
        <v>45021</v>
      </c>
      <c r="C372" t="s">
        <v>2228</v>
      </c>
      <c r="D372" t="s">
        <v>5726</v>
      </c>
      <c r="E372">
        <v>4</v>
      </c>
      <c r="F372" t="str">
        <f>_xlfn.XLOOKUP(C372,customers!$A$1:$A$983,customers!$B$1:$B$983,,0)</f>
        <v>Jessica Robinson</v>
      </c>
      <c r="G372" t="str">
        <f>_xlfn.XLOOKUP(C372,customers!$A:$A,customers!$C:$C,,0)</f>
        <v>jessica.robinson349@hotmail.com</v>
      </c>
      <c r="H372" t="str">
        <f>IF(_xlfn.XLOOKUP(C372,customers!$A:$A,customers!$G:$G,,0)=0,"",_xlfn.XLOOKUP(C372,customers!$A:$A,customers!$G:$G,,0))</f>
        <v>Japan</v>
      </c>
      <c r="I372" t="str">
        <f>IF(_xlfn.XLOOKUP(D372,product!$A:$A,product!$E:$E,,0)=0,"",_xlfn.XLOOKUP(D372,product!$A:$A,product!$E:$E,,0))</f>
        <v>SCIENCE</v>
      </c>
      <c r="J372" s="5">
        <f>IF(_xlfn.XLOOKUP(D372,product!$A:$A,product!$D:$D,,0)=0,"",_xlfn.XLOOKUP(D372,product!$A:$A,product!$D:$D,,0))</f>
        <v>31.12</v>
      </c>
      <c r="K372" s="7">
        <f t="shared" si="5"/>
        <v>124.48</v>
      </c>
      <c r="L372" s="10" t="str">
        <f>IF(_xlfn.XLOOKUP(D372,product!$A:$A,product!$F:$F,,0)=0,"",_xlfn.XLOOKUP(D372,product!$A:$A,product!$F:$F,,0))</f>
        <v>Yes</v>
      </c>
      <c r="M372" t="str">
        <f>IF(_xlfn.XLOOKUP(D372,product!$A:$A,product!G:G,,0)=0,"",_xlfn.XLOOKUP(D372,product!$A:$A,product!G:G,,0))</f>
        <v>None</v>
      </c>
      <c r="N372" t="str">
        <f>IF(_xlfn.XLOOKUP(D372,product!$A:$A,product!$B:$B,,0)=0,"",_xlfn.XLOOKUP(D372,product!$A:$A,product!$B:$B,,0))</f>
        <v>Journey Mind</v>
      </c>
    </row>
    <row r="373" spans="1:14" x14ac:dyDescent="0.35">
      <c r="A373" t="s">
        <v>510</v>
      </c>
      <c r="B373" s="3">
        <v>45307</v>
      </c>
      <c r="C373" t="s">
        <v>1429</v>
      </c>
      <c r="D373" t="s">
        <v>5727</v>
      </c>
      <c r="E373">
        <v>4</v>
      </c>
      <c r="F373" t="str">
        <f>_xlfn.XLOOKUP(C373,customers!$A$1:$A$983,customers!$B$1:$B$983,,0)</f>
        <v>Lucy Lopez</v>
      </c>
      <c r="G373" t="str">
        <f>_xlfn.XLOOKUP(C373,customers!$A:$A,customers!$C:$C,,0)</f>
        <v>lucy.lopez101@yahoo.com</v>
      </c>
      <c r="H373" t="str">
        <f>IF(_xlfn.XLOOKUP(C373,customers!$A:$A,customers!$G:$G,,0)=0,"",_xlfn.XLOOKUP(C373,customers!$A:$A,customers!$G:$G,,0))</f>
        <v>Pakistan</v>
      </c>
      <c r="I373" t="str">
        <f>IF(_xlfn.XLOOKUP(D373,product!$A:$A,product!$E:$E,,0)=0,"",_xlfn.XLOOKUP(D373,product!$A:$A,product!$E:$E,,0))</f>
        <v>SCIENCE</v>
      </c>
      <c r="J373" s="5">
        <f>IF(_xlfn.XLOOKUP(D373,product!$A:$A,product!$D:$D,,0)=0,"",_xlfn.XLOOKUP(D373,product!$A:$A,product!$D:$D,,0))</f>
        <v>33.85</v>
      </c>
      <c r="K373" s="7">
        <f t="shared" si="5"/>
        <v>135.4</v>
      </c>
      <c r="L373" s="10" t="str">
        <f>IF(_xlfn.XLOOKUP(D373,product!$A:$A,product!$F:$F,,0)=0,"",_xlfn.XLOOKUP(D373,product!$A:$A,product!$F:$F,,0))</f>
        <v>No</v>
      </c>
      <c r="M373" t="str">
        <f>IF(_xlfn.XLOOKUP(D373,product!$A:$A,product!G:G,,0)=0,"",_xlfn.XLOOKUP(D373,product!$A:$A,product!G:G,,0))</f>
        <v>Silver</v>
      </c>
      <c r="N373" t="str">
        <f>IF(_xlfn.XLOOKUP(D373,product!$A:$A,product!$B:$B,,0)=0,"",_xlfn.XLOOKUP(D373,product!$A:$A,product!$B:$B,,0))</f>
        <v>Mind Journey</v>
      </c>
    </row>
    <row r="374" spans="1:14" x14ac:dyDescent="0.35">
      <c r="A374" t="s">
        <v>527</v>
      </c>
      <c r="B374" s="3">
        <v>45227</v>
      </c>
      <c r="C374" t="s">
        <v>2590</v>
      </c>
      <c r="D374" t="s">
        <v>5728</v>
      </c>
      <c r="E374">
        <v>4</v>
      </c>
      <c r="F374" t="str">
        <f>_xlfn.XLOOKUP(C374,customers!$A$1:$A$983,customers!$B$1:$B$983,,0)</f>
        <v>Emily Jackson</v>
      </c>
      <c r="G374" t="str">
        <f>_xlfn.XLOOKUP(C374,customers!$A:$A,customers!$C:$C,,0)</f>
        <v>emily.jackson515@hotmail.com</v>
      </c>
      <c r="H374" t="str">
        <f>IF(_xlfn.XLOOKUP(C374,customers!$A:$A,customers!$G:$G,,0)=0,"",_xlfn.XLOOKUP(C374,customers!$A:$A,customers!$G:$G,,0))</f>
        <v>UAE</v>
      </c>
      <c r="I374" t="str">
        <f>IF(_xlfn.XLOOKUP(D374,product!$A:$A,product!$E:$E,,0)=0,"",_xlfn.XLOOKUP(D374,product!$A:$A,product!$E:$E,,0))</f>
        <v>FICTION</v>
      </c>
      <c r="J374" s="5">
        <f>IF(_xlfn.XLOOKUP(D374,product!$A:$A,product!$D:$D,,0)=0,"",_xlfn.XLOOKUP(D374,product!$A:$A,product!$D:$D,,0))</f>
        <v>26.48</v>
      </c>
      <c r="K374" s="7">
        <f t="shared" si="5"/>
        <v>105.92</v>
      </c>
      <c r="L374" s="10" t="str">
        <f>IF(_xlfn.XLOOKUP(D374,product!$A:$A,product!$F:$F,,0)=0,"",_xlfn.XLOOKUP(D374,product!$A:$A,product!$F:$F,,0))</f>
        <v>Yes</v>
      </c>
      <c r="M374" t="str">
        <f>IF(_xlfn.XLOOKUP(D374,product!$A:$A,product!G:G,,0)=0,"",_xlfn.XLOOKUP(D374,product!$A:$A,product!G:G,,0))</f>
        <v>Gold</v>
      </c>
      <c r="N374" t="str">
        <f>IF(_xlfn.XLOOKUP(D374,product!$A:$A,product!$B:$B,,0)=0,"",_xlfn.XLOOKUP(D374,product!$A:$A,product!$B:$B,,0))</f>
        <v>Journey Power</v>
      </c>
    </row>
    <row r="375" spans="1:14" x14ac:dyDescent="0.35">
      <c r="A375" t="s">
        <v>544</v>
      </c>
      <c r="B375" s="3">
        <v>45609</v>
      </c>
      <c r="C375" t="s">
        <v>3200</v>
      </c>
      <c r="D375" t="s">
        <v>5729</v>
      </c>
      <c r="E375">
        <v>4</v>
      </c>
      <c r="F375" t="str">
        <f>_xlfn.XLOOKUP(C375,customers!$A$1:$A$983,customers!$B$1:$B$983,,0)</f>
        <v>Ryan Anderson</v>
      </c>
      <c r="G375" t="str">
        <f>_xlfn.XLOOKUP(C375,customers!$A:$A,customers!$C:$C,,0)</f>
        <v>ryan.anderson813@yahoo.com</v>
      </c>
      <c r="H375" t="str">
        <f>IF(_xlfn.XLOOKUP(C375,customers!$A:$A,customers!$G:$G,,0)=0,"",_xlfn.XLOOKUP(C375,customers!$A:$A,customers!$G:$G,,0))</f>
        <v>Japan</v>
      </c>
      <c r="I375" t="str">
        <f>IF(_xlfn.XLOOKUP(D375,product!$A:$A,product!$E:$E,,0)=0,"",_xlfn.XLOOKUP(D375,product!$A:$A,product!$E:$E,,0))</f>
        <v>TECH</v>
      </c>
      <c r="J375" s="5">
        <f>IF(_xlfn.XLOOKUP(D375,product!$A:$A,product!$D:$D,,0)=0,"",_xlfn.XLOOKUP(D375,product!$A:$A,product!$D:$D,,0))</f>
        <v>12.16</v>
      </c>
      <c r="K375" s="7">
        <f t="shared" si="5"/>
        <v>48.64</v>
      </c>
      <c r="L375" s="10" t="str">
        <f>IF(_xlfn.XLOOKUP(D375,product!$A:$A,product!$F:$F,,0)=0,"",_xlfn.XLOOKUP(D375,product!$A:$A,product!$F:$F,,0))</f>
        <v>No</v>
      </c>
      <c r="M375" t="str">
        <f>IF(_xlfn.XLOOKUP(D375,product!$A:$A,product!G:G,,0)=0,"",_xlfn.XLOOKUP(D375,product!$A:$A,product!G:G,,0))</f>
        <v>None</v>
      </c>
      <c r="N375" t="str">
        <f>IF(_xlfn.XLOOKUP(D375,product!$A:$A,product!$B:$B,,0)=0,"",_xlfn.XLOOKUP(D375,product!$A:$A,product!$B:$B,,0))</f>
        <v>Secrets Mind</v>
      </c>
    </row>
    <row r="376" spans="1:14" x14ac:dyDescent="0.35">
      <c r="A376" t="s">
        <v>561</v>
      </c>
      <c r="B376" s="3">
        <v>45280</v>
      </c>
      <c r="C376" t="s">
        <v>3465</v>
      </c>
      <c r="D376" t="s">
        <v>5730</v>
      </c>
      <c r="E376">
        <v>4</v>
      </c>
      <c r="F376" t="str">
        <f>_xlfn.XLOOKUP(C376,customers!$A$1:$A$983,customers!$B$1:$B$983,,0)</f>
        <v>Chloe Lewis</v>
      </c>
      <c r="G376" t="str">
        <f>_xlfn.XLOOKUP(C376,customers!$A:$A,customers!$C:$C,,0)</f>
        <v>chloe.lewis947@hotmail.com</v>
      </c>
      <c r="H376" t="str">
        <f>IF(_xlfn.XLOOKUP(C376,customers!$A:$A,customers!$G:$G,,0)=0,"",_xlfn.XLOOKUP(C376,customers!$A:$A,customers!$G:$G,,0))</f>
        <v>Germany</v>
      </c>
      <c r="I376" t="str">
        <f>IF(_xlfn.XLOOKUP(D376,product!$A:$A,product!$E:$E,,0)=0,"",_xlfn.XLOOKUP(D376,product!$A:$A,product!$E:$E,,0))</f>
        <v>SCIENCE</v>
      </c>
      <c r="J376" s="5">
        <f>IF(_xlfn.XLOOKUP(D376,product!$A:$A,product!$D:$D,,0)=0,"",_xlfn.XLOOKUP(D376,product!$A:$A,product!$D:$D,,0))</f>
        <v>21.58</v>
      </c>
      <c r="K376" s="7">
        <f t="shared" si="5"/>
        <v>86.32</v>
      </c>
      <c r="L376" s="10" t="str">
        <f>IF(_xlfn.XLOOKUP(D376,product!$A:$A,product!$F:$F,,0)=0,"",_xlfn.XLOOKUP(D376,product!$A:$A,product!$F:$F,,0))</f>
        <v>Yes</v>
      </c>
      <c r="M376" t="str">
        <f>IF(_xlfn.XLOOKUP(D376,product!$A:$A,product!G:G,,0)=0,"",_xlfn.XLOOKUP(D376,product!$A:$A,product!G:G,,0))</f>
        <v>Gold</v>
      </c>
      <c r="N376" t="str">
        <f>IF(_xlfn.XLOOKUP(D376,product!$A:$A,product!$B:$B,,0)=0,"",_xlfn.XLOOKUP(D376,product!$A:$A,product!$B:$B,,0))</f>
        <v>Mind Secrets</v>
      </c>
    </row>
    <row r="377" spans="1:14" x14ac:dyDescent="0.35">
      <c r="A377" t="s">
        <v>578</v>
      </c>
      <c r="B377" s="3">
        <v>45377</v>
      </c>
      <c r="C377" t="s">
        <v>3467</v>
      </c>
      <c r="D377" t="s">
        <v>5731</v>
      </c>
      <c r="E377">
        <v>4</v>
      </c>
      <c r="F377" t="str">
        <f>_xlfn.XLOOKUP(C377,customers!$A$1:$A$983,customers!$B$1:$B$983,,0)</f>
        <v>Daniel Scott</v>
      </c>
      <c r="G377" t="str">
        <f>_xlfn.XLOOKUP(C377,customers!$A:$A,customers!$C:$C,,0)</f>
        <v>daniel.scott948@gmail.com</v>
      </c>
      <c r="H377" t="str">
        <f>IF(_xlfn.XLOOKUP(C377,customers!$A:$A,customers!$G:$G,,0)=0,"",_xlfn.XLOOKUP(C377,customers!$A:$A,customers!$G:$G,,0))</f>
        <v>Bangladesh</v>
      </c>
      <c r="I377" t="str">
        <f>IF(_xlfn.XLOOKUP(D377,product!$A:$A,product!$E:$E,,0)=0,"",_xlfn.XLOOKUP(D377,product!$A:$A,product!$E:$E,,0))</f>
        <v>SCIENCE</v>
      </c>
      <c r="J377" s="5">
        <f>IF(_xlfn.XLOOKUP(D377,product!$A:$A,product!$D:$D,,0)=0,"",_xlfn.XLOOKUP(D377,product!$A:$A,product!$D:$D,,0))</f>
        <v>15.08</v>
      </c>
      <c r="K377" s="7">
        <f t="shared" si="5"/>
        <v>60.32</v>
      </c>
      <c r="L377" s="10" t="str">
        <f>IF(_xlfn.XLOOKUP(D377,product!$A:$A,product!$F:$F,,0)=0,"",_xlfn.XLOOKUP(D377,product!$A:$A,product!$F:$F,,0))</f>
        <v>No</v>
      </c>
      <c r="M377" t="str">
        <f>IF(_xlfn.XLOOKUP(D377,product!$A:$A,product!G:G,,0)=0,"",_xlfn.XLOOKUP(D377,product!$A:$A,product!G:G,,0))</f>
        <v>Silver</v>
      </c>
      <c r="N377" t="str">
        <f>IF(_xlfn.XLOOKUP(D377,product!$A:$A,product!$B:$B,,0)=0,"",_xlfn.XLOOKUP(D377,product!$A:$A,product!$B:$B,,0))</f>
        <v>Future Mind</v>
      </c>
    </row>
    <row r="378" spans="1:14" x14ac:dyDescent="0.35">
      <c r="A378" t="s">
        <v>595</v>
      </c>
      <c r="B378" s="3">
        <v>44965</v>
      </c>
      <c r="C378" t="s">
        <v>2815</v>
      </c>
      <c r="D378" t="s">
        <v>5732</v>
      </c>
      <c r="E378">
        <v>4</v>
      </c>
      <c r="F378" t="str">
        <f>_xlfn.XLOOKUP(C378,customers!$A$1:$A$983,customers!$B$1:$B$983,,0)</f>
        <v>Daniel Allen</v>
      </c>
      <c r="G378" t="str">
        <f>_xlfn.XLOOKUP(C378,customers!$A:$A,customers!$C:$C,,0)</f>
        <v>daniel.allen623@gmail.com</v>
      </c>
      <c r="H378" t="str">
        <f>IF(_xlfn.XLOOKUP(C378,customers!$A:$A,customers!$G:$G,,0)=0,"",_xlfn.XLOOKUP(C378,customers!$A:$A,customers!$G:$G,,0))</f>
        <v>UAE</v>
      </c>
      <c r="I378" t="str">
        <f>IF(_xlfn.XLOOKUP(D378,product!$A:$A,product!$E:$E,,0)=0,"",_xlfn.XLOOKUP(D378,product!$A:$A,product!$E:$E,,0))</f>
        <v>FICTION</v>
      </c>
      <c r="J378" s="5">
        <f>IF(_xlfn.XLOOKUP(D378,product!$A:$A,product!$D:$D,,0)=0,"",_xlfn.XLOOKUP(D378,product!$A:$A,product!$D:$D,,0))</f>
        <v>16.41</v>
      </c>
      <c r="K378" s="7">
        <f t="shared" si="5"/>
        <v>65.64</v>
      </c>
      <c r="L378" s="10" t="str">
        <f>IF(_xlfn.XLOOKUP(D378,product!$A:$A,product!$F:$F,,0)=0,"",_xlfn.XLOOKUP(D378,product!$A:$A,product!$F:$F,,0))</f>
        <v>No</v>
      </c>
      <c r="M378" t="str">
        <f>IF(_xlfn.XLOOKUP(D378,product!$A:$A,product!G:G,,0)=0,"",_xlfn.XLOOKUP(D378,product!$A:$A,product!G:G,,0))</f>
        <v>Gold</v>
      </c>
      <c r="N378" t="str">
        <f>IF(_xlfn.XLOOKUP(D378,product!$A:$A,product!$B:$B,,0)=0,"",_xlfn.XLOOKUP(D378,product!$A:$A,product!$B:$B,,0))</f>
        <v>Data Forest</v>
      </c>
    </row>
    <row r="379" spans="1:14" x14ac:dyDescent="0.35">
      <c r="A379" t="s">
        <v>612</v>
      </c>
      <c r="B379" s="3">
        <v>45470</v>
      </c>
      <c r="C379" t="s">
        <v>2542</v>
      </c>
      <c r="D379" t="s">
        <v>5733</v>
      </c>
      <c r="E379">
        <v>4</v>
      </c>
      <c r="F379" t="str">
        <f>_xlfn.XLOOKUP(C379,customers!$A$1:$A$983,customers!$B$1:$B$983,,0)</f>
        <v>Steven Robinson</v>
      </c>
      <c r="G379" t="str">
        <f>_xlfn.XLOOKUP(C379,customers!$A:$A,customers!$C:$C,,0)</f>
        <v>steven.robinson492@outlook.com</v>
      </c>
      <c r="H379" t="str">
        <f>IF(_xlfn.XLOOKUP(C379,customers!$A:$A,customers!$G:$G,,0)=0,"",_xlfn.XLOOKUP(C379,customers!$A:$A,customers!$G:$G,,0))</f>
        <v>Spain</v>
      </c>
      <c r="I379" t="str">
        <f>IF(_xlfn.XLOOKUP(D379,product!$A:$A,product!$E:$E,,0)=0,"",_xlfn.XLOOKUP(D379,product!$A:$A,product!$E:$E,,0))</f>
        <v>BUSINESS</v>
      </c>
      <c r="J379" s="5">
        <f>IF(_xlfn.XLOOKUP(D379,product!$A:$A,product!$D:$D,,0)=0,"",_xlfn.XLOOKUP(D379,product!$A:$A,product!$D:$D,,0))</f>
        <v>24.98</v>
      </c>
      <c r="K379" s="7">
        <f t="shared" si="5"/>
        <v>99.92</v>
      </c>
      <c r="L379" s="10" t="str">
        <f>IF(_xlfn.XLOOKUP(D379,product!$A:$A,product!$F:$F,,0)=0,"",_xlfn.XLOOKUP(D379,product!$A:$A,product!$F:$F,,0))</f>
        <v>Yes</v>
      </c>
      <c r="M379" t="str">
        <f>IF(_xlfn.XLOOKUP(D379,product!$A:$A,product!G:G,,0)=0,"",_xlfn.XLOOKUP(D379,product!$A:$A,product!G:G,,0))</f>
        <v>None</v>
      </c>
      <c r="N379" t="str">
        <f>IF(_xlfn.XLOOKUP(D379,product!$A:$A,product!$B:$B,,0)=0,"",_xlfn.XLOOKUP(D379,product!$A:$A,product!$B:$B,,0))</f>
        <v>Data Silent</v>
      </c>
    </row>
    <row r="380" spans="1:14" x14ac:dyDescent="0.35">
      <c r="A380" t="s">
        <v>629</v>
      </c>
      <c r="B380" s="3">
        <v>45070</v>
      </c>
      <c r="C380" t="s">
        <v>3445</v>
      </c>
      <c r="D380" t="s">
        <v>5734</v>
      </c>
      <c r="E380">
        <v>4</v>
      </c>
      <c r="F380" t="str">
        <f>_xlfn.XLOOKUP(C380,customers!$A$1:$A$983,customers!$B$1:$B$983,,0)</f>
        <v>James Clark</v>
      </c>
      <c r="G380" t="str">
        <f>_xlfn.XLOOKUP(C380,customers!$A:$A,customers!$C:$C,,0)</f>
        <v>james.clark937@gmail.com</v>
      </c>
      <c r="H380" t="str">
        <f>IF(_xlfn.XLOOKUP(C380,customers!$A:$A,customers!$G:$G,,0)=0,"",_xlfn.XLOOKUP(C380,customers!$A:$A,customers!$G:$G,,0))</f>
        <v>Italy</v>
      </c>
      <c r="I380" t="str">
        <f>IF(_xlfn.XLOOKUP(D380,product!$A:$A,product!$E:$E,,0)=0,"",_xlfn.XLOOKUP(D380,product!$A:$A,product!$E:$E,,0))</f>
        <v>SCIENCE</v>
      </c>
      <c r="J380" s="5">
        <f>IF(_xlfn.XLOOKUP(D380,product!$A:$A,product!$D:$D,,0)=0,"",_xlfn.XLOOKUP(D380,product!$A:$A,product!$D:$D,,0))</f>
        <v>26.42</v>
      </c>
      <c r="K380" s="7">
        <f t="shared" si="5"/>
        <v>105.68</v>
      </c>
      <c r="L380" s="10" t="str">
        <f>IF(_xlfn.XLOOKUP(D380,product!$A:$A,product!$F:$F,,0)=0,"",_xlfn.XLOOKUP(D380,product!$A:$A,product!$F:$F,,0))</f>
        <v>Yes</v>
      </c>
      <c r="M380" t="str">
        <f>IF(_xlfn.XLOOKUP(D380,product!$A:$A,product!G:G,,0)=0,"",_xlfn.XLOOKUP(D380,product!$A:$A,product!G:G,,0))</f>
        <v>Silver</v>
      </c>
      <c r="N380" t="str">
        <f>IF(_xlfn.XLOOKUP(D380,product!$A:$A,product!$B:$B,,0)=0,"",_xlfn.XLOOKUP(D380,product!$A:$A,product!$B:$B,,0))</f>
        <v>Science Journey</v>
      </c>
    </row>
    <row r="381" spans="1:14" x14ac:dyDescent="0.35">
      <c r="A381" t="s">
        <v>646</v>
      </c>
      <c r="B381" s="3">
        <v>45571</v>
      </c>
      <c r="C381" t="s">
        <v>2013</v>
      </c>
      <c r="D381" t="s">
        <v>5736</v>
      </c>
      <c r="E381">
        <v>4</v>
      </c>
      <c r="F381" t="str">
        <f>_xlfn.XLOOKUP(C381,customers!$A$1:$A$983,customers!$B$1:$B$983,,0)</f>
        <v>Peter Smith</v>
      </c>
      <c r="G381" t="str">
        <f>_xlfn.XLOOKUP(C381,customers!$A:$A,customers!$C:$C,,0)</f>
        <v>peter.smith265@outlook.com</v>
      </c>
      <c r="H381" t="str">
        <f>IF(_xlfn.XLOOKUP(C381,customers!$A:$A,customers!$G:$G,,0)=0,"",_xlfn.XLOOKUP(C381,customers!$A:$A,customers!$G:$G,,0))</f>
        <v>Sweden</v>
      </c>
      <c r="I381" t="str">
        <f>IF(_xlfn.XLOOKUP(D381,product!$A:$A,product!$E:$E,,0)=0,"",_xlfn.XLOOKUP(D381,product!$A:$A,product!$E:$E,,0))</f>
        <v>TECH</v>
      </c>
      <c r="J381" s="5">
        <f>IF(_xlfn.XLOOKUP(D381,product!$A:$A,product!$D:$D,,0)=0,"",_xlfn.XLOOKUP(D381,product!$A:$A,product!$D:$D,,0))</f>
        <v>16.3</v>
      </c>
      <c r="K381" s="7">
        <f t="shared" si="5"/>
        <v>65.2</v>
      </c>
      <c r="L381" s="10" t="str">
        <f>IF(_xlfn.XLOOKUP(D381,product!$A:$A,product!$F:$F,,0)=0,"",_xlfn.XLOOKUP(D381,product!$A:$A,product!$F:$F,,0))</f>
        <v>Yes</v>
      </c>
      <c r="M381" t="str">
        <f>IF(_xlfn.XLOOKUP(D381,product!$A:$A,product!G:G,,0)=0,"",_xlfn.XLOOKUP(D381,product!$A:$A,product!G:G,,0))</f>
        <v>Gold</v>
      </c>
      <c r="N381" t="str">
        <f>IF(_xlfn.XLOOKUP(D381,product!$A:$A,product!$B:$B,,0)=0,"",_xlfn.XLOOKUP(D381,product!$A:$A,product!$B:$B,,0))</f>
        <v>Mind Journey</v>
      </c>
    </row>
    <row r="382" spans="1:14" x14ac:dyDescent="0.35">
      <c r="A382" t="s">
        <v>663</v>
      </c>
      <c r="B382" s="3">
        <v>45123</v>
      </c>
      <c r="C382" t="s">
        <v>3293</v>
      </c>
      <c r="D382" t="s">
        <v>5737</v>
      </c>
      <c r="E382">
        <v>4</v>
      </c>
      <c r="F382" t="str">
        <f>_xlfn.XLOOKUP(C382,customers!$A$1:$A$983,customers!$B$1:$B$983,,0)</f>
        <v>Lucy Scott</v>
      </c>
      <c r="G382" t="str">
        <f>_xlfn.XLOOKUP(C382,customers!$A:$A,customers!$C:$C,,0)</f>
        <v>lucy.scott860@outlook.com</v>
      </c>
      <c r="H382" t="str">
        <f>IF(_xlfn.XLOOKUP(C382,customers!$A:$A,customers!$G:$G,,0)=0,"",_xlfn.XLOOKUP(C382,customers!$A:$A,customers!$G:$G,,0))</f>
        <v>Japan</v>
      </c>
      <c r="I382" t="str">
        <f>IF(_xlfn.XLOOKUP(D382,product!$A:$A,product!$E:$E,,0)=0,"",_xlfn.XLOOKUP(D382,product!$A:$A,product!$E:$E,,0))</f>
        <v>BUSINESS</v>
      </c>
      <c r="J382" s="5">
        <f>IF(_xlfn.XLOOKUP(D382,product!$A:$A,product!$D:$D,,0)=0,"",_xlfn.XLOOKUP(D382,product!$A:$A,product!$D:$D,,0))</f>
        <v>13.41</v>
      </c>
      <c r="K382" s="7">
        <f t="shared" si="5"/>
        <v>53.64</v>
      </c>
      <c r="L382" s="10" t="str">
        <f>IF(_xlfn.XLOOKUP(D382,product!$A:$A,product!$F:$F,,0)=0,"",_xlfn.XLOOKUP(D382,product!$A:$A,product!$F:$F,,0))</f>
        <v>No</v>
      </c>
      <c r="M382" t="str">
        <f>IF(_xlfn.XLOOKUP(D382,product!$A:$A,product!G:G,,0)=0,"",_xlfn.XLOOKUP(D382,product!$A:$A,product!G:G,,0))</f>
        <v>Platinum</v>
      </c>
      <c r="N382" t="str">
        <f>IF(_xlfn.XLOOKUP(D382,product!$A:$A,product!$B:$B,,0)=0,"",_xlfn.XLOOKUP(D382,product!$A:$A,product!$B:$B,,0))</f>
        <v>Forest Power</v>
      </c>
    </row>
    <row r="383" spans="1:14" x14ac:dyDescent="0.35">
      <c r="A383" t="s">
        <v>680</v>
      </c>
      <c r="B383" s="3">
        <v>45521</v>
      </c>
      <c r="C383" t="s">
        <v>3518</v>
      </c>
      <c r="D383" t="s">
        <v>5738</v>
      </c>
      <c r="E383">
        <v>4</v>
      </c>
      <c r="F383" t="str">
        <f>_xlfn.XLOOKUP(C383,customers!$A$1:$A$983,customers!$B$1:$B$983,,0)</f>
        <v>Amelia King</v>
      </c>
      <c r="G383" t="str">
        <f>_xlfn.XLOOKUP(C383,customers!$A:$A,customers!$C:$C,,0)</f>
        <v>amelia.king974@yahoo.com</v>
      </c>
      <c r="H383" t="str">
        <f>IF(_xlfn.XLOOKUP(C383,customers!$A:$A,customers!$G:$G,,0)=0,"",_xlfn.XLOOKUP(C383,customers!$A:$A,customers!$G:$G,,0))</f>
        <v>Sweden</v>
      </c>
      <c r="I383" t="str">
        <f>IF(_xlfn.XLOOKUP(D383,product!$A:$A,product!$E:$E,,0)=0,"",_xlfn.XLOOKUP(D383,product!$A:$A,product!$E:$E,,0))</f>
        <v>SCIENCE</v>
      </c>
      <c r="J383" s="5">
        <f>IF(_xlfn.XLOOKUP(D383,product!$A:$A,product!$D:$D,,0)=0,"",_xlfn.XLOOKUP(D383,product!$A:$A,product!$D:$D,,0))</f>
        <v>27.78</v>
      </c>
      <c r="K383" s="7">
        <f t="shared" si="5"/>
        <v>111.12</v>
      </c>
      <c r="L383" s="10" t="str">
        <f>IF(_xlfn.XLOOKUP(D383,product!$A:$A,product!$F:$F,,0)=0,"",_xlfn.XLOOKUP(D383,product!$A:$A,product!$F:$F,,0))</f>
        <v>Yes</v>
      </c>
      <c r="M383" t="str">
        <f>IF(_xlfn.XLOOKUP(D383,product!$A:$A,product!G:G,,0)=0,"",_xlfn.XLOOKUP(D383,product!$A:$A,product!G:G,,0))</f>
        <v>Gold</v>
      </c>
      <c r="N383" t="str">
        <f>IF(_xlfn.XLOOKUP(D383,product!$A:$A,product!$B:$B,,0)=0,"",_xlfn.XLOOKUP(D383,product!$A:$A,product!$B:$B,,0))</f>
        <v>Silent Secrets</v>
      </c>
    </row>
    <row r="384" spans="1:14" x14ac:dyDescent="0.35">
      <c r="A384" t="s">
        <v>697</v>
      </c>
      <c r="B384" s="3">
        <v>44930</v>
      </c>
      <c r="C384" t="s">
        <v>3372</v>
      </c>
      <c r="D384" t="s">
        <v>5739</v>
      </c>
      <c r="E384">
        <v>4</v>
      </c>
      <c r="F384" t="str">
        <f>_xlfn.XLOOKUP(C384,customers!$A$1:$A$983,customers!$B$1:$B$983,,0)</f>
        <v>Peter Allen</v>
      </c>
      <c r="G384" t="str">
        <f>_xlfn.XLOOKUP(C384,customers!$A:$A,customers!$C:$C,,0)</f>
        <v>peter.allen900@gmail.com</v>
      </c>
      <c r="H384" t="str">
        <f>IF(_xlfn.XLOOKUP(C384,customers!$A:$A,customers!$G:$G,,0)=0,"",_xlfn.XLOOKUP(C384,customers!$A:$A,customers!$G:$G,,0))</f>
        <v>Egypt</v>
      </c>
      <c r="I384" t="str">
        <f>IF(_xlfn.XLOOKUP(D384,product!$A:$A,product!$E:$E,,0)=0,"",_xlfn.XLOOKUP(D384,product!$A:$A,product!$E:$E,,0))</f>
        <v>TECH</v>
      </c>
      <c r="J384" s="5">
        <f>IF(_xlfn.XLOOKUP(D384,product!$A:$A,product!$D:$D,,0)=0,"",_xlfn.XLOOKUP(D384,product!$A:$A,product!$D:$D,,0))</f>
        <v>25.55</v>
      </c>
      <c r="K384" s="7">
        <f t="shared" si="5"/>
        <v>102.2</v>
      </c>
      <c r="L384" s="10" t="str">
        <f>IF(_xlfn.XLOOKUP(D384,product!$A:$A,product!$F:$F,,0)=0,"",_xlfn.XLOOKUP(D384,product!$A:$A,product!$F:$F,,0))</f>
        <v>No</v>
      </c>
      <c r="M384" t="str">
        <f>IF(_xlfn.XLOOKUP(D384,product!$A:$A,product!G:G,,0)=0,"",_xlfn.XLOOKUP(D384,product!$A:$A,product!G:G,,0))</f>
        <v>Gold</v>
      </c>
      <c r="N384" t="str">
        <f>IF(_xlfn.XLOOKUP(D384,product!$A:$A,product!$B:$B,,0)=0,"",_xlfn.XLOOKUP(D384,product!$A:$A,product!$B:$B,,0))</f>
        <v>Data Secrets</v>
      </c>
    </row>
    <row r="385" spans="1:14" x14ac:dyDescent="0.35">
      <c r="A385" t="s">
        <v>714</v>
      </c>
      <c r="B385" s="3">
        <v>45398</v>
      </c>
      <c r="C385" t="s">
        <v>3248</v>
      </c>
      <c r="D385" t="s">
        <v>5740</v>
      </c>
      <c r="E385">
        <v>4</v>
      </c>
      <c r="F385" t="str">
        <f>_xlfn.XLOOKUP(C385,customers!$A$1:$A$983,customers!$B$1:$B$983,,0)</f>
        <v>John White</v>
      </c>
      <c r="G385" t="str">
        <f>_xlfn.XLOOKUP(C385,customers!$A:$A,customers!$C:$C,,0)</f>
        <v>john.white837@yahoo.com</v>
      </c>
      <c r="H385" t="str">
        <f>IF(_xlfn.XLOOKUP(C385,customers!$A:$A,customers!$G:$G,,0)=0,"",_xlfn.XLOOKUP(C385,customers!$A:$A,customers!$G:$G,,0))</f>
        <v>India</v>
      </c>
      <c r="I385" t="str">
        <f>IF(_xlfn.XLOOKUP(D385,product!$A:$A,product!$E:$E,,0)=0,"",_xlfn.XLOOKUP(D385,product!$A:$A,product!$E:$E,,0))</f>
        <v>FICTION</v>
      </c>
      <c r="J385" s="5">
        <f>IF(_xlfn.XLOOKUP(D385,product!$A:$A,product!$D:$D,,0)=0,"",_xlfn.XLOOKUP(D385,product!$A:$A,product!$D:$D,,0))</f>
        <v>27.61</v>
      </c>
      <c r="K385" s="7">
        <f t="shared" si="5"/>
        <v>110.44</v>
      </c>
      <c r="L385" s="10" t="str">
        <f>IF(_xlfn.XLOOKUP(D385,product!$A:$A,product!$F:$F,,0)=0,"",_xlfn.XLOOKUP(D385,product!$A:$A,product!$F:$F,,0))</f>
        <v>Yes</v>
      </c>
      <c r="M385" t="str">
        <f>IF(_xlfn.XLOOKUP(D385,product!$A:$A,product!G:G,,0)=0,"",_xlfn.XLOOKUP(D385,product!$A:$A,product!G:G,,0))</f>
        <v>None</v>
      </c>
      <c r="N385" t="str">
        <f>IF(_xlfn.XLOOKUP(D385,product!$A:$A,product!$B:$B,,0)=0,"",_xlfn.XLOOKUP(D385,product!$A:$A,product!$B:$B,,0))</f>
        <v>Journey Mind</v>
      </c>
    </row>
    <row r="386" spans="1:14" x14ac:dyDescent="0.35">
      <c r="A386" t="s">
        <v>731</v>
      </c>
      <c r="B386" s="3">
        <v>45199</v>
      </c>
      <c r="C386" t="s">
        <v>2455</v>
      </c>
      <c r="D386" t="s">
        <v>5741</v>
      </c>
      <c r="E386">
        <v>4</v>
      </c>
      <c r="F386" t="str">
        <f>_xlfn.XLOOKUP(C386,customers!$A$1:$A$983,customers!$B$1:$B$983,,0)</f>
        <v>Ava Taylor</v>
      </c>
      <c r="G386" t="str">
        <f>_xlfn.XLOOKUP(C386,customers!$A:$A,customers!$C:$C,,0)</f>
        <v>ava.taylor450@yahoo.com</v>
      </c>
      <c r="H386" t="str">
        <f>IF(_xlfn.XLOOKUP(C386,customers!$A:$A,customers!$G:$G,,0)=0,"",_xlfn.XLOOKUP(C386,customers!$A:$A,customers!$G:$G,,0))</f>
        <v>Germany</v>
      </c>
      <c r="I386" t="str">
        <f>IF(_xlfn.XLOOKUP(D386,product!$A:$A,product!$E:$E,,0)=0,"",_xlfn.XLOOKUP(D386,product!$A:$A,product!$E:$E,,0))</f>
        <v>HISTORY</v>
      </c>
      <c r="J386" s="5">
        <f>IF(_xlfn.XLOOKUP(D386,product!$A:$A,product!$D:$D,,0)=0,"",_xlfn.XLOOKUP(D386,product!$A:$A,product!$D:$D,,0))</f>
        <v>37.049999999999997</v>
      </c>
      <c r="K386" s="7">
        <f t="shared" si="5"/>
        <v>148.19999999999999</v>
      </c>
      <c r="L386" s="10" t="str">
        <f>IF(_xlfn.XLOOKUP(D386,product!$A:$A,product!$F:$F,,0)=0,"",_xlfn.XLOOKUP(D386,product!$A:$A,product!$F:$F,,0))</f>
        <v>Yes</v>
      </c>
      <c r="M386" t="str">
        <f>IF(_xlfn.XLOOKUP(D386,product!$A:$A,product!G:G,,0)=0,"",_xlfn.XLOOKUP(D386,product!$A:$A,product!G:G,,0))</f>
        <v>None</v>
      </c>
      <c r="N386" t="str">
        <f>IF(_xlfn.XLOOKUP(D386,product!$A:$A,product!$B:$B,,0)=0,"",_xlfn.XLOOKUP(D386,product!$A:$A,product!$B:$B,,0))</f>
        <v>Science Quantum</v>
      </c>
    </row>
    <row r="387" spans="1:14" x14ac:dyDescent="0.35">
      <c r="A387" t="s">
        <v>748</v>
      </c>
      <c r="B387" s="3">
        <v>45641</v>
      </c>
      <c r="C387" t="s">
        <v>3271</v>
      </c>
      <c r="D387" t="s">
        <v>5742</v>
      </c>
      <c r="E387">
        <v>4</v>
      </c>
      <c r="F387" t="str">
        <f>_xlfn.XLOOKUP(C387,customers!$A$1:$A$983,customers!$B$1:$B$983,,0)</f>
        <v>Hannah Young</v>
      </c>
      <c r="G387" t="str">
        <f>_xlfn.XLOOKUP(C387,customers!$A:$A,customers!$C:$C,,0)</f>
        <v>hannah.young849@yahoo.com</v>
      </c>
      <c r="H387" t="str">
        <f>IF(_xlfn.XLOOKUP(C387,customers!$A:$A,customers!$G:$G,,0)=0,"",_xlfn.XLOOKUP(C387,customers!$A:$A,customers!$G:$G,,0))</f>
        <v>Spain</v>
      </c>
      <c r="I387" t="str">
        <f>IF(_xlfn.XLOOKUP(D387,product!$A:$A,product!$E:$E,,0)=0,"",_xlfn.XLOOKUP(D387,product!$A:$A,product!$E:$E,,0))</f>
        <v>FICTION</v>
      </c>
      <c r="J387" s="5">
        <f>IF(_xlfn.XLOOKUP(D387,product!$A:$A,product!$D:$D,,0)=0,"",_xlfn.XLOOKUP(D387,product!$A:$A,product!$D:$D,,0))</f>
        <v>31.47</v>
      </c>
      <c r="K387" s="7">
        <f t="shared" ref="K387:K450" si="6">J387*E387</f>
        <v>125.88</v>
      </c>
      <c r="L387" s="10" t="str">
        <f>IF(_xlfn.XLOOKUP(D387,product!$A:$A,product!$F:$F,,0)=0,"",_xlfn.XLOOKUP(D387,product!$A:$A,product!$F:$F,,0))</f>
        <v>Yes</v>
      </c>
      <c r="M387" t="str">
        <f>IF(_xlfn.XLOOKUP(D387,product!$A:$A,product!G:G,,0)=0,"",_xlfn.XLOOKUP(D387,product!$A:$A,product!G:G,,0))</f>
        <v>Gold</v>
      </c>
      <c r="N387" t="str">
        <f>IF(_xlfn.XLOOKUP(D387,product!$A:$A,product!$B:$B,,0)=0,"",_xlfn.XLOOKUP(D387,product!$A:$A,product!$B:$B,,0))</f>
        <v>Data Silent</v>
      </c>
    </row>
    <row r="388" spans="1:14" x14ac:dyDescent="0.35">
      <c r="A388" t="s">
        <v>765</v>
      </c>
      <c r="B388" s="3">
        <v>45013</v>
      </c>
      <c r="C388" t="s">
        <v>2212</v>
      </c>
      <c r="D388" t="s">
        <v>5743</v>
      </c>
      <c r="E388">
        <v>4</v>
      </c>
      <c r="F388" t="str">
        <f>_xlfn.XLOOKUP(C388,customers!$A$1:$A$983,customers!$B$1:$B$983,,0)</f>
        <v>Daniel Lopez</v>
      </c>
      <c r="G388" t="str">
        <f>_xlfn.XLOOKUP(C388,customers!$A:$A,customers!$C:$C,,0)</f>
        <v>daniel.lopez342@yahoo.com</v>
      </c>
      <c r="H388" t="str">
        <f>IF(_xlfn.XLOOKUP(C388,customers!$A:$A,customers!$G:$G,,0)=0,"",_xlfn.XLOOKUP(C388,customers!$A:$A,customers!$G:$G,,0))</f>
        <v>Germany</v>
      </c>
      <c r="I388" t="str">
        <f>IF(_xlfn.XLOOKUP(D388,product!$A:$A,product!$E:$E,,0)=0,"",_xlfn.XLOOKUP(D388,product!$A:$A,product!$E:$E,,0))</f>
        <v>BUSINESS</v>
      </c>
      <c r="J388" s="5">
        <f>IF(_xlfn.XLOOKUP(D388,product!$A:$A,product!$D:$D,,0)=0,"",_xlfn.XLOOKUP(D388,product!$A:$A,product!$D:$D,,0))</f>
        <v>29.14</v>
      </c>
      <c r="K388" s="7">
        <f t="shared" si="6"/>
        <v>116.56</v>
      </c>
      <c r="L388" s="10" t="str">
        <f>IF(_xlfn.XLOOKUP(D388,product!$A:$A,product!$F:$F,,0)=0,"",_xlfn.XLOOKUP(D388,product!$A:$A,product!$F:$F,,0))</f>
        <v>Yes</v>
      </c>
      <c r="M388" t="str">
        <f>IF(_xlfn.XLOOKUP(D388,product!$A:$A,product!G:G,,0)=0,"",_xlfn.XLOOKUP(D388,product!$A:$A,product!G:G,,0))</f>
        <v>Gold</v>
      </c>
      <c r="N388" t="str">
        <f>IF(_xlfn.XLOOKUP(D388,product!$A:$A,product!$B:$B,,0)=0,"",_xlfn.XLOOKUP(D388,product!$A:$A,product!$B:$B,,0))</f>
        <v>Data Quantum</v>
      </c>
    </row>
    <row r="389" spans="1:14" x14ac:dyDescent="0.35">
      <c r="A389" t="s">
        <v>782</v>
      </c>
      <c r="B389" s="3">
        <v>45342</v>
      </c>
      <c r="C389" t="s">
        <v>2596</v>
      </c>
      <c r="D389" t="s">
        <v>5744</v>
      </c>
      <c r="E389">
        <v>4</v>
      </c>
      <c r="F389" t="str">
        <f>_xlfn.XLOOKUP(C389,customers!$A$1:$A$983,customers!$B$1:$B$983,,0)</f>
        <v>Joshua Harris</v>
      </c>
      <c r="G389" t="str">
        <f>_xlfn.XLOOKUP(C389,customers!$A:$A,customers!$C:$C,,0)</f>
        <v>joshua.harris518@outlook.com</v>
      </c>
      <c r="H389" t="str">
        <f>IF(_xlfn.XLOOKUP(C389,customers!$A:$A,customers!$G:$G,,0)=0,"",_xlfn.XLOOKUP(C389,customers!$A:$A,customers!$G:$G,,0))</f>
        <v>Egypt</v>
      </c>
      <c r="I389" t="str">
        <f>IF(_xlfn.XLOOKUP(D389,product!$A:$A,product!$E:$E,,0)=0,"",_xlfn.XLOOKUP(D389,product!$A:$A,product!$E:$E,,0))</f>
        <v>TECH</v>
      </c>
      <c r="J389" s="5">
        <f>IF(_xlfn.XLOOKUP(D389,product!$A:$A,product!$D:$D,,0)=0,"",_xlfn.XLOOKUP(D389,product!$A:$A,product!$D:$D,,0))</f>
        <v>37.74</v>
      </c>
      <c r="K389" s="7">
        <f t="shared" si="6"/>
        <v>150.96</v>
      </c>
      <c r="L389" s="10" t="str">
        <f>IF(_xlfn.XLOOKUP(D389,product!$A:$A,product!$F:$F,,0)=0,"",_xlfn.XLOOKUP(D389,product!$A:$A,product!$F:$F,,0))</f>
        <v>Yes</v>
      </c>
      <c r="M389" t="str">
        <f>IF(_xlfn.XLOOKUP(D389,product!$A:$A,product!G:G,,0)=0,"",_xlfn.XLOOKUP(D389,product!$A:$A,product!G:G,,0))</f>
        <v>None</v>
      </c>
      <c r="N389" t="str">
        <f>IF(_xlfn.XLOOKUP(D389,product!$A:$A,product!$B:$B,,0)=0,"",_xlfn.XLOOKUP(D389,product!$A:$A,product!$B:$B,,0))</f>
        <v>Future Power</v>
      </c>
    </row>
    <row r="390" spans="1:14" x14ac:dyDescent="0.35">
      <c r="A390" t="s">
        <v>799</v>
      </c>
      <c r="B390" s="3">
        <v>45140</v>
      </c>
      <c r="C390" t="s">
        <v>2415</v>
      </c>
      <c r="D390" t="s">
        <v>5745</v>
      </c>
      <c r="E390">
        <v>4</v>
      </c>
      <c r="F390" t="str">
        <f>_xlfn.XLOOKUP(C390,customers!$A$1:$A$983,customers!$B$1:$B$983,,0)</f>
        <v>Amelia Harris</v>
      </c>
      <c r="G390" t="str">
        <f>_xlfn.XLOOKUP(C390,customers!$A:$A,customers!$C:$C,,0)</f>
        <v>amelia.harris432@yahoo.com</v>
      </c>
      <c r="H390" t="str">
        <f>IF(_xlfn.XLOOKUP(C390,customers!$A:$A,customers!$G:$G,,0)=0,"",_xlfn.XLOOKUP(C390,customers!$A:$A,customers!$G:$G,,0))</f>
        <v>Germany</v>
      </c>
      <c r="I390" t="str">
        <f>IF(_xlfn.XLOOKUP(D390,product!$A:$A,product!$E:$E,,0)=0,"",_xlfn.XLOOKUP(D390,product!$A:$A,product!$E:$E,,0))</f>
        <v>FICTION</v>
      </c>
      <c r="J390" s="5">
        <f>IF(_xlfn.XLOOKUP(D390,product!$A:$A,product!$D:$D,,0)=0,"",_xlfn.XLOOKUP(D390,product!$A:$A,product!$D:$D,,0))</f>
        <v>31.1</v>
      </c>
      <c r="K390" s="7">
        <f t="shared" si="6"/>
        <v>124.4</v>
      </c>
      <c r="L390" s="10" t="str">
        <f>IF(_xlfn.XLOOKUP(D390,product!$A:$A,product!$F:$F,,0)=0,"",_xlfn.XLOOKUP(D390,product!$A:$A,product!$F:$F,,0))</f>
        <v>Yes</v>
      </c>
      <c r="M390" t="str">
        <f>IF(_xlfn.XLOOKUP(D390,product!$A:$A,product!G:G,,0)=0,"",_xlfn.XLOOKUP(D390,product!$A:$A,product!G:G,,0))</f>
        <v>None</v>
      </c>
      <c r="N390" t="str">
        <f>IF(_xlfn.XLOOKUP(D390,product!$A:$A,product!$B:$B,,0)=0,"",_xlfn.XLOOKUP(D390,product!$A:$A,product!$B:$B,,0))</f>
        <v>Future Mind</v>
      </c>
    </row>
    <row r="391" spans="1:14" x14ac:dyDescent="0.35">
      <c r="A391" t="s">
        <v>816</v>
      </c>
      <c r="B391" s="3">
        <v>45437</v>
      </c>
      <c r="C391" t="s">
        <v>3103</v>
      </c>
      <c r="D391" t="s">
        <v>5746</v>
      </c>
      <c r="E391">
        <v>4</v>
      </c>
      <c r="F391" t="str">
        <f>_xlfn.XLOOKUP(C391,customers!$A$1:$A$983,customers!$B$1:$B$983,,0)</f>
        <v>Grace Rodriguez</v>
      </c>
      <c r="G391" t="str">
        <f>_xlfn.XLOOKUP(C391,customers!$A:$A,customers!$C:$C,,0)</f>
        <v>grace.rodriguez764@outlook.com</v>
      </c>
      <c r="H391" t="str">
        <f>IF(_xlfn.XLOOKUP(C391,customers!$A:$A,customers!$G:$G,,0)=0,"",_xlfn.XLOOKUP(C391,customers!$A:$A,customers!$G:$G,,0))</f>
        <v>Venezuela</v>
      </c>
      <c r="I391" t="str">
        <f>IF(_xlfn.XLOOKUP(D391,product!$A:$A,product!$E:$E,,0)=0,"",_xlfn.XLOOKUP(D391,product!$A:$A,product!$E:$E,,0))</f>
        <v>HISTORY</v>
      </c>
      <c r="J391" s="5">
        <f>IF(_xlfn.XLOOKUP(D391,product!$A:$A,product!$D:$D,,0)=0,"",_xlfn.XLOOKUP(D391,product!$A:$A,product!$D:$D,,0))</f>
        <v>33.17</v>
      </c>
      <c r="K391" s="7">
        <f t="shared" si="6"/>
        <v>132.68</v>
      </c>
      <c r="L391" s="10" t="str">
        <f>IF(_xlfn.XLOOKUP(D391,product!$A:$A,product!$F:$F,,0)=0,"",_xlfn.XLOOKUP(D391,product!$A:$A,product!$F:$F,,0))</f>
        <v>Yes</v>
      </c>
      <c r="M391" t="str">
        <f>IF(_xlfn.XLOOKUP(D391,product!$A:$A,product!G:G,,0)=0,"",_xlfn.XLOOKUP(D391,product!$A:$A,product!G:G,,0))</f>
        <v>Silver</v>
      </c>
      <c r="N391" t="str">
        <f>IF(_xlfn.XLOOKUP(D391,product!$A:$A,product!$B:$B,,0)=0,"",_xlfn.XLOOKUP(D391,product!$A:$A,product!$B:$B,,0))</f>
        <v>Silent Forest</v>
      </c>
    </row>
    <row r="392" spans="1:14" x14ac:dyDescent="0.35">
      <c r="A392" t="s">
        <v>833</v>
      </c>
      <c r="B392" s="3">
        <v>45253</v>
      </c>
      <c r="C392" t="s">
        <v>2159</v>
      </c>
      <c r="D392" t="s">
        <v>5748</v>
      </c>
      <c r="E392">
        <v>4</v>
      </c>
      <c r="F392" t="str">
        <f>_xlfn.XLOOKUP(C392,customers!$A$1:$A$983,customers!$B$1:$B$983,,0)</f>
        <v>Ryan Johnson</v>
      </c>
      <c r="G392" t="str">
        <f>_xlfn.XLOOKUP(C392,customers!$A:$A,customers!$C:$C,,0)</f>
        <v>ryan.johnson319@yahoo.com</v>
      </c>
      <c r="H392" t="str">
        <f>IF(_xlfn.XLOOKUP(C392,customers!$A:$A,customers!$G:$G,,0)=0,"",_xlfn.XLOOKUP(C392,customers!$A:$A,customers!$G:$G,,0))</f>
        <v>Sweden</v>
      </c>
      <c r="I392" t="str">
        <f>IF(_xlfn.XLOOKUP(D392,product!$A:$A,product!$E:$E,,0)=0,"",_xlfn.XLOOKUP(D392,product!$A:$A,product!$E:$E,,0))</f>
        <v>TECH</v>
      </c>
      <c r="J392" s="5">
        <f>IF(_xlfn.XLOOKUP(D392,product!$A:$A,product!$D:$D,,0)=0,"",_xlfn.XLOOKUP(D392,product!$A:$A,product!$D:$D,,0))</f>
        <v>33.31</v>
      </c>
      <c r="K392" s="7">
        <f t="shared" si="6"/>
        <v>133.24</v>
      </c>
      <c r="L392" s="10" t="str">
        <f>IF(_xlfn.XLOOKUP(D392,product!$A:$A,product!$F:$F,,0)=0,"",_xlfn.XLOOKUP(D392,product!$A:$A,product!$F:$F,,0))</f>
        <v>Yes</v>
      </c>
      <c r="M392" t="str">
        <f>IF(_xlfn.XLOOKUP(D392,product!$A:$A,product!G:G,,0)=0,"",_xlfn.XLOOKUP(D392,product!$A:$A,product!G:G,,0))</f>
        <v>None</v>
      </c>
      <c r="N392" t="str">
        <f>IF(_xlfn.XLOOKUP(D392,product!$A:$A,product!$B:$B,,0)=0,"",_xlfn.XLOOKUP(D392,product!$A:$A,product!$B:$B,,0))</f>
        <v>Future Forest</v>
      </c>
    </row>
    <row r="393" spans="1:14" x14ac:dyDescent="0.35">
      <c r="A393" t="s">
        <v>850</v>
      </c>
      <c r="B393" s="3">
        <v>45497</v>
      </c>
      <c r="C393" t="s">
        <v>3506</v>
      </c>
      <c r="D393" t="s">
        <v>5749</v>
      </c>
      <c r="E393">
        <v>4</v>
      </c>
      <c r="F393" t="str">
        <f>_xlfn.XLOOKUP(C393,customers!$A$1:$A$983,customers!$B$1:$B$983,,0)</f>
        <v>Lucy Scott</v>
      </c>
      <c r="G393" t="str">
        <f>_xlfn.XLOOKUP(C393,customers!$A:$A,customers!$C:$C,,0)</f>
        <v>lucy.scott968@hotmail.com</v>
      </c>
      <c r="H393" t="str">
        <f>IF(_xlfn.XLOOKUP(C393,customers!$A:$A,customers!$G:$G,,0)=0,"",_xlfn.XLOOKUP(C393,customers!$A:$A,customers!$G:$G,,0))</f>
        <v>Saudi Arabia</v>
      </c>
      <c r="I393" t="str">
        <f>IF(_xlfn.XLOOKUP(D393,product!$A:$A,product!$E:$E,,0)=0,"",_xlfn.XLOOKUP(D393,product!$A:$A,product!$E:$E,,0))</f>
        <v>HISTORY</v>
      </c>
      <c r="J393" s="5">
        <f>IF(_xlfn.XLOOKUP(D393,product!$A:$A,product!$D:$D,,0)=0,"",_xlfn.XLOOKUP(D393,product!$A:$A,product!$D:$D,,0))</f>
        <v>20.18</v>
      </c>
      <c r="K393" s="7">
        <f t="shared" si="6"/>
        <v>80.72</v>
      </c>
      <c r="L393" s="10" t="str">
        <f>IF(_xlfn.XLOOKUP(D393,product!$A:$A,product!$F:$F,,0)=0,"",_xlfn.XLOOKUP(D393,product!$A:$A,product!$F:$F,,0))</f>
        <v>Yes</v>
      </c>
      <c r="M393" t="str">
        <f>IF(_xlfn.XLOOKUP(D393,product!$A:$A,product!G:G,,0)=0,"",_xlfn.XLOOKUP(D393,product!$A:$A,product!G:G,,0))</f>
        <v>Silver</v>
      </c>
      <c r="N393" t="str">
        <f>IF(_xlfn.XLOOKUP(D393,product!$A:$A,product!$B:$B,,0)=0,"",_xlfn.XLOOKUP(D393,product!$A:$A,product!$B:$B,,0))</f>
        <v>Science Future</v>
      </c>
    </row>
    <row r="394" spans="1:14" x14ac:dyDescent="0.35">
      <c r="A394" t="s">
        <v>867</v>
      </c>
      <c r="B394" s="3">
        <v>45087</v>
      </c>
      <c r="C394" t="s">
        <v>3145</v>
      </c>
      <c r="D394" t="s">
        <v>5750</v>
      </c>
      <c r="E394">
        <v>4</v>
      </c>
      <c r="F394" t="str">
        <f>_xlfn.XLOOKUP(C394,customers!$A$1:$A$983,customers!$B$1:$B$983,,0)</f>
        <v>Ryan Harris</v>
      </c>
      <c r="G394" t="str">
        <f>_xlfn.XLOOKUP(C394,customers!$A:$A,customers!$C:$C,,0)</f>
        <v>ryan.harris785@yahoo.com</v>
      </c>
      <c r="H394" t="str">
        <f>IF(_xlfn.XLOOKUP(C394,customers!$A:$A,customers!$G:$G,,0)=0,"",_xlfn.XLOOKUP(C394,customers!$A:$A,customers!$G:$G,,0))</f>
        <v>Pakistan</v>
      </c>
      <c r="I394" t="str">
        <f>IF(_xlfn.XLOOKUP(D394,product!$A:$A,product!$E:$E,,0)=0,"",_xlfn.XLOOKUP(D394,product!$A:$A,product!$E:$E,,0))</f>
        <v>BUSINESS</v>
      </c>
      <c r="J394" s="5">
        <f>IF(_xlfn.XLOOKUP(D394,product!$A:$A,product!$D:$D,,0)=0,"",_xlfn.XLOOKUP(D394,product!$A:$A,product!$D:$D,,0))</f>
        <v>27.69</v>
      </c>
      <c r="K394" s="7">
        <f t="shared" si="6"/>
        <v>110.76</v>
      </c>
      <c r="L394" s="10" t="str">
        <f>IF(_xlfn.XLOOKUP(D394,product!$A:$A,product!$F:$F,,0)=0,"",_xlfn.XLOOKUP(D394,product!$A:$A,product!$F:$F,,0))</f>
        <v>No</v>
      </c>
      <c r="M394" t="str">
        <f>IF(_xlfn.XLOOKUP(D394,product!$A:$A,product!G:G,,0)=0,"",_xlfn.XLOOKUP(D394,product!$A:$A,product!G:G,,0))</f>
        <v>None</v>
      </c>
      <c r="N394" t="str">
        <f>IF(_xlfn.XLOOKUP(D394,product!$A:$A,product!$B:$B,,0)=0,"",_xlfn.XLOOKUP(D394,product!$A:$A,product!$B:$B,,0))</f>
        <v>Silent Forest</v>
      </c>
    </row>
    <row r="395" spans="1:14" x14ac:dyDescent="0.35">
      <c r="A395" t="s">
        <v>884</v>
      </c>
      <c r="B395" s="3">
        <v>45545</v>
      </c>
      <c r="C395" t="s">
        <v>2481</v>
      </c>
      <c r="D395" t="s">
        <v>5751</v>
      </c>
      <c r="E395">
        <v>4</v>
      </c>
      <c r="F395" t="str">
        <f>_xlfn.XLOOKUP(C395,customers!$A$1:$A$983,customers!$B$1:$B$983,,0)</f>
        <v>Edward Johnson</v>
      </c>
      <c r="G395" t="str">
        <f>_xlfn.XLOOKUP(C395,customers!$A:$A,customers!$C:$C,,0)</f>
        <v>edward.johnson462@yahoo.com</v>
      </c>
      <c r="H395" t="str">
        <f>IF(_xlfn.XLOOKUP(C395,customers!$A:$A,customers!$G:$G,,0)=0,"",_xlfn.XLOOKUP(C395,customers!$A:$A,customers!$G:$G,,0))</f>
        <v>Japan</v>
      </c>
      <c r="I395" t="str">
        <f>IF(_xlfn.XLOOKUP(D395,product!$A:$A,product!$E:$E,,0)=0,"",_xlfn.XLOOKUP(D395,product!$A:$A,product!$E:$E,,0))</f>
        <v>FICTION</v>
      </c>
      <c r="J395" s="5">
        <f>IF(_xlfn.XLOOKUP(D395,product!$A:$A,product!$D:$D,,0)=0,"",_xlfn.XLOOKUP(D395,product!$A:$A,product!$D:$D,,0))</f>
        <v>10.73</v>
      </c>
      <c r="K395" s="7">
        <f t="shared" si="6"/>
        <v>42.92</v>
      </c>
      <c r="L395" s="10" t="str">
        <f>IF(_xlfn.XLOOKUP(D395,product!$A:$A,product!$F:$F,,0)=0,"",_xlfn.XLOOKUP(D395,product!$A:$A,product!$F:$F,,0))</f>
        <v>Yes</v>
      </c>
      <c r="M395" t="str">
        <f>IF(_xlfn.XLOOKUP(D395,product!$A:$A,product!G:G,,0)=0,"",_xlfn.XLOOKUP(D395,product!$A:$A,product!G:G,,0))</f>
        <v>Gold</v>
      </c>
      <c r="N395" t="str">
        <f>IF(_xlfn.XLOOKUP(D395,product!$A:$A,product!$B:$B,,0)=0,"",_xlfn.XLOOKUP(D395,product!$A:$A,product!$B:$B,,0))</f>
        <v>Mind Science</v>
      </c>
    </row>
    <row r="396" spans="1:14" x14ac:dyDescent="0.35">
      <c r="A396" t="s">
        <v>901</v>
      </c>
      <c r="B396" s="3">
        <v>45044</v>
      </c>
      <c r="C396" t="s">
        <v>2487</v>
      </c>
      <c r="D396" t="s">
        <v>5752</v>
      </c>
      <c r="E396">
        <v>4</v>
      </c>
      <c r="F396" t="str">
        <f>_xlfn.XLOOKUP(C396,customers!$A$1:$A$983,customers!$B$1:$B$983,,0)</f>
        <v>Paul Lopez</v>
      </c>
      <c r="G396" t="str">
        <f>_xlfn.XLOOKUP(C396,customers!$A:$A,customers!$C:$C,,0)</f>
        <v>paul.lopez465@hotmail.com</v>
      </c>
      <c r="H396" t="str">
        <f>IF(_xlfn.XLOOKUP(C396,customers!$A:$A,customers!$G:$G,,0)=0,"",_xlfn.XLOOKUP(C396,customers!$A:$A,customers!$G:$G,,0))</f>
        <v>Spain</v>
      </c>
      <c r="I396" t="str">
        <f>IF(_xlfn.XLOOKUP(D396,product!$A:$A,product!$E:$E,,0)=0,"",_xlfn.XLOOKUP(D396,product!$A:$A,product!$E:$E,,0))</f>
        <v>TECH</v>
      </c>
      <c r="J396" s="5">
        <f>IF(_xlfn.XLOOKUP(D396,product!$A:$A,product!$D:$D,,0)=0,"",_xlfn.XLOOKUP(D396,product!$A:$A,product!$D:$D,,0))</f>
        <v>19.71</v>
      </c>
      <c r="K396" s="7">
        <f t="shared" si="6"/>
        <v>78.84</v>
      </c>
      <c r="L396" s="10" t="str">
        <f>IF(_xlfn.XLOOKUP(D396,product!$A:$A,product!$F:$F,,0)=0,"",_xlfn.XLOOKUP(D396,product!$A:$A,product!$F:$F,,0))</f>
        <v>No</v>
      </c>
      <c r="M396" t="str">
        <f>IF(_xlfn.XLOOKUP(D396,product!$A:$A,product!G:G,,0)=0,"",_xlfn.XLOOKUP(D396,product!$A:$A,product!G:G,,0))</f>
        <v>None</v>
      </c>
      <c r="N396" t="str">
        <f>IF(_xlfn.XLOOKUP(D396,product!$A:$A,product!$B:$B,,0)=0,"",_xlfn.XLOOKUP(D396,product!$A:$A,product!$B:$B,,0))</f>
        <v>Science Quantum</v>
      </c>
    </row>
    <row r="397" spans="1:14" x14ac:dyDescent="0.35">
      <c r="A397" t="s">
        <v>918</v>
      </c>
      <c r="B397" s="3">
        <v>45318</v>
      </c>
      <c r="C397" t="s">
        <v>2264</v>
      </c>
      <c r="D397" t="s">
        <v>5753</v>
      </c>
      <c r="E397">
        <v>4</v>
      </c>
      <c r="F397" t="str">
        <f>_xlfn.XLOOKUP(C397,customers!$A$1:$A$983,customers!$B$1:$B$983,,0)</f>
        <v>Charlotte Harris</v>
      </c>
      <c r="G397" t="str">
        <f>_xlfn.XLOOKUP(C397,customers!$A:$A,customers!$C:$C,,0)</f>
        <v>charlotte.harris364@outlook.com</v>
      </c>
      <c r="H397" t="str">
        <f>IF(_xlfn.XLOOKUP(C397,customers!$A:$A,customers!$G:$G,,0)=0,"",_xlfn.XLOOKUP(C397,customers!$A:$A,customers!$G:$G,,0))</f>
        <v>Sweden</v>
      </c>
      <c r="I397" t="str">
        <f>IF(_xlfn.XLOOKUP(D397,product!$A:$A,product!$E:$E,,0)=0,"",_xlfn.XLOOKUP(D397,product!$A:$A,product!$E:$E,,0))</f>
        <v>BUSINESS</v>
      </c>
      <c r="J397" s="5">
        <f>IF(_xlfn.XLOOKUP(D397,product!$A:$A,product!$D:$D,,0)=0,"",_xlfn.XLOOKUP(D397,product!$A:$A,product!$D:$D,,0))</f>
        <v>36.89</v>
      </c>
      <c r="K397" s="7">
        <f t="shared" si="6"/>
        <v>147.56</v>
      </c>
      <c r="L397" s="10" t="str">
        <f>IF(_xlfn.XLOOKUP(D397,product!$A:$A,product!$F:$F,,0)=0,"",_xlfn.XLOOKUP(D397,product!$A:$A,product!$F:$F,,0))</f>
        <v>Yes</v>
      </c>
      <c r="M397" t="str">
        <f>IF(_xlfn.XLOOKUP(D397,product!$A:$A,product!G:G,,0)=0,"",_xlfn.XLOOKUP(D397,product!$A:$A,product!G:G,,0))</f>
        <v>None</v>
      </c>
      <c r="N397" t="str">
        <f>IF(_xlfn.XLOOKUP(D397,product!$A:$A,product!$B:$B,,0)=0,"",_xlfn.XLOOKUP(D397,product!$A:$A,product!$B:$B,,0))</f>
        <v>Science Silent</v>
      </c>
    </row>
    <row r="398" spans="1:14" x14ac:dyDescent="0.35">
      <c r="A398" t="s">
        <v>935</v>
      </c>
      <c r="B398" s="3">
        <v>45201</v>
      </c>
      <c r="C398" t="s">
        <v>2275</v>
      </c>
      <c r="D398" t="s">
        <v>5754</v>
      </c>
      <c r="E398">
        <v>4</v>
      </c>
      <c r="F398" t="str">
        <f>_xlfn.XLOOKUP(C398,customers!$A$1:$A$983,customers!$B$1:$B$983,,0)</f>
        <v>Paul Hill</v>
      </c>
      <c r="G398" t="str">
        <f>_xlfn.XLOOKUP(C398,customers!$A:$A,customers!$C:$C,,0)</f>
        <v>paul.hill369@hotmail.com</v>
      </c>
      <c r="H398" t="str">
        <f>IF(_xlfn.XLOOKUP(C398,customers!$A:$A,customers!$G:$G,,0)=0,"",_xlfn.XLOOKUP(C398,customers!$A:$A,customers!$G:$G,,0))</f>
        <v>Germany</v>
      </c>
      <c r="I398" t="str">
        <f>IF(_xlfn.XLOOKUP(D398,product!$A:$A,product!$E:$E,,0)=0,"",_xlfn.XLOOKUP(D398,product!$A:$A,product!$E:$E,,0))</f>
        <v>HISTORY</v>
      </c>
      <c r="J398" s="5">
        <f>IF(_xlfn.XLOOKUP(D398,product!$A:$A,product!$D:$D,,0)=0,"",_xlfn.XLOOKUP(D398,product!$A:$A,product!$D:$D,,0))</f>
        <v>17.18</v>
      </c>
      <c r="K398" s="7">
        <f t="shared" si="6"/>
        <v>68.72</v>
      </c>
      <c r="L398" s="10" t="str">
        <f>IF(_xlfn.XLOOKUP(D398,product!$A:$A,product!$F:$F,,0)=0,"",_xlfn.XLOOKUP(D398,product!$A:$A,product!$F:$F,,0))</f>
        <v>Yes</v>
      </c>
      <c r="M398" t="str">
        <f>IF(_xlfn.XLOOKUP(D398,product!$A:$A,product!G:G,,0)=0,"",_xlfn.XLOOKUP(D398,product!$A:$A,product!G:G,,0))</f>
        <v>Platinum</v>
      </c>
      <c r="N398" t="str">
        <f>IF(_xlfn.XLOOKUP(D398,product!$A:$A,product!$B:$B,,0)=0,"",_xlfn.XLOOKUP(D398,product!$A:$A,product!$B:$B,,0))</f>
        <v>Power Secrets</v>
      </c>
    </row>
    <row r="399" spans="1:14" x14ac:dyDescent="0.35">
      <c r="A399" t="s">
        <v>952</v>
      </c>
      <c r="B399" s="3">
        <v>45621</v>
      </c>
      <c r="C399" t="s">
        <v>2637</v>
      </c>
      <c r="D399" t="s">
        <v>5755</v>
      </c>
      <c r="E399">
        <v>4</v>
      </c>
      <c r="F399" t="str">
        <f>_xlfn.XLOOKUP(C399,customers!$A$1:$A$983,customers!$B$1:$B$983,,0)</f>
        <v>Edward Lee</v>
      </c>
      <c r="G399" t="str">
        <f>_xlfn.XLOOKUP(C399,customers!$A:$A,customers!$C:$C,,0)</f>
        <v>edward.lee538@yahoo.com</v>
      </c>
      <c r="H399" t="str">
        <f>IF(_xlfn.XLOOKUP(C399,customers!$A:$A,customers!$G:$G,,0)=0,"",_xlfn.XLOOKUP(C399,customers!$A:$A,customers!$G:$G,,0))</f>
        <v>Japan</v>
      </c>
      <c r="I399" t="str">
        <f>IF(_xlfn.XLOOKUP(D399,product!$A:$A,product!$E:$E,,0)=0,"",_xlfn.XLOOKUP(D399,product!$A:$A,product!$E:$E,,0))</f>
        <v>SCIENCE</v>
      </c>
      <c r="J399" s="5">
        <f>IF(_xlfn.XLOOKUP(D399,product!$A:$A,product!$D:$D,,0)=0,"",_xlfn.XLOOKUP(D399,product!$A:$A,product!$D:$D,,0))</f>
        <v>31.87</v>
      </c>
      <c r="K399" s="7">
        <f t="shared" si="6"/>
        <v>127.48</v>
      </c>
      <c r="L399" s="10" t="str">
        <f>IF(_xlfn.XLOOKUP(D399,product!$A:$A,product!$F:$F,,0)=0,"",_xlfn.XLOOKUP(D399,product!$A:$A,product!$F:$F,,0))</f>
        <v>Yes</v>
      </c>
      <c r="M399" t="str">
        <f>IF(_xlfn.XLOOKUP(D399,product!$A:$A,product!G:G,,0)=0,"",_xlfn.XLOOKUP(D399,product!$A:$A,product!G:G,,0))</f>
        <v>None</v>
      </c>
      <c r="N399" t="str">
        <f>IF(_xlfn.XLOOKUP(D399,product!$A:$A,product!$B:$B,,0)=0,"",_xlfn.XLOOKUP(D399,product!$A:$A,product!$B:$B,,0))</f>
        <v>Power Future</v>
      </c>
    </row>
    <row r="400" spans="1:14" x14ac:dyDescent="0.35">
      <c r="A400" t="s">
        <v>969</v>
      </c>
      <c r="B400" s="3">
        <v>45264</v>
      </c>
      <c r="C400" t="s">
        <v>2203</v>
      </c>
      <c r="D400" t="s">
        <v>5756</v>
      </c>
      <c r="E400">
        <v>4</v>
      </c>
      <c r="F400" t="str">
        <f>_xlfn.XLOOKUP(C400,customers!$A$1:$A$983,customers!$B$1:$B$983,,0)</f>
        <v>Mark Young</v>
      </c>
      <c r="G400" t="str">
        <f>_xlfn.XLOOKUP(C400,customers!$A:$A,customers!$C:$C,,0)</f>
        <v>mark.young338@yahoo.com</v>
      </c>
      <c r="H400" t="str">
        <f>IF(_xlfn.XLOOKUP(C400,customers!$A:$A,customers!$G:$G,,0)=0,"",_xlfn.XLOOKUP(C400,customers!$A:$A,customers!$G:$G,,0))</f>
        <v>Egypt</v>
      </c>
      <c r="I400" t="str">
        <f>IF(_xlfn.XLOOKUP(D400,product!$A:$A,product!$E:$E,,0)=0,"",_xlfn.XLOOKUP(D400,product!$A:$A,product!$E:$E,,0))</f>
        <v>BUSINESS</v>
      </c>
      <c r="J400" s="5">
        <f>IF(_xlfn.XLOOKUP(D400,product!$A:$A,product!$D:$D,,0)=0,"",_xlfn.XLOOKUP(D400,product!$A:$A,product!$D:$D,,0))</f>
        <v>14.81</v>
      </c>
      <c r="K400" s="7">
        <f t="shared" si="6"/>
        <v>59.24</v>
      </c>
      <c r="L400" s="10" t="str">
        <f>IF(_xlfn.XLOOKUP(D400,product!$A:$A,product!$F:$F,,0)=0,"",_xlfn.XLOOKUP(D400,product!$A:$A,product!$F:$F,,0))</f>
        <v>No</v>
      </c>
      <c r="M400" t="str">
        <f>IF(_xlfn.XLOOKUP(D400,product!$A:$A,product!G:G,,0)=0,"",_xlfn.XLOOKUP(D400,product!$A:$A,product!G:G,,0))</f>
        <v>Silver</v>
      </c>
      <c r="N400" t="str">
        <f>IF(_xlfn.XLOOKUP(D400,product!$A:$A,product!$B:$B,,0)=0,"",_xlfn.XLOOKUP(D400,product!$A:$A,product!$B:$B,,0))</f>
        <v>Quantum Mind</v>
      </c>
    </row>
    <row r="401" spans="1:14" x14ac:dyDescent="0.35">
      <c r="A401" t="s">
        <v>986</v>
      </c>
      <c r="B401" s="3">
        <v>45363</v>
      </c>
      <c r="C401" t="s">
        <v>2804</v>
      </c>
      <c r="D401" t="s">
        <v>5757</v>
      </c>
      <c r="E401">
        <v>4</v>
      </c>
      <c r="F401" t="str">
        <f>_xlfn.XLOOKUP(C401,customers!$A$1:$A$983,customers!$B$1:$B$983,,0)</f>
        <v>William Scott</v>
      </c>
      <c r="G401" t="str">
        <f>_xlfn.XLOOKUP(C401,customers!$A:$A,customers!$C:$C,,0)</f>
        <v>william.scott618@hotmail.com</v>
      </c>
      <c r="H401" t="str">
        <f>IF(_xlfn.XLOOKUP(C401,customers!$A:$A,customers!$G:$G,,0)=0,"",_xlfn.XLOOKUP(C401,customers!$A:$A,customers!$G:$G,,0))</f>
        <v>Spain</v>
      </c>
      <c r="I401" t="str">
        <f>IF(_xlfn.XLOOKUP(D401,product!$A:$A,product!$E:$E,,0)=0,"",_xlfn.XLOOKUP(D401,product!$A:$A,product!$E:$E,,0))</f>
        <v>HISTORY</v>
      </c>
      <c r="J401" s="5">
        <f>IF(_xlfn.XLOOKUP(D401,product!$A:$A,product!$D:$D,,0)=0,"",_xlfn.XLOOKUP(D401,product!$A:$A,product!$D:$D,,0))</f>
        <v>10.029999999999999</v>
      </c>
      <c r="K401" s="7">
        <f t="shared" si="6"/>
        <v>40.119999999999997</v>
      </c>
      <c r="L401" s="10" t="str">
        <f>IF(_xlfn.XLOOKUP(D401,product!$A:$A,product!$F:$F,,0)=0,"",_xlfn.XLOOKUP(D401,product!$A:$A,product!$F:$F,,0))</f>
        <v>Yes</v>
      </c>
      <c r="M401" t="str">
        <f>IF(_xlfn.XLOOKUP(D401,product!$A:$A,product!G:G,,0)=0,"",_xlfn.XLOOKUP(D401,product!$A:$A,product!G:G,,0))</f>
        <v>None</v>
      </c>
      <c r="N401" t="str">
        <f>IF(_xlfn.XLOOKUP(D401,product!$A:$A,product!$B:$B,,0)=0,"",_xlfn.XLOOKUP(D401,product!$A:$A,product!$B:$B,,0))</f>
        <v>Mind Secrets</v>
      </c>
    </row>
    <row r="402" spans="1:14" x14ac:dyDescent="0.35">
      <c r="A402" t="s">
        <v>1003</v>
      </c>
      <c r="B402" s="3">
        <v>44982</v>
      </c>
      <c r="C402" t="s">
        <v>2930</v>
      </c>
      <c r="D402" t="s">
        <v>5759</v>
      </c>
      <c r="E402">
        <v>4</v>
      </c>
      <c r="F402" t="str">
        <f>_xlfn.XLOOKUP(C402,customers!$A$1:$A$983,customers!$B$1:$B$983,,0)</f>
        <v>Charlotte Taylor</v>
      </c>
      <c r="G402" t="str">
        <f>_xlfn.XLOOKUP(C402,customers!$A:$A,customers!$C:$C,,0)</f>
        <v>charlotte.taylor680@hotmail.com</v>
      </c>
      <c r="H402" t="str">
        <f>IF(_xlfn.XLOOKUP(C402,customers!$A:$A,customers!$G:$G,,0)=0,"",_xlfn.XLOOKUP(C402,customers!$A:$A,customers!$G:$G,,0))</f>
        <v>Egypt</v>
      </c>
      <c r="I402" t="str">
        <f>IF(_xlfn.XLOOKUP(D402,product!$A:$A,product!$E:$E,,0)=0,"",_xlfn.XLOOKUP(D402,product!$A:$A,product!$E:$E,,0))</f>
        <v>SCIENCE</v>
      </c>
      <c r="J402" s="5">
        <f>IF(_xlfn.XLOOKUP(D402,product!$A:$A,product!$D:$D,,0)=0,"",_xlfn.XLOOKUP(D402,product!$A:$A,product!$D:$D,,0))</f>
        <v>23.27</v>
      </c>
      <c r="K402" s="7">
        <f t="shared" si="6"/>
        <v>93.08</v>
      </c>
      <c r="L402" s="10" t="str">
        <f>IF(_xlfn.XLOOKUP(D402,product!$A:$A,product!$F:$F,,0)=0,"",_xlfn.XLOOKUP(D402,product!$A:$A,product!$F:$F,,0))</f>
        <v>No</v>
      </c>
      <c r="M402" t="str">
        <f>IF(_xlfn.XLOOKUP(D402,product!$A:$A,product!G:G,,0)=0,"",_xlfn.XLOOKUP(D402,product!$A:$A,product!G:G,,0))</f>
        <v>Gold</v>
      </c>
      <c r="N402" t="str">
        <f>IF(_xlfn.XLOOKUP(D402,product!$A:$A,product!$B:$B,,0)=0,"",_xlfn.XLOOKUP(D402,product!$A:$A,product!$B:$B,,0))</f>
        <v>Secrets Data</v>
      </c>
    </row>
    <row r="403" spans="1:14" x14ac:dyDescent="0.35">
      <c r="A403" t="s">
        <v>1020</v>
      </c>
      <c r="B403" s="3">
        <v>45461</v>
      </c>
      <c r="C403" t="s">
        <v>3323</v>
      </c>
      <c r="D403" t="s">
        <v>5760</v>
      </c>
      <c r="E403">
        <v>4</v>
      </c>
      <c r="F403" t="str">
        <f>_xlfn.XLOOKUP(C403,customers!$A$1:$A$983,customers!$B$1:$B$983,,0)</f>
        <v>Sarah Lopez</v>
      </c>
      <c r="G403" t="str">
        <f>_xlfn.XLOOKUP(C403,customers!$A:$A,customers!$C:$C,,0)</f>
        <v>sarah.lopez875@gmail.com</v>
      </c>
      <c r="H403" t="str">
        <f>IF(_xlfn.XLOOKUP(C403,customers!$A:$A,customers!$G:$G,,0)=0,"",_xlfn.XLOOKUP(C403,customers!$A:$A,customers!$G:$G,,0))</f>
        <v>Portugal</v>
      </c>
      <c r="I403" t="str">
        <f>IF(_xlfn.XLOOKUP(D403,product!$A:$A,product!$E:$E,,0)=0,"",_xlfn.XLOOKUP(D403,product!$A:$A,product!$E:$E,,0))</f>
        <v>FICTION</v>
      </c>
      <c r="J403" s="5">
        <f>IF(_xlfn.XLOOKUP(D403,product!$A:$A,product!$D:$D,,0)=0,"",_xlfn.XLOOKUP(D403,product!$A:$A,product!$D:$D,,0))</f>
        <v>39.409999999999997</v>
      </c>
      <c r="K403" s="7">
        <f t="shared" si="6"/>
        <v>157.63999999999999</v>
      </c>
      <c r="L403" s="10" t="str">
        <f>IF(_xlfn.XLOOKUP(D403,product!$A:$A,product!$F:$F,,0)=0,"",_xlfn.XLOOKUP(D403,product!$A:$A,product!$F:$F,,0))</f>
        <v>Yes</v>
      </c>
      <c r="M403" t="str">
        <f>IF(_xlfn.XLOOKUP(D403,product!$A:$A,product!G:G,,0)=0,"",_xlfn.XLOOKUP(D403,product!$A:$A,product!G:G,,0))</f>
        <v>None</v>
      </c>
      <c r="N403" t="str">
        <f>IF(_xlfn.XLOOKUP(D403,product!$A:$A,product!$B:$B,,0)=0,"",_xlfn.XLOOKUP(D403,product!$A:$A,product!$B:$B,,0))</f>
        <v>Data Science</v>
      </c>
    </row>
    <row r="404" spans="1:14" x14ac:dyDescent="0.35">
      <c r="A404" t="s">
        <v>1037</v>
      </c>
      <c r="B404" s="3">
        <v>45053</v>
      </c>
      <c r="C404" t="s">
        <v>3190</v>
      </c>
      <c r="D404" t="s">
        <v>5761</v>
      </c>
      <c r="E404">
        <v>4</v>
      </c>
      <c r="F404" t="str">
        <f>_xlfn.XLOOKUP(C404,customers!$A$1:$A$983,customers!$B$1:$B$983,,0)</f>
        <v>Hannah Garcia</v>
      </c>
      <c r="G404" t="str">
        <f>_xlfn.XLOOKUP(C404,customers!$A:$A,customers!$C:$C,,0)</f>
        <v>hannah.garcia808@outlook.com</v>
      </c>
      <c r="H404" t="str">
        <f>IF(_xlfn.XLOOKUP(C404,customers!$A:$A,customers!$G:$G,,0)=0,"",_xlfn.XLOOKUP(C404,customers!$A:$A,customers!$G:$G,,0))</f>
        <v>Japan</v>
      </c>
      <c r="I404" t="str">
        <f>IF(_xlfn.XLOOKUP(D404,product!$A:$A,product!$E:$E,,0)=0,"",_xlfn.XLOOKUP(D404,product!$A:$A,product!$E:$E,,0))</f>
        <v>TECH</v>
      </c>
      <c r="J404" s="5">
        <f>IF(_xlfn.XLOOKUP(D404,product!$A:$A,product!$D:$D,,0)=0,"",_xlfn.XLOOKUP(D404,product!$A:$A,product!$D:$D,,0))</f>
        <v>20.420000000000002</v>
      </c>
      <c r="K404" s="7">
        <f t="shared" si="6"/>
        <v>81.680000000000007</v>
      </c>
      <c r="L404" s="10" t="str">
        <f>IF(_xlfn.XLOOKUP(D404,product!$A:$A,product!$F:$F,,0)=0,"",_xlfn.XLOOKUP(D404,product!$A:$A,product!$F:$F,,0))</f>
        <v>No</v>
      </c>
      <c r="M404" t="str">
        <f>IF(_xlfn.XLOOKUP(D404,product!$A:$A,product!G:G,,0)=0,"",_xlfn.XLOOKUP(D404,product!$A:$A,product!G:G,,0))</f>
        <v>Gold</v>
      </c>
      <c r="N404" t="str">
        <f>IF(_xlfn.XLOOKUP(D404,product!$A:$A,product!$B:$B,,0)=0,"",_xlfn.XLOOKUP(D404,product!$A:$A,product!$B:$B,,0))</f>
        <v>Mind Data</v>
      </c>
    </row>
    <row r="405" spans="1:14" x14ac:dyDescent="0.35">
      <c r="A405" t="s">
        <v>1054</v>
      </c>
      <c r="B405" s="3">
        <v>45581</v>
      </c>
      <c r="C405" t="s">
        <v>3504</v>
      </c>
      <c r="D405" t="s">
        <v>5762</v>
      </c>
      <c r="E405">
        <v>4</v>
      </c>
      <c r="F405" t="str">
        <f>_xlfn.XLOOKUP(C405,customers!$A$1:$A$983,customers!$B$1:$B$983,,0)</f>
        <v>Edward Lopez</v>
      </c>
      <c r="G405" t="str">
        <f>_xlfn.XLOOKUP(C405,customers!$A:$A,customers!$C:$C,,0)</f>
        <v>edward.lopez967@hotmail.com</v>
      </c>
      <c r="H405" t="str">
        <f>IF(_xlfn.XLOOKUP(C405,customers!$A:$A,customers!$G:$G,,0)=0,"",_xlfn.XLOOKUP(C405,customers!$A:$A,customers!$G:$G,,0))</f>
        <v>Italy</v>
      </c>
      <c r="I405" t="str">
        <f>IF(_xlfn.XLOOKUP(D405,product!$A:$A,product!$E:$E,,0)=0,"",_xlfn.XLOOKUP(D405,product!$A:$A,product!$E:$E,,0))</f>
        <v>TECH</v>
      </c>
      <c r="J405" s="5">
        <f>IF(_xlfn.XLOOKUP(D405,product!$A:$A,product!$D:$D,,0)=0,"",_xlfn.XLOOKUP(D405,product!$A:$A,product!$D:$D,,0))</f>
        <v>39.94</v>
      </c>
      <c r="K405" s="7">
        <f t="shared" si="6"/>
        <v>159.76</v>
      </c>
      <c r="L405" s="10" t="str">
        <f>IF(_xlfn.XLOOKUP(D405,product!$A:$A,product!$F:$F,,0)=0,"",_xlfn.XLOOKUP(D405,product!$A:$A,product!$F:$F,,0))</f>
        <v>Yes</v>
      </c>
      <c r="M405" t="str">
        <f>IF(_xlfn.XLOOKUP(D405,product!$A:$A,product!G:G,,0)=0,"",_xlfn.XLOOKUP(D405,product!$A:$A,product!G:G,,0))</f>
        <v>None</v>
      </c>
      <c r="N405" t="str">
        <f>IF(_xlfn.XLOOKUP(D405,product!$A:$A,product!$B:$B,,0)=0,"",_xlfn.XLOOKUP(D405,product!$A:$A,product!$B:$B,,0))</f>
        <v>Journey Future</v>
      </c>
    </row>
    <row r="406" spans="1:14" x14ac:dyDescent="0.35">
      <c r="A406" t="s">
        <v>21</v>
      </c>
      <c r="B406" s="3">
        <v>45109</v>
      </c>
      <c r="C406" t="s">
        <v>3331</v>
      </c>
      <c r="D406" t="s">
        <v>5763</v>
      </c>
      <c r="E406">
        <v>3</v>
      </c>
      <c r="F406" t="str">
        <f>_xlfn.XLOOKUP(C406,customers!$A$1:$A$983,customers!$B$1:$B$983,,0)</f>
        <v>John Martinez</v>
      </c>
      <c r="G406" t="str">
        <f>_xlfn.XLOOKUP(C406,customers!$A:$A,customers!$C:$C,,0)</f>
        <v>john.martinez879@gmail.com</v>
      </c>
      <c r="H406" t="str">
        <f>IF(_xlfn.XLOOKUP(C406,customers!$A:$A,customers!$G:$G,,0)=0,"",_xlfn.XLOOKUP(C406,customers!$A:$A,customers!$G:$G,,0))</f>
        <v>Portugal</v>
      </c>
      <c r="I406" t="str">
        <f>IF(_xlfn.XLOOKUP(D406,product!$A:$A,product!$E:$E,,0)=0,"",_xlfn.XLOOKUP(D406,product!$A:$A,product!$E:$E,,0))</f>
        <v>SCIENCE</v>
      </c>
      <c r="J406" s="5">
        <f>IF(_xlfn.XLOOKUP(D406,product!$A:$A,product!$D:$D,,0)=0,"",_xlfn.XLOOKUP(D406,product!$A:$A,product!$D:$D,,0))</f>
        <v>26.88</v>
      </c>
      <c r="K406" s="7">
        <f t="shared" si="6"/>
        <v>80.64</v>
      </c>
      <c r="L406" s="10" t="str">
        <f>IF(_xlfn.XLOOKUP(D406,product!$A:$A,product!$F:$F,,0)=0,"",_xlfn.XLOOKUP(D406,product!$A:$A,product!$F:$F,,0))</f>
        <v>Yes</v>
      </c>
      <c r="M406" t="str">
        <f>IF(_xlfn.XLOOKUP(D406,product!$A:$A,product!G:G,,0)=0,"",_xlfn.XLOOKUP(D406,product!$A:$A,product!G:G,,0))</f>
        <v>Platinum</v>
      </c>
      <c r="N406" t="str">
        <f>IF(_xlfn.XLOOKUP(D406,product!$A:$A,product!$B:$B,,0)=0,"",_xlfn.XLOOKUP(D406,product!$A:$A,product!$B:$B,,0))</f>
        <v>Future Journey</v>
      </c>
    </row>
    <row r="407" spans="1:14" x14ac:dyDescent="0.35">
      <c r="A407" t="s">
        <v>38</v>
      </c>
      <c r="B407" s="3">
        <v>45526</v>
      </c>
      <c r="C407" t="s">
        <v>1818</v>
      </c>
      <c r="D407" t="s">
        <v>5764</v>
      </c>
      <c r="E407">
        <v>2</v>
      </c>
      <c r="F407" t="str">
        <f>_xlfn.XLOOKUP(C407,customers!$A$1:$A$983,customers!$B$1:$B$983,,0)</f>
        <v>Paul King</v>
      </c>
      <c r="G407" t="str">
        <f>_xlfn.XLOOKUP(C407,customers!$A:$A,customers!$C:$C,,0)</f>
        <v>paul.king204@gmail.com</v>
      </c>
      <c r="H407" t="str">
        <f>IF(_xlfn.XLOOKUP(C407,customers!$A:$A,customers!$G:$G,,0)=0,"",_xlfn.XLOOKUP(C407,customers!$A:$A,customers!$G:$G,,0))</f>
        <v>Spain</v>
      </c>
      <c r="I407" t="str">
        <f>IF(_xlfn.XLOOKUP(D407,product!$A:$A,product!$E:$E,,0)=0,"",_xlfn.XLOOKUP(D407,product!$A:$A,product!$E:$E,,0))</f>
        <v>HISTORY</v>
      </c>
      <c r="J407" s="5">
        <f>IF(_xlfn.XLOOKUP(D407,product!$A:$A,product!$D:$D,,0)=0,"",_xlfn.XLOOKUP(D407,product!$A:$A,product!$D:$D,,0))</f>
        <v>15.4</v>
      </c>
      <c r="K407" s="7">
        <f t="shared" si="6"/>
        <v>30.8</v>
      </c>
      <c r="L407" s="10" t="str">
        <f>IF(_xlfn.XLOOKUP(D407,product!$A:$A,product!$F:$F,,0)=0,"",_xlfn.XLOOKUP(D407,product!$A:$A,product!$F:$F,,0))</f>
        <v>Yes</v>
      </c>
      <c r="M407" t="str">
        <f>IF(_xlfn.XLOOKUP(D407,product!$A:$A,product!G:G,,0)=0,"",_xlfn.XLOOKUP(D407,product!$A:$A,product!G:G,,0))</f>
        <v>None</v>
      </c>
      <c r="N407" t="str">
        <f>IF(_xlfn.XLOOKUP(D407,product!$A:$A,product!$B:$B,,0)=0,"",_xlfn.XLOOKUP(D407,product!$A:$A,product!$B:$B,,0))</f>
        <v>Journey Power</v>
      </c>
    </row>
    <row r="408" spans="1:14" x14ac:dyDescent="0.35">
      <c r="A408" t="s">
        <v>55</v>
      </c>
      <c r="B408" s="3">
        <v>44943</v>
      </c>
      <c r="C408" t="s">
        <v>2114</v>
      </c>
      <c r="D408" t="s">
        <v>5765</v>
      </c>
      <c r="E408">
        <v>2</v>
      </c>
      <c r="F408" t="str">
        <f>_xlfn.XLOOKUP(C408,customers!$A$1:$A$983,customers!$B$1:$B$983,,0)</f>
        <v>David Walker</v>
      </c>
      <c r="G408" t="str">
        <f>_xlfn.XLOOKUP(C408,customers!$A:$A,customers!$C:$C,,0)</f>
        <v>david.walker301@hotmail.com</v>
      </c>
      <c r="H408" t="str">
        <f>IF(_xlfn.XLOOKUP(C408,customers!$A:$A,customers!$G:$G,,0)=0,"",_xlfn.XLOOKUP(C408,customers!$A:$A,customers!$G:$G,,0))</f>
        <v>Sweden</v>
      </c>
      <c r="I408" t="str">
        <f>IF(_xlfn.XLOOKUP(D408,product!$A:$A,product!$E:$E,,0)=0,"",_xlfn.XLOOKUP(D408,product!$A:$A,product!$E:$E,,0))</f>
        <v>FICTION</v>
      </c>
      <c r="J408" s="5">
        <f>IF(_xlfn.XLOOKUP(D408,product!$A:$A,product!$D:$D,,0)=0,"",_xlfn.XLOOKUP(D408,product!$A:$A,product!$D:$D,,0))</f>
        <v>21.62</v>
      </c>
      <c r="K408" s="7">
        <f t="shared" si="6"/>
        <v>43.24</v>
      </c>
      <c r="L408" s="10" t="str">
        <f>IF(_xlfn.XLOOKUP(D408,product!$A:$A,product!$F:$F,,0)=0,"",_xlfn.XLOOKUP(D408,product!$A:$A,product!$F:$F,,0))</f>
        <v>Yes</v>
      </c>
      <c r="M408" t="str">
        <f>IF(_xlfn.XLOOKUP(D408,product!$A:$A,product!G:G,,0)=0,"",_xlfn.XLOOKUP(D408,product!$A:$A,product!G:G,,0))</f>
        <v>Silver</v>
      </c>
      <c r="N408" t="str">
        <f>IF(_xlfn.XLOOKUP(D408,product!$A:$A,product!$B:$B,,0)=0,"",_xlfn.XLOOKUP(D408,product!$A:$A,product!$B:$B,,0))</f>
        <v>Future Silent</v>
      </c>
    </row>
    <row r="409" spans="1:14" x14ac:dyDescent="0.35">
      <c r="A409" t="s">
        <v>142</v>
      </c>
      <c r="B409" s="3">
        <v>45388</v>
      </c>
      <c r="C409" t="s">
        <v>2861</v>
      </c>
      <c r="D409" t="s">
        <v>5766</v>
      </c>
      <c r="E409">
        <v>2</v>
      </c>
      <c r="F409" t="str">
        <f>_xlfn.XLOOKUP(C409,customers!$A$1:$A$983,customers!$B$1:$B$983,,0)</f>
        <v>Joshua Walker</v>
      </c>
      <c r="G409" t="str">
        <f>_xlfn.XLOOKUP(C409,customers!$A:$A,customers!$C:$C,,0)</f>
        <v>joshua.walker646@yahoo.com</v>
      </c>
      <c r="H409" t="str">
        <f>IF(_xlfn.XLOOKUP(C409,customers!$A:$A,customers!$G:$G,,0)=0,"",_xlfn.XLOOKUP(C409,customers!$A:$A,customers!$G:$G,,0))</f>
        <v>Japan</v>
      </c>
      <c r="I409" t="str">
        <f>IF(_xlfn.XLOOKUP(D409,product!$A:$A,product!$E:$E,,0)=0,"",_xlfn.XLOOKUP(D409,product!$A:$A,product!$E:$E,,0))</f>
        <v>HISTORY</v>
      </c>
      <c r="J409" s="5">
        <f>IF(_xlfn.XLOOKUP(D409,product!$A:$A,product!$D:$D,,0)=0,"",_xlfn.XLOOKUP(D409,product!$A:$A,product!$D:$D,,0))</f>
        <v>39.39</v>
      </c>
      <c r="K409" s="7">
        <f t="shared" si="6"/>
        <v>78.78</v>
      </c>
      <c r="L409" s="10" t="str">
        <f>IF(_xlfn.XLOOKUP(D409,product!$A:$A,product!$F:$F,,0)=0,"",_xlfn.XLOOKUP(D409,product!$A:$A,product!$F:$F,,0))</f>
        <v>Yes</v>
      </c>
      <c r="M409" t="str">
        <f>IF(_xlfn.XLOOKUP(D409,product!$A:$A,product!G:G,,0)=0,"",_xlfn.XLOOKUP(D409,product!$A:$A,product!G:G,,0))</f>
        <v>Silver</v>
      </c>
      <c r="N409" t="str">
        <f>IF(_xlfn.XLOOKUP(D409,product!$A:$A,product!$B:$B,,0)=0,"",_xlfn.XLOOKUP(D409,product!$A:$A,product!$B:$B,,0))</f>
        <v>Mind Silent</v>
      </c>
    </row>
    <row r="410" spans="1:14" x14ac:dyDescent="0.35">
      <c r="A410" t="s">
        <v>159</v>
      </c>
      <c r="B410" s="3">
        <v>45186</v>
      </c>
      <c r="C410" t="s">
        <v>1382</v>
      </c>
      <c r="D410" t="s">
        <v>5767</v>
      </c>
      <c r="E410">
        <v>3</v>
      </c>
      <c r="F410" t="str">
        <f>_xlfn.XLOOKUP(C410,customers!$A$1:$A$983,customers!$B$1:$B$983,,0)</f>
        <v>Amelia Johnson</v>
      </c>
      <c r="G410" t="str">
        <f>_xlfn.XLOOKUP(C410,customers!$A:$A,customers!$C:$C,,0)</f>
        <v>amelia.johnson87@gmail.com</v>
      </c>
      <c r="H410" t="str">
        <f>IF(_xlfn.XLOOKUP(C410,customers!$A:$A,customers!$G:$G,,0)=0,"",_xlfn.XLOOKUP(C410,customers!$A:$A,customers!$G:$G,,0))</f>
        <v>Spain</v>
      </c>
      <c r="I410" t="str">
        <f>IF(_xlfn.XLOOKUP(D410,product!$A:$A,product!$E:$E,,0)=0,"",_xlfn.XLOOKUP(D410,product!$A:$A,product!$E:$E,,0))</f>
        <v>FICTION</v>
      </c>
      <c r="J410" s="5">
        <f>IF(_xlfn.XLOOKUP(D410,product!$A:$A,product!$D:$D,,0)=0,"",_xlfn.XLOOKUP(D410,product!$A:$A,product!$D:$D,,0))</f>
        <v>14.44</v>
      </c>
      <c r="K410" s="7">
        <f t="shared" si="6"/>
        <v>43.32</v>
      </c>
      <c r="L410" s="10" t="str">
        <f>IF(_xlfn.XLOOKUP(D410,product!$A:$A,product!$F:$F,,0)=0,"",_xlfn.XLOOKUP(D410,product!$A:$A,product!$F:$F,,0))</f>
        <v>Yes</v>
      </c>
      <c r="M410" t="str">
        <f>IF(_xlfn.XLOOKUP(D410,product!$A:$A,product!G:G,,0)=0,"",_xlfn.XLOOKUP(D410,product!$A:$A,product!G:G,,0))</f>
        <v>None</v>
      </c>
      <c r="N410" t="str">
        <f>IF(_xlfn.XLOOKUP(D410,product!$A:$A,product!$B:$B,,0)=0,"",_xlfn.XLOOKUP(D410,product!$A:$A,product!$B:$B,,0))</f>
        <v>Silent Mind</v>
      </c>
    </row>
    <row r="411" spans="1:14" x14ac:dyDescent="0.35">
      <c r="A411" t="s">
        <v>176</v>
      </c>
      <c r="B411" s="3">
        <v>45649</v>
      </c>
      <c r="C411" t="s">
        <v>3224</v>
      </c>
      <c r="D411" t="s">
        <v>5768</v>
      </c>
      <c r="E411">
        <v>3</v>
      </c>
      <c r="F411" t="str">
        <f>_xlfn.XLOOKUP(C411,customers!$A$1:$A$983,customers!$B$1:$B$983,,0)</f>
        <v>Grace Baker</v>
      </c>
      <c r="G411" t="str">
        <f>_xlfn.XLOOKUP(C411,customers!$A:$A,customers!$C:$C,,0)</f>
        <v>grace.baker825@outlook.com</v>
      </c>
      <c r="H411" t="str">
        <f>IF(_xlfn.XLOOKUP(C411,customers!$A:$A,customers!$G:$G,,0)=0,"",_xlfn.XLOOKUP(C411,customers!$A:$A,customers!$G:$G,,0))</f>
        <v>Portugal</v>
      </c>
      <c r="I411" t="str">
        <f>IF(_xlfn.XLOOKUP(D411,product!$A:$A,product!$E:$E,,0)=0,"",_xlfn.XLOOKUP(D411,product!$A:$A,product!$E:$E,,0))</f>
        <v>TECH</v>
      </c>
      <c r="J411" s="5">
        <f>IF(_xlfn.XLOOKUP(D411,product!$A:$A,product!$D:$D,,0)=0,"",_xlfn.XLOOKUP(D411,product!$A:$A,product!$D:$D,,0))</f>
        <v>32.26</v>
      </c>
      <c r="K411" s="7">
        <f t="shared" si="6"/>
        <v>96.78</v>
      </c>
      <c r="L411" s="10" t="str">
        <f>IF(_xlfn.XLOOKUP(D411,product!$A:$A,product!$F:$F,,0)=0,"",_xlfn.XLOOKUP(D411,product!$A:$A,product!$F:$F,,0))</f>
        <v>Yes</v>
      </c>
      <c r="M411" t="str">
        <f>IF(_xlfn.XLOOKUP(D411,product!$A:$A,product!G:G,,0)=0,"",_xlfn.XLOOKUP(D411,product!$A:$A,product!G:G,,0))</f>
        <v>None</v>
      </c>
      <c r="N411" t="str">
        <f>IF(_xlfn.XLOOKUP(D411,product!$A:$A,product!$B:$B,,0)=0,"",_xlfn.XLOOKUP(D411,product!$A:$A,product!$B:$B,,0))</f>
        <v>Secrets Mind</v>
      </c>
    </row>
    <row r="412" spans="1:14" x14ac:dyDescent="0.35">
      <c r="A412" t="s">
        <v>193</v>
      </c>
      <c r="B412" s="3">
        <v>44988</v>
      </c>
      <c r="C412" t="s">
        <v>2306</v>
      </c>
      <c r="D412" t="s">
        <v>5769</v>
      </c>
      <c r="E412">
        <v>3</v>
      </c>
      <c r="F412" t="str">
        <f>_xlfn.XLOOKUP(C412,customers!$A$1:$A$983,customers!$B$1:$B$983,,0)</f>
        <v>Ryan Rodriguez</v>
      </c>
      <c r="G412" t="str">
        <f>_xlfn.XLOOKUP(C412,customers!$A:$A,customers!$C:$C,,0)</f>
        <v>ryan.rodriguez382@outlook.com</v>
      </c>
      <c r="H412" t="str">
        <f>IF(_xlfn.XLOOKUP(C412,customers!$A:$A,customers!$G:$G,,0)=0,"",_xlfn.XLOOKUP(C412,customers!$A:$A,customers!$G:$G,,0))</f>
        <v>Sweden</v>
      </c>
      <c r="I412" t="str">
        <f>IF(_xlfn.XLOOKUP(D412,product!$A:$A,product!$E:$E,,0)=0,"",_xlfn.XLOOKUP(D412,product!$A:$A,product!$E:$E,,0))</f>
        <v>HISTORY</v>
      </c>
      <c r="J412" s="5">
        <f>IF(_xlfn.XLOOKUP(D412,product!$A:$A,product!$D:$D,,0)=0,"",_xlfn.XLOOKUP(D412,product!$A:$A,product!$D:$D,,0))</f>
        <v>38</v>
      </c>
      <c r="K412" s="7">
        <f t="shared" si="6"/>
        <v>114</v>
      </c>
      <c r="L412" s="10" t="str">
        <f>IF(_xlfn.XLOOKUP(D412,product!$A:$A,product!$F:$F,,0)=0,"",_xlfn.XLOOKUP(D412,product!$A:$A,product!$F:$F,,0))</f>
        <v>Yes</v>
      </c>
      <c r="M412" t="str">
        <f>IF(_xlfn.XLOOKUP(D412,product!$A:$A,product!G:G,,0)=0,"",_xlfn.XLOOKUP(D412,product!$A:$A,product!G:G,,0))</f>
        <v>Platinum</v>
      </c>
      <c r="N412" t="str">
        <f>IF(_xlfn.XLOOKUP(D412,product!$A:$A,product!$B:$B,,0)=0,"",_xlfn.XLOOKUP(D412,product!$A:$A,product!$B:$B,,0))</f>
        <v>Mind Power</v>
      </c>
    </row>
    <row r="413" spans="1:14" x14ac:dyDescent="0.35">
      <c r="A413" t="s">
        <v>210</v>
      </c>
      <c r="B413" s="3">
        <v>45349</v>
      </c>
      <c r="C413" t="s">
        <v>1603</v>
      </c>
      <c r="D413" t="s">
        <v>5770</v>
      </c>
      <c r="E413">
        <v>3</v>
      </c>
      <c r="F413" t="str">
        <f>_xlfn.XLOOKUP(C413,customers!$A$1:$A$983,customers!$B$1:$B$983,,0)</f>
        <v>Olivia Robinson</v>
      </c>
      <c r="G413" t="str">
        <f>_xlfn.XLOOKUP(C413,customers!$A:$A,customers!$C:$C,,0)</f>
        <v>olivia.robinson150@gmail.com</v>
      </c>
      <c r="H413" t="str">
        <f>IF(_xlfn.XLOOKUP(C413,customers!$A:$A,customers!$G:$G,,0)=0,"",_xlfn.XLOOKUP(C413,customers!$A:$A,customers!$G:$G,,0))</f>
        <v>Spain</v>
      </c>
      <c r="I413" t="str">
        <f>IF(_xlfn.XLOOKUP(D413,product!$A:$A,product!$E:$E,,0)=0,"",_xlfn.XLOOKUP(D413,product!$A:$A,product!$E:$E,,0))</f>
        <v>FICTION</v>
      </c>
      <c r="J413" s="5">
        <f>IF(_xlfn.XLOOKUP(D413,product!$A:$A,product!$D:$D,,0)=0,"",_xlfn.XLOOKUP(D413,product!$A:$A,product!$D:$D,,0))</f>
        <v>26.32</v>
      </c>
      <c r="K413" s="7">
        <f t="shared" si="6"/>
        <v>78.960000000000008</v>
      </c>
      <c r="L413" s="10" t="str">
        <f>IF(_xlfn.XLOOKUP(D413,product!$A:$A,product!$F:$F,,0)=0,"",_xlfn.XLOOKUP(D413,product!$A:$A,product!$F:$F,,0))</f>
        <v>No</v>
      </c>
      <c r="M413" t="str">
        <f>IF(_xlfn.XLOOKUP(D413,product!$A:$A,product!G:G,,0)=0,"",_xlfn.XLOOKUP(D413,product!$A:$A,product!G:G,,0))</f>
        <v>Silver</v>
      </c>
      <c r="N413" t="str">
        <f>IF(_xlfn.XLOOKUP(D413,product!$A:$A,product!$B:$B,,0)=0,"",_xlfn.XLOOKUP(D413,product!$A:$A,product!$B:$B,,0))</f>
        <v>Mind Journey</v>
      </c>
    </row>
    <row r="414" spans="1:14" x14ac:dyDescent="0.35">
      <c r="A414" t="s">
        <v>227</v>
      </c>
      <c r="B414" s="3">
        <v>45159</v>
      </c>
      <c r="C414" t="s">
        <v>3082</v>
      </c>
      <c r="D414" t="s">
        <v>5771</v>
      </c>
      <c r="E414">
        <v>3</v>
      </c>
      <c r="F414" t="str">
        <f>_xlfn.XLOOKUP(C414,customers!$A$1:$A$983,customers!$B$1:$B$983,,0)</f>
        <v>Anna Harris</v>
      </c>
      <c r="G414" t="str">
        <f>_xlfn.XLOOKUP(C414,customers!$A:$A,customers!$C:$C,,0)</f>
        <v>anna.harris753@hotmail.com</v>
      </c>
      <c r="H414" t="str">
        <f>IF(_xlfn.XLOOKUP(C414,customers!$A:$A,customers!$G:$G,,0)=0,"",_xlfn.XLOOKUP(C414,customers!$A:$A,customers!$G:$G,,0))</f>
        <v>Spain</v>
      </c>
      <c r="I414" t="str">
        <f>IF(_xlfn.XLOOKUP(D414,product!$A:$A,product!$E:$E,,0)=0,"",_xlfn.XLOOKUP(D414,product!$A:$A,product!$E:$E,,0))</f>
        <v>TECH</v>
      </c>
      <c r="J414" s="5">
        <f>IF(_xlfn.XLOOKUP(D414,product!$A:$A,product!$D:$D,,0)=0,"",_xlfn.XLOOKUP(D414,product!$A:$A,product!$D:$D,,0))</f>
        <v>29.15</v>
      </c>
      <c r="K414" s="7">
        <f t="shared" si="6"/>
        <v>87.449999999999989</v>
      </c>
      <c r="L414" s="10" t="str">
        <f>IF(_xlfn.XLOOKUP(D414,product!$A:$A,product!$F:$F,,0)=0,"",_xlfn.XLOOKUP(D414,product!$A:$A,product!$F:$F,,0))</f>
        <v>No</v>
      </c>
      <c r="M414" t="str">
        <f>IF(_xlfn.XLOOKUP(D414,product!$A:$A,product!G:G,,0)=0,"",_xlfn.XLOOKUP(D414,product!$A:$A,product!G:G,,0))</f>
        <v>Silver</v>
      </c>
      <c r="N414" t="str">
        <f>IF(_xlfn.XLOOKUP(D414,product!$A:$A,product!$B:$B,,0)=0,"",_xlfn.XLOOKUP(D414,product!$A:$A,product!$B:$B,,0))</f>
        <v>Mind Power</v>
      </c>
    </row>
    <row r="415" spans="1:14" x14ac:dyDescent="0.35">
      <c r="A415" t="s">
        <v>244</v>
      </c>
      <c r="B415" s="3">
        <v>45426</v>
      </c>
      <c r="C415" t="s">
        <v>1868</v>
      </c>
      <c r="D415" t="s">
        <v>5772</v>
      </c>
      <c r="E415">
        <v>3</v>
      </c>
      <c r="F415" t="str">
        <f>_xlfn.XLOOKUP(C415,customers!$A$1:$A$983,customers!$B$1:$B$983,,0)</f>
        <v>Hannah Martin</v>
      </c>
      <c r="G415" t="str">
        <f>_xlfn.XLOOKUP(C415,customers!$A:$A,customers!$C:$C,,0)</f>
        <v>hannah.martin219@gmail.com</v>
      </c>
      <c r="H415" t="str">
        <f>IF(_xlfn.XLOOKUP(C415,customers!$A:$A,customers!$G:$G,,0)=0,"",_xlfn.XLOOKUP(C415,customers!$A:$A,customers!$G:$G,,0))</f>
        <v>Japan</v>
      </c>
      <c r="I415" t="str">
        <f>IF(_xlfn.XLOOKUP(D415,product!$A:$A,product!$E:$E,,0)=0,"",_xlfn.XLOOKUP(D415,product!$A:$A,product!$E:$E,,0))</f>
        <v>FICTION</v>
      </c>
      <c r="J415" s="5">
        <f>IF(_xlfn.XLOOKUP(D415,product!$A:$A,product!$D:$D,,0)=0,"",_xlfn.XLOOKUP(D415,product!$A:$A,product!$D:$D,,0))</f>
        <v>11.96</v>
      </c>
      <c r="K415" s="7">
        <f t="shared" si="6"/>
        <v>35.880000000000003</v>
      </c>
      <c r="L415" s="10" t="str">
        <f>IF(_xlfn.XLOOKUP(D415,product!$A:$A,product!$F:$F,,0)=0,"",_xlfn.XLOOKUP(D415,product!$A:$A,product!$F:$F,,0))</f>
        <v>No</v>
      </c>
      <c r="M415" t="str">
        <f>IF(_xlfn.XLOOKUP(D415,product!$A:$A,product!G:G,,0)=0,"",_xlfn.XLOOKUP(D415,product!$A:$A,product!G:G,,0))</f>
        <v>None</v>
      </c>
      <c r="N415" t="str">
        <f>IF(_xlfn.XLOOKUP(D415,product!$A:$A,product!$B:$B,,0)=0,"",_xlfn.XLOOKUP(D415,product!$A:$A,product!$B:$B,,0))</f>
        <v>Power Mind</v>
      </c>
    </row>
    <row r="416" spans="1:14" x14ac:dyDescent="0.35">
      <c r="A416" t="s">
        <v>261</v>
      </c>
      <c r="B416" s="3">
        <v>45237</v>
      </c>
      <c r="C416" t="s">
        <v>3425</v>
      </c>
      <c r="D416" t="s">
        <v>5773</v>
      </c>
      <c r="E416">
        <v>3</v>
      </c>
      <c r="F416" t="str">
        <f>_xlfn.XLOOKUP(C416,customers!$A$1:$A$983,customers!$B$1:$B$983,,0)</f>
        <v>Jessica Harris</v>
      </c>
      <c r="G416" t="str">
        <f>_xlfn.XLOOKUP(C416,customers!$A:$A,customers!$C:$C,,0)</f>
        <v>jessica.harris927@outlook.com</v>
      </c>
      <c r="H416" t="str">
        <f>IF(_xlfn.XLOOKUP(C416,customers!$A:$A,customers!$G:$G,,0)=0,"",_xlfn.XLOOKUP(C416,customers!$A:$A,customers!$G:$G,,0))</f>
        <v>Spain</v>
      </c>
      <c r="I416" t="str">
        <f>IF(_xlfn.XLOOKUP(D416,product!$A:$A,product!$E:$E,,0)=0,"",_xlfn.XLOOKUP(D416,product!$A:$A,product!$E:$E,,0))</f>
        <v>TECH</v>
      </c>
      <c r="J416" s="5">
        <f>IF(_xlfn.XLOOKUP(D416,product!$A:$A,product!$D:$D,,0)=0,"",_xlfn.XLOOKUP(D416,product!$A:$A,product!$D:$D,,0))</f>
        <v>20.62</v>
      </c>
      <c r="K416" s="7">
        <f t="shared" si="6"/>
        <v>61.86</v>
      </c>
      <c r="L416" s="10" t="str">
        <f>IF(_xlfn.XLOOKUP(D416,product!$A:$A,product!$F:$F,,0)=0,"",_xlfn.XLOOKUP(D416,product!$A:$A,product!$F:$F,,0))</f>
        <v>No</v>
      </c>
      <c r="M416" t="str">
        <f>IF(_xlfn.XLOOKUP(D416,product!$A:$A,product!G:G,,0)=0,"",_xlfn.XLOOKUP(D416,product!$A:$A,product!G:G,,0))</f>
        <v>None</v>
      </c>
      <c r="N416" t="str">
        <f>IF(_xlfn.XLOOKUP(D416,product!$A:$A,product!$B:$B,,0)=0,"",_xlfn.XLOOKUP(D416,product!$A:$A,product!$B:$B,,0))</f>
        <v>Data Forest</v>
      </c>
    </row>
    <row r="417" spans="1:14" x14ac:dyDescent="0.35">
      <c r="A417" t="s">
        <v>278</v>
      </c>
      <c r="B417" s="3">
        <v>45474</v>
      </c>
      <c r="C417" t="s">
        <v>2987</v>
      </c>
      <c r="D417" t="s">
        <v>5774</v>
      </c>
      <c r="E417">
        <v>3</v>
      </c>
      <c r="F417" t="str">
        <f>_xlfn.XLOOKUP(C417,customers!$A$1:$A$983,customers!$B$1:$B$983,,0)</f>
        <v>Grace Clark</v>
      </c>
      <c r="G417" t="str">
        <f>_xlfn.XLOOKUP(C417,customers!$A:$A,customers!$C:$C,,0)</f>
        <v>grace.clark707@outlook.com</v>
      </c>
      <c r="H417" t="str">
        <f>IF(_xlfn.XLOOKUP(C417,customers!$A:$A,customers!$G:$G,,0)=0,"",_xlfn.XLOOKUP(C417,customers!$A:$A,customers!$G:$G,,0))</f>
        <v>Egypt</v>
      </c>
      <c r="I417" t="str">
        <f>IF(_xlfn.XLOOKUP(D417,product!$A:$A,product!$E:$E,,0)=0,"",_xlfn.XLOOKUP(D417,product!$A:$A,product!$E:$E,,0))</f>
        <v>SCIENCE</v>
      </c>
      <c r="J417" s="5">
        <f>IF(_xlfn.XLOOKUP(D417,product!$A:$A,product!$D:$D,,0)=0,"",_xlfn.XLOOKUP(D417,product!$A:$A,product!$D:$D,,0))</f>
        <v>19.48</v>
      </c>
      <c r="K417" s="7">
        <f t="shared" si="6"/>
        <v>58.44</v>
      </c>
      <c r="L417" s="10" t="str">
        <f>IF(_xlfn.XLOOKUP(D417,product!$A:$A,product!$F:$F,,0)=0,"",_xlfn.XLOOKUP(D417,product!$A:$A,product!$F:$F,,0))</f>
        <v>No</v>
      </c>
      <c r="M417" t="str">
        <f>IF(_xlfn.XLOOKUP(D417,product!$A:$A,product!G:G,,0)=0,"",_xlfn.XLOOKUP(D417,product!$A:$A,product!G:G,,0))</f>
        <v>None</v>
      </c>
      <c r="N417" t="str">
        <f>IF(_xlfn.XLOOKUP(D417,product!$A:$A,product!$B:$B,,0)=0,"",_xlfn.XLOOKUP(D417,product!$A:$A,product!$B:$B,,0))</f>
        <v>Journey Mind</v>
      </c>
    </row>
    <row r="418" spans="1:14" x14ac:dyDescent="0.35">
      <c r="A418" t="s">
        <v>295</v>
      </c>
      <c r="B418" s="3">
        <v>45101</v>
      </c>
      <c r="C418" t="s">
        <v>1577</v>
      </c>
      <c r="D418" t="s">
        <v>5775</v>
      </c>
      <c r="E418">
        <v>3</v>
      </c>
      <c r="F418" t="str">
        <f>_xlfn.XLOOKUP(C418,customers!$A$1:$A$983,customers!$B$1:$B$983,,0)</f>
        <v>Sarah Johnson</v>
      </c>
      <c r="G418" t="str">
        <f>_xlfn.XLOOKUP(C418,customers!$A:$A,customers!$C:$C,,0)</f>
        <v>sarah.johnson144@outlook.com</v>
      </c>
      <c r="H418" t="str">
        <f>IF(_xlfn.XLOOKUP(C418,customers!$A:$A,customers!$G:$G,,0)=0,"",_xlfn.XLOOKUP(C418,customers!$A:$A,customers!$G:$G,,0))</f>
        <v>Germany</v>
      </c>
      <c r="I418" t="str">
        <f>IF(_xlfn.XLOOKUP(D418,product!$A:$A,product!$E:$E,,0)=0,"",_xlfn.XLOOKUP(D418,product!$A:$A,product!$E:$E,,0))</f>
        <v>HISTORY</v>
      </c>
      <c r="J418" s="5">
        <f>IF(_xlfn.XLOOKUP(D418,product!$A:$A,product!$D:$D,,0)=0,"",_xlfn.XLOOKUP(D418,product!$A:$A,product!$D:$D,,0))</f>
        <v>31.6</v>
      </c>
      <c r="K418" s="7">
        <f t="shared" si="6"/>
        <v>94.800000000000011</v>
      </c>
      <c r="L418" s="10" t="str">
        <f>IF(_xlfn.XLOOKUP(D418,product!$A:$A,product!$F:$F,,0)=0,"",_xlfn.XLOOKUP(D418,product!$A:$A,product!$F:$F,,0))</f>
        <v>Yes</v>
      </c>
      <c r="M418" t="str">
        <f>IF(_xlfn.XLOOKUP(D418,product!$A:$A,product!G:G,,0)=0,"",_xlfn.XLOOKUP(D418,product!$A:$A,product!G:G,,0))</f>
        <v>Silver</v>
      </c>
      <c r="N418" t="str">
        <f>IF(_xlfn.XLOOKUP(D418,product!$A:$A,product!$B:$B,,0)=0,"",_xlfn.XLOOKUP(D418,product!$A:$A,product!$B:$B,,0))</f>
        <v>Science Silent</v>
      </c>
    </row>
    <row r="419" spans="1:14" x14ac:dyDescent="0.35">
      <c r="A419" t="s">
        <v>312</v>
      </c>
      <c r="B419" s="3">
        <v>45539</v>
      </c>
      <c r="C419" t="s">
        <v>1354</v>
      </c>
      <c r="D419" t="s">
        <v>5776</v>
      </c>
      <c r="E419">
        <v>3</v>
      </c>
      <c r="F419" t="str">
        <f>_xlfn.XLOOKUP(C419,customers!$A$1:$A$983,customers!$B$1:$B$983,,0)</f>
        <v>Emma King</v>
      </c>
      <c r="G419" t="str">
        <f>_xlfn.XLOOKUP(C419,customers!$A:$A,customers!$C:$C,,0)</f>
        <v>emma.king78@gmail.com</v>
      </c>
      <c r="H419" t="str">
        <f>IF(_xlfn.XLOOKUP(C419,customers!$A:$A,customers!$G:$G,,0)=0,"",_xlfn.XLOOKUP(C419,customers!$A:$A,customers!$G:$G,,0))</f>
        <v>Spain</v>
      </c>
      <c r="I419" t="str">
        <f>IF(_xlfn.XLOOKUP(D419,product!$A:$A,product!$E:$E,,0)=0,"",_xlfn.XLOOKUP(D419,product!$A:$A,product!$E:$E,,0))</f>
        <v>BUSINESS</v>
      </c>
      <c r="J419" s="5">
        <f>IF(_xlfn.XLOOKUP(D419,product!$A:$A,product!$D:$D,,0)=0,"",_xlfn.XLOOKUP(D419,product!$A:$A,product!$D:$D,,0))</f>
        <v>26.7</v>
      </c>
      <c r="K419" s="7">
        <f t="shared" si="6"/>
        <v>80.099999999999994</v>
      </c>
      <c r="L419" s="10" t="str">
        <f>IF(_xlfn.XLOOKUP(D419,product!$A:$A,product!$F:$F,,0)=0,"",_xlfn.XLOOKUP(D419,product!$A:$A,product!$F:$F,,0))</f>
        <v>No</v>
      </c>
      <c r="M419" t="str">
        <f>IF(_xlfn.XLOOKUP(D419,product!$A:$A,product!G:G,,0)=0,"",_xlfn.XLOOKUP(D419,product!$A:$A,product!G:G,,0))</f>
        <v>Platinum</v>
      </c>
      <c r="N419" t="str">
        <f>IF(_xlfn.XLOOKUP(D419,product!$A:$A,product!$B:$B,,0)=0,"",_xlfn.XLOOKUP(D419,product!$A:$A,product!$B:$B,,0))</f>
        <v>Quantum Data</v>
      </c>
    </row>
    <row r="420" spans="1:14" x14ac:dyDescent="0.35">
      <c r="A420" t="s">
        <v>329</v>
      </c>
      <c r="B420" s="3">
        <v>45031</v>
      </c>
      <c r="C420" t="s">
        <v>2191</v>
      </c>
      <c r="D420" t="s">
        <v>5777</v>
      </c>
      <c r="E420">
        <v>3</v>
      </c>
      <c r="F420" t="str">
        <f>_xlfn.XLOOKUP(C420,customers!$A$1:$A$983,customers!$B$1:$B$983,,0)</f>
        <v>Emma Walker</v>
      </c>
      <c r="G420" t="str">
        <f>_xlfn.XLOOKUP(C420,customers!$A:$A,customers!$C:$C,,0)</f>
        <v>emma.walker333@outlook.com</v>
      </c>
      <c r="H420" t="str">
        <f>IF(_xlfn.XLOOKUP(C420,customers!$A:$A,customers!$G:$G,,0)=0,"",_xlfn.XLOOKUP(C420,customers!$A:$A,customers!$G:$G,,0))</f>
        <v>Germany</v>
      </c>
      <c r="I420" t="str">
        <f>IF(_xlfn.XLOOKUP(D420,product!$A:$A,product!$E:$E,,0)=0,"",_xlfn.XLOOKUP(D420,product!$A:$A,product!$E:$E,,0))</f>
        <v>TECH</v>
      </c>
      <c r="J420" s="5">
        <f>IF(_xlfn.XLOOKUP(D420,product!$A:$A,product!$D:$D,,0)=0,"",_xlfn.XLOOKUP(D420,product!$A:$A,product!$D:$D,,0))</f>
        <v>14.05</v>
      </c>
      <c r="K420" s="7">
        <f t="shared" si="6"/>
        <v>42.150000000000006</v>
      </c>
      <c r="L420" s="10" t="str">
        <f>IF(_xlfn.XLOOKUP(D420,product!$A:$A,product!$F:$F,,0)=0,"",_xlfn.XLOOKUP(D420,product!$A:$A,product!$F:$F,,0))</f>
        <v>No</v>
      </c>
      <c r="M420" t="str">
        <f>IF(_xlfn.XLOOKUP(D420,product!$A:$A,product!G:G,,0)=0,"",_xlfn.XLOOKUP(D420,product!$A:$A,product!G:G,,0))</f>
        <v>None</v>
      </c>
      <c r="N420" t="str">
        <f>IF(_xlfn.XLOOKUP(D420,product!$A:$A,product!$B:$B,,0)=0,"",_xlfn.XLOOKUP(D420,product!$A:$A,product!$B:$B,,0))</f>
        <v>Forest Journey</v>
      </c>
    </row>
    <row r="421" spans="1:14" x14ac:dyDescent="0.35">
      <c r="A421" t="s">
        <v>346</v>
      </c>
      <c r="B421" s="3">
        <v>45301</v>
      </c>
      <c r="C421" t="s">
        <v>2853</v>
      </c>
      <c r="D421" t="s">
        <v>5778</v>
      </c>
      <c r="E421">
        <v>3</v>
      </c>
      <c r="F421" t="str">
        <f>_xlfn.XLOOKUP(C421,customers!$A$1:$A$983,customers!$B$1:$B$983,,0)</f>
        <v>Jessica Baker</v>
      </c>
      <c r="G421" t="str">
        <f>_xlfn.XLOOKUP(C421,customers!$A:$A,customers!$C:$C,,0)</f>
        <v>jessica.baker642@yahoo.com</v>
      </c>
      <c r="H421" t="str">
        <f>IF(_xlfn.XLOOKUP(C421,customers!$A:$A,customers!$G:$G,,0)=0,"",_xlfn.XLOOKUP(C421,customers!$A:$A,customers!$G:$G,,0))</f>
        <v>Japan</v>
      </c>
      <c r="I421" t="str">
        <f>IF(_xlfn.XLOOKUP(D421,product!$A:$A,product!$E:$E,,0)=0,"",_xlfn.XLOOKUP(D421,product!$A:$A,product!$E:$E,,0))</f>
        <v>TECH</v>
      </c>
      <c r="J421" s="5">
        <f>IF(_xlfn.XLOOKUP(D421,product!$A:$A,product!$D:$D,,0)=0,"",_xlfn.XLOOKUP(D421,product!$A:$A,product!$D:$D,,0))</f>
        <v>11.4</v>
      </c>
      <c r="K421" s="7">
        <f t="shared" si="6"/>
        <v>34.200000000000003</v>
      </c>
      <c r="L421" s="10" t="str">
        <f>IF(_xlfn.XLOOKUP(D421,product!$A:$A,product!$F:$F,,0)=0,"",_xlfn.XLOOKUP(D421,product!$A:$A,product!$F:$F,,0))</f>
        <v>Yes</v>
      </c>
      <c r="M421" t="str">
        <f>IF(_xlfn.XLOOKUP(D421,product!$A:$A,product!G:G,,0)=0,"",_xlfn.XLOOKUP(D421,product!$A:$A,product!G:G,,0))</f>
        <v>None</v>
      </c>
      <c r="N421" t="str">
        <f>IF(_xlfn.XLOOKUP(D421,product!$A:$A,product!$B:$B,,0)=0,"",_xlfn.XLOOKUP(D421,product!$A:$A,product!$B:$B,,0))</f>
        <v>Science Power</v>
      </c>
    </row>
    <row r="422" spans="1:14" x14ac:dyDescent="0.35">
      <c r="A422" t="s">
        <v>363</v>
      </c>
      <c r="B422" s="3">
        <v>45219</v>
      </c>
      <c r="C422" t="s">
        <v>2073</v>
      </c>
      <c r="D422" t="s">
        <v>5779</v>
      </c>
      <c r="E422">
        <v>3</v>
      </c>
      <c r="F422" t="str">
        <f>_xlfn.XLOOKUP(C422,customers!$A$1:$A$983,customers!$B$1:$B$983,,0)</f>
        <v>Chloe Smith</v>
      </c>
      <c r="G422" t="str">
        <f>_xlfn.XLOOKUP(C422,customers!$A:$A,customers!$C:$C,,0)</f>
        <v>chloe.smith286@outlook.com</v>
      </c>
      <c r="H422" t="str">
        <f>IF(_xlfn.XLOOKUP(C422,customers!$A:$A,customers!$G:$G,,0)=0,"",_xlfn.XLOOKUP(C422,customers!$A:$A,customers!$G:$G,,0))</f>
        <v>Japan</v>
      </c>
      <c r="I422" t="str">
        <f>IF(_xlfn.XLOOKUP(D422,product!$A:$A,product!$E:$E,,0)=0,"",_xlfn.XLOOKUP(D422,product!$A:$A,product!$E:$E,,0))</f>
        <v>SCIENCE</v>
      </c>
      <c r="J422" s="5">
        <f>IF(_xlfn.XLOOKUP(D422,product!$A:$A,product!$D:$D,,0)=0,"",_xlfn.XLOOKUP(D422,product!$A:$A,product!$D:$D,,0))</f>
        <v>18.89</v>
      </c>
      <c r="K422" s="7">
        <f t="shared" si="6"/>
        <v>56.67</v>
      </c>
      <c r="L422" s="10" t="str">
        <f>IF(_xlfn.XLOOKUP(D422,product!$A:$A,product!$F:$F,,0)=0,"",_xlfn.XLOOKUP(D422,product!$A:$A,product!$F:$F,,0))</f>
        <v>No</v>
      </c>
      <c r="M422" t="str">
        <f>IF(_xlfn.XLOOKUP(D422,product!$A:$A,product!G:G,,0)=0,"",_xlfn.XLOOKUP(D422,product!$A:$A,product!G:G,,0))</f>
        <v>None</v>
      </c>
      <c r="N422" t="str">
        <f>IF(_xlfn.XLOOKUP(D422,product!$A:$A,product!$B:$B,,0)=0,"",_xlfn.XLOOKUP(D422,product!$A:$A,product!$B:$B,,0))</f>
        <v>Power Journey</v>
      </c>
    </row>
    <row r="423" spans="1:14" x14ac:dyDescent="0.35">
      <c r="A423" t="s">
        <v>380</v>
      </c>
      <c r="B423" s="3">
        <v>45603</v>
      </c>
      <c r="C423" t="s">
        <v>2332</v>
      </c>
      <c r="D423" t="s">
        <v>5780</v>
      </c>
      <c r="E423">
        <v>3</v>
      </c>
      <c r="F423" t="str">
        <f>_xlfn.XLOOKUP(C423,customers!$A$1:$A$983,customers!$B$1:$B$983,,0)</f>
        <v>Charlotte Thomas</v>
      </c>
      <c r="G423" t="str">
        <f>_xlfn.XLOOKUP(C423,customers!$A:$A,customers!$C:$C,,0)</f>
        <v>charlotte.thomas394@yahoo.com</v>
      </c>
      <c r="H423" t="str">
        <f>IF(_xlfn.XLOOKUP(C423,customers!$A:$A,customers!$G:$G,,0)=0,"",_xlfn.XLOOKUP(C423,customers!$A:$A,customers!$G:$G,,0))</f>
        <v>Japan</v>
      </c>
      <c r="I423" t="str">
        <f>IF(_xlfn.XLOOKUP(D423,product!$A:$A,product!$E:$E,,0)=0,"",_xlfn.XLOOKUP(D423,product!$A:$A,product!$E:$E,,0))</f>
        <v>BUSINESS</v>
      </c>
      <c r="J423" s="5">
        <f>IF(_xlfn.XLOOKUP(D423,product!$A:$A,product!$D:$D,,0)=0,"",_xlfn.XLOOKUP(D423,product!$A:$A,product!$D:$D,,0))</f>
        <v>19.36</v>
      </c>
      <c r="K423" s="7">
        <f t="shared" si="6"/>
        <v>58.08</v>
      </c>
      <c r="L423" s="10" t="str">
        <f>IF(_xlfn.XLOOKUP(D423,product!$A:$A,product!$F:$F,,0)=0,"",_xlfn.XLOOKUP(D423,product!$A:$A,product!$F:$F,,0))</f>
        <v>No</v>
      </c>
      <c r="M423" t="str">
        <f>IF(_xlfn.XLOOKUP(D423,product!$A:$A,product!G:G,,0)=0,"",_xlfn.XLOOKUP(D423,product!$A:$A,product!G:G,,0))</f>
        <v>Silver</v>
      </c>
      <c r="N423" t="str">
        <f>IF(_xlfn.XLOOKUP(D423,product!$A:$A,product!$B:$B,,0)=0,"",_xlfn.XLOOKUP(D423,product!$A:$A,product!$B:$B,,0))</f>
        <v>Silent Secrets</v>
      </c>
    </row>
    <row r="424" spans="1:14" x14ac:dyDescent="0.35">
      <c r="A424" t="s">
        <v>397</v>
      </c>
      <c r="B424" s="3">
        <v>45276</v>
      </c>
      <c r="C424" t="s">
        <v>3006</v>
      </c>
      <c r="D424" t="s">
        <v>5781</v>
      </c>
      <c r="E424">
        <v>3</v>
      </c>
      <c r="F424" t="str">
        <f>_xlfn.XLOOKUP(C424,customers!$A$1:$A$983,customers!$B$1:$B$983,,0)</f>
        <v>Anna Robinson</v>
      </c>
      <c r="G424" t="str">
        <f>_xlfn.XLOOKUP(C424,customers!$A:$A,customers!$C:$C,,0)</f>
        <v>anna.robinson716@hotmail.com</v>
      </c>
      <c r="H424" t="str">
        <f>IF(_xlfn.XLOOKUP(C424,customers!$A:$A,customers!$G:$G,,0)=0,"",_xlfn.XLOOKUP(C424,customers!$A:$A,customers!$G:$G,,0))</f>
        <v>Egypt</v>
      </c>
      <c r="I424" t="str">
        <f>IF(_xlfn.XLOOKUP(D424,product!$A:$A,product!$E:$E,,0)=0,"",_xlfn.XLOOKUP(D424,product!$A:$A,product!$E:$E,,0))</f>
        <v>SCIENCE</v>
      </c>
      <c r="J424" s="5">
        <f>IF(_xlfn.XLOOKUP(D424,product!$A:$A,product!$D:$D,,0)=0,"",_xlfn.XLOOKUP(D424,product!$A:$A,product!$D:$D,,0))</f>
        <v>39.409999999999997</v>
      </c>
      <c r="K424" s="7">
        <f t="shared" si="6"/>
        <v>118.22999999999999</v>
      </c>
      <c r="L424" s="10" t="str">
        <f>IF(_xlfn.XLOOKUP(D424,product!$A:$A,product!$F:$F,,0)=0,"",_xlfn.XLOOKUP(D424,product!$A:$A,product!$F:$F,,0))</f>
        <v>No</v>
      </c>
      <c r="M424" t="str">
        <f>IF(_xlfn.XLOOKUP(D424,product!$A:$A,product!G:G,,0)=0,"",_xlfn.XLOOKUP(D424,product!$A:$A,product!G:G,,0))</f>
        <v>Silver</v>
      </c>
      <c r="N424" t="str">
        <f>IF(_xlfn.XLOOKUP(D424,product!$A:$A,product!$B:$B,,0)=0,"",_xlfn.XLOOKUP(D424,product!$A:$A,product!$B:$B,,0))</f>
        <v>Secrets Forest</v>
      </c>
    </row>
    <row r="425" spans="1:14" x14ac:dyDescent="0.35">
      <c r="A425" t="s">
        <v>414</v>
      </c>
      <c r="B425" s="3">
        <v>45380</v>
      </c>
      <c r="C425" t="s">
        <v>3032</v>
      </c>
      <c r="D425" t="s">
        <v>5782</v>
      </c>
      <c r="E425">
        <v>3</v>
      </c>
      <c r="F425" t="str">
        <f>_xlfn.XLOOKUP(C425,customers!$A$1:$A$983,customers!$B$1:$B$983,,0)</f>
        <v>James Robinson</v>
      </c>
      <c r="G425" t="str">
        <f>_xlfn.XLOOKUP(C425,customers!$A:$A,customers!$C:$C,,0)</f>
        <v>james.robinson729@yahoo.com</v>
      </c>
      <c r="H425" t="str">
        <f>IF(_xlfn.XLOOKUP(C425,customers!$A:$A,customers!$G:$G,,0)=0,"",_xlfn.XLOOKUP(C425,customers!$A:$A,customers!$G:$G,,0))</f>
        <v>Germany</v>
      </c>
      <c r="I425" t="str">
        <f>IF(_xlfn.XLOOKUP(D425,product!$A:$A,product!$E:$E,,0)=0,"",_xlfn.XLOOKUP(D425,product!$A:$A,product!$E:$E,,0))</f>
        <v>FICTION</v>
      </c>
      <c r="J425" s="5">
        <f>IF(_xlfn.XLOOKUP(D425,product!$A:$A,product!$D:$D,,0)=0,"",_xlfn.XLOOKUP(D425,product!$A:$A,product!$D:$D,,0))</f>
        <v>33.86</v>
      </c>
      <c r="K425" s="7">
        <f t="shared" si="6"/>
        <v>101.58</v>
      </c>
      <c r="L425" s="10" t="str">
        <f>IF(_xlfn.XLOOKUP(D425,product!$A:$A,product!$F:$F,,0)=0,"",_xlfn.XLOOKUP(D425,product!$A:$A,product!$F:$F,,0))</f>
        <v>No</v>
      </c>
      <c r="M425" t="str">
        <f>IF(_xlfn.XLOOKUP(D425,product!$A:$A,product!G:G,,0)=0,"",_xlfn.XLOOKUP(D425,product!$A:$A,product!G:G,,0))</f>
        <v>None</v>
      </c>
      <c r="N425" t="str">
        <f>IF(_xlfn.XLOOKUP(D425,product!$A:$A,product!$B:$B,,0)=0,"",_xlfn.XLOOKUP(D425,product!$A:$A,product!$B:$B,,0))</f>
        <v>Data Quantum</v>
      </c>
    </row>
    <row r="426" spans="1:14" x14ac:dyDescent="0.35">
      <c r="A426" t="s">
        <v>431</v>
      </c>
      <c r="B426" s="3">
        <v>44968</v>
      </c>
      <c r="C426" t="s">
        <v>2563</v>
      </c>
      <c r="D426" t="s">
        <v>5783</v>
      </c>
      <c r="E426">
        <v>3</v>
      </c>
      <c r="F426" t="str">
        <f>_xlfn.XLOOKUP(C426,customers!$A$1:$A$983,customers!$B$1:$B$983,,0)</f>
        <v>George Scott</v>
      </c>
      <c r="G426" t="str">
        <f>_xlfn.XLOOKUP(C426,customers!$A:$A,customers!$C:$C,,0)</f>
        <v>george.scott502@outlook.com</v>
      </c>
      <c r="H426" t="str">
        <f>IF(_xlfn.XLOOKUP(C426,customers!$A:$A,customers!$G:$G,,0)=0,"",_xlfn.XLOOKUP(C426,customers!$A:$A,customers!$G:$G,,0))</f>
        <v>Japan</v>
      </c>
      <c r="I426" t="str">
        <f>IF(_xlfn.XLOOKUP(D426,product!$A:$A,product!$E:$E,,0)=0,"",_xlfn.XLOOKUP(D426,product!$A:$A,product!$E:$E,,0))</f>
        <v>TECH</v>
      </c>
      <c r="J426" s="5">
        <f>IF(_xlfn.XLOOKUP(D426,product!$A:$A,product!$D:$D,,0)=0,"",_xlfn.XLOOKUP(D426,product!$A:$A,product!$D:$D,,0))</f>
        <v>19</v>
      </c>
      <c r="K426" s="7">
        <f t="shared" si="6"/>
        <v>57</v>
      </c>
      <c r="L426" s="10" t="str">
        <f>IF(_xlfn.XLOOKUP(D426,product!$A:$A,product!$F:$F,,0)=0,"",_xlfn.XLOOKUP(D426,product!$A:$A,product!$F:$F,,0))</f>
        <v>No</v>
      </c>
      <c r="M426" t="str">
        <f>IF(_xlfn.XLOOKUP(D426,product!$A:$A,product!G:G,,0)=0,"",_xlfn.XLOOKUP(D426,product!$A:$A,product!G:G,,0))</f>
        <v>Silver</v>
      </c>
      <c r="N426" t="str">
        <f>IF(_xlfn.XLOOKUP(D426,product!$A:$A,product!$B:$B,,0)=0,"",_xlfn.XLOOKUP(D426,product!$A:$A,product!$B:$B,,0))</f>
        <v>Data Secrets</v>
      </c>
    </row>
    <row r="427" spans="1:14" x14ac:dyDescent="0.35">
      <c r="A427" t="s">
        <v>448</v>
      </c>
      <c r="B427" s="3">
        <v>45454</v>
      </c>
      <c r="C427" t="s">
        <v>2900</v>
      </c>
      <c r="D427" t="s">
        <v>5784</v>
      </c>
      <c r="E427">
        <v>3</v>
      </c>
      <c r="F427" t="str">
        <f>_xlfn.XLOOKUP(C427,customers!$A$1:$A$983,customers!$B$1:$B$983,,0)</f>
        <v>Edward Garcia</v>
      </c>
      <c r="G427" t="str">
        <f>_xlfn.XLOOKUP(C427,customers!$A:$A,customers!$C:$C,,0)</f>
        <v>edward.garcia665@yahoo.com</v>
      </c>
      <c r="H427" t="str">
        <f>IF(_xlfn.XLOOKUP(C427,customers!$A:$A,customers!$G:$G,,0)=0,"",_xlfn.XLOOKUP(C427,customers!$A:$A,customers!$G:$G,,0))</f>
        <v>Spain</v>
      </c>
      <c r="I427" t="str">
        <f>IF(_xlfn.XLOOKUP(D427,product!$A:$A,product!$E:$E,,0)=0,"",_xlfn.XLOOKUP(D427,product!$A:$A,product!$E:$E,,0))</f>
        <v>SCIENCE</v>
      </c>
      <c r="J427" s="5">
        <f>IF(_xlfn.XLOOKUP(D427,product!$A:$A,product!$D:$D,,0)=0,"",_xlfn.XLOOKUP(D427,product!$A:$A,product!$D:$D,,0))</f>
        <v>11.62</v>
      </c>
      <c r="K427" s="7">
        <f t="shared" si="6"/>
        <v>34.86</v>
      </c>
      <c r="L427" s="10" t="str">
        <f>IF(_xlfn.XLOOKUP(D427,product!$A:$A,product!$F:$F,,0)=0,"",_xlfn.XLOOKUP(D427,product!$A:$A,product!$F:$F,,0))</f>
        <v>No</v>
      </c>
      <c r="M427" t="str">
        <f>IF(_xlfn.XLOOKUP(D427,product!$A:$A,product!G:G,,0)=0,"",_xlfn.XLOOKUP(D427,product!$A:$A,product!G:G,,0))</f>
        <v>Silver</v>
      </c>
      <c r="N427" t="str">
        <f>IF(_xlfn.XLOOKUP(D427,product!$A:$A,product!$B:$B,,0)=0,"",_xlfn.XLOOKUP(D427,product!$A:$A,product!$B:$B,,0))</f>
        <v>Secrets Data</v>
      </c>
    </row>
    <row r="428" spans="1:14" x14ac:dyDescent="0.35">
      <c r="A428" t="s">
        <v>465</v>
      </c>
      <c r="B428" s="3">
        <v>45074</v>
      </c>
      <c r="C428" t="s">
        <v>3315</v>
      </c>
      <c r="D428" t="s">
        <v>5785</v>
      </c>
      <c r="E428">
        <v>3</v>
      </c>
      <c r="F428" t="str">
        <f>_xlfn.XLOOKUP(C428,customers!$A$1:$A$983,customers!$B$1:$B$983,,0)</f>
        <v>Zoe Smith</v>
      </c>
      <c r="G428" t="str">
        <f>_xlfn.XLOOKUP(C428,customers!$A:$A,customers!$C:$C,,0)</f>
        <v>zoe.smith871@hotmail.com</v>
      </c>
      <c r="H428" t="str">
        <f>IF(_xlfn.XLOOKUP(C428,customers!$A:$A,customers!$G:$G,,0)=0,"",_xlfn.XLOOKUP(C428,customers!$A:$A,customers!$G:$G,,0))</f>
        <v>Croatia</v>
      </c>
      <c r="I428" t="str">
        <f>IF(_xlfn.XLOOKUP(D428,product!$A:$A,product!$E:$E,,0)=0,"",_xlfn.XLOOKUP(D428,product!$A:$A,product!$E:$E,,0))</f>
        <v>FICTION</v>
      </c>
      <c r="J428" s="5">
        <f>IF(_xlfn.XLOOKUP(D428,product!$A:$A,product!$D:$D,,0)=0,"",_xlfn.XLOOKUP(D428,product!$A:$A,product!$D:$D,,0))</f>
        <v>35.32</v>
      </c>
      <c r="K428" s="7">
        <f t="shared" si="6"/>
        <v>105.96000000000001</v>
      </c>
      <c r="L428" s="10" t="str">
        <f>IF(_xlfn.XLOOKUP(D428,product!$A:$A,product!$F:$F,,0)=0,"",_xlfn.XLOOKUP(D428,product!$A:$A,product!$F:$F,,0))</f>
        <v>Yes</v>
      </c>
      <c r="M428" t="str">
        <f>IF(_xlfn.XLOOKUP(D428,product!$A:$A,product!G:G,,0)=0,"",_xlfn.XLOOKUP(D428,product!$A:$A,product!G:G,,0))</f>
        <v>Platinum</v>
      </c>
      <c r="N428" t="str">
        <f>IF(_xlfn.XLOOKUP(D428,product!$A:$A,product!$B:$B,,0)=0,"",_xlfn.XLOOKUP(D428,product!$A:$A,product!$B:$B,,0))</f>
        <v>Forest Data</v>
      </c>
    </row>
    <row r="429" spans="1:14" x14ac:dyDescent="0.35">
      <c r="A429" t="s">
        <v>482</v>
      </c>
      <c r="B429" s="3">
        <v>45594</v>
      </c>
      <c r="C429" t="s">
        <v>3437</v>
      </c>
      <c r="D429" t="s">
        <v>5786</v>
      </c>
      <c r="E429">
        <v>3</v>
      </c>
      <c r="F429" t="str">
        <f>_xlfn.XLOOKUP(C429,customers!$A$1:$A$983,customers!$B$1:$B$983,,0)</f>
        <v>Laura Scott</v>
      </c>
      <c r="G429" t="str">
        <f>_xlfn.XLOOKUP(C429,customers!$A:$A,customers!$C:$C,,0)</f>
        <v>laura.scott933@outlook.com</v>
      </c>
      <c r="H429" t="str">
        <f>IF(_xlfn.XLOOKUP(C429,customers!$A:$A,customers!$G:$G,,0)=0,"",_xlfn.XLOOKUP(C429,customers!$A:$A,customers!$G:$G,,0))</f>
        <v>Iran</v>
      </c>
      <c r="I429" t="str">
        <f>IF(_xlfn.XLOOKUP(D429,product!$A:$A,product!$E:$E,,0)=0,"",_xlfn.XLOOKUP(D429,product!$A:$A,product!$E:$E,,0))</f>
        <v>BUSINESS</v>
      </c>
      <c r="J429" s="5">
        <f>IF(_xlfn.XLOOKUP(D429,product!$A:$A,product!$D:$D,,0)=0,"",_xlfn.XLOOKUP(D429,product!$A:$A,product!$D:$D,,0))</f>
        <v>16.239999999999998</v>
      </c>
      <c r="K429" s="7">
        <f t="shared" si="6"/>
        <v>48.72</v>
      </c>
      <c r="L429" s="10" t="str">
        <f>IF(_xlfn.XLOOKUP(D429,product!$A:$A,product!$F:$F,,0)=0,"",_xlfn.XLOOKUP(D429,product!$A:$A,product!$F:$F,,0))</f>
        <v>Yes</v>
      </c>
      <c r="M429" t="str">
        <f>IF(_xlfn.XLOOKUP(D429,product!$A:$A,product!G:G,,0)=0,"",_xlfn.XLOOKUP(D429,product!$A:$A,product!G:G,,0))</f>
        <v>Silver</v>
      </c>
      <c r="N429" t="str">
        <f>IF(_xlfn.XLOOKUP(D429,product!$A:$A,product!$B:$B,,0)=0,"",_xlfn.XLOOKUP(D429,product!$A:$A,product!$B:$B,,0))</f>
        <v>Journey Science</v>
      </c>
    </row>
    <row r="430" spans="1:14" x14ac:dyDescent="0.35">
      <c r="A430" t="s">
        <v>499</v>
      </c>
      <c r="B430" s="3">
        <v>45134</v>
      </c>
      <c r="C430" t="s">
        <v>2347</v>
      </c>
      <c r="D430" t="s">
        <v>5787</v>
      </c>
      <c r="E430">
        <v>3</v>
      </c>
      <c r="F430" t="str">
        <f>_xlfn.XLOOKUP(C430,customers!$A$1:$A$983,customers!$B$1:$B$983,,0)</f>
        <v>David Garcia</v>
      </c>
      <c r="G430" t="str">
        <f>_xlfn.XLOOKUP(C430,customers!$A:$A,customers!$C:$C,,0)</f>
        <v>david.garcia401@gmail.com</v>
      </c>
      <c r="H430" t="str">
        <f>IF(_xlfn.XLOOKUP(C430,customers!$A:$A,customers!$G:$G,,0)=0,"",_xlfn.XLOOKUP(C430,customers!$A:$A,customers!$G:$G,,0))</f>
        <v>Egypt</v>
      </c>
      <c r="I430" t="str">
        <f>IF(_xlfn.XLOOKUP(D430,product!$A:$A,product!$E:$E,,0)=0,"",_xlfn.XLOOKUP(D430,product!$A:$A,product!$E:$E,,0))</f>
        <v>HISTORY</v>
      </c>
      <c r="J430" s="5">
        <f>IF(_xlfn.XLOOKUP(D430,product!$A:$A,product!$D:$D,,0)=0,"",_xlfn.XLOOKUP(D430,product!$A:$A,product!$D:$D,,0))</f>
        <v>17.7</v>
      </c>
      <c r="K430" s="7">
        <f t="shared" si="6"/>
        <v>53.099999999999994</v>
      </c>
      <c r="L430" s="10" t="str">
        <f>IF(_xlfn.XLOOKUP(D430,product!$A:$A,product!$F:$F,,0)=0,"",_xlfn.XLOOKUP(D430,product!$A:$A,product!$F:$F,,0))</f>
        <v>Yes</v>
      </c>
      <c r="M430" t="str">
        <f>IF(_xlfn.XLOOKUP(D430,product!$A:$A,product!G:G,,0)=0,"",_xlfn.XLOOKUP(D430,product!$A:$A,product!G:G,,0))</f>
        <v>Silver</v>
      </c>
      <c r="N430" t="str">
        <f>IF(_xlfn.XLOOKUP(D430,product!$A:$A,product!$B:$B,,0)=0,"",_xlfn.XLOOKUP(D430,product!$A:$A,product!$B:$B,,0))</f>
        <v>Silent Science</v>
      </c>
    </row>
    <row r="431" spans="1:14" x14ac:dyDescent="0.35">
      <c r="A431" t="s">
        <v>516</v>
      </c>
      <c r="B431" s="3">
        <v>45508</v>
      </c>
      <c r="C431" t="s">
        <v>1686</v>
      </c>
      <c r="D431" t="s">
        <v>5788</v>
      </c>
      <c r="E431">
        <v>3</v>
      </c>
      <c r="F431" t="str">
        <f>_xlfn.XLOOKUP(C431,customers!$A$1:$A$983,customers!$B$1:$B$983,,0)</f>
        <v>Anthony Hall</v>
      </c>
      <c r="G431" t="str">
        <f>_xlfn.XLOOKUP(C431,customers!$A:$A,customers!$C:$C,,0)</f>
        <v>anthony.hall168@yahoo.com</v>
      </c>
      <c r="H431" t="str">
        <f>IF(_xlfn.XLOOKUP(C431,customers!$A:$A,customers!$G:$G,,0)=0,"",_xlfn.XLOOKUP(C431,customers!$A:$A,customers!$G:$G,,0))</f>
        <v>Spain</v>
      </c>
      <c r="I431" t="str">
        <f>IF(_xlfn.XLOOKUP(D431,product!$A:$A,product!$E:$E,,0)=0,"",_xlfn.XLOOKUP(D431,product!$A:$A,product!$E:$E,,0))</f>
        <v>HISTORY</v>
      </c>
      <c r="J431" s="5">
        <f>IF(_xlfn.XLOOKUP(D431,product!$A:$A,product!$D:$D,,0)=0,"",_xlfn.XLOOKUP(D431,product!$A:$A,product!$D:$D,,0))</f>
        <v>34.200000000000003</v>
      </c>
      <c r="K431" s="7">
        <f t="shared" si="6"/>
        <v>102.60000000000001</v>
      </c>
      <c r="L431" s="10" t="str">
        <f>IF(_xlfn.XLOOKUP(D431,product!$A:$A,product!$F:$F,,0)=0,"",_xlfn.XLOOKUP(D431,product!$A:$A,product!$F:$F,,0))</f>
        <v>Yes</v>
      </c>
      <c r="M431" t="str">
        <f>IF(_xlfn.XLOOKUP(D431,product!$A:$A,product!G:G,,0)=0,"",_xlfn.XLOOKUP(D431,product!$A:$A,product!G:G,,0))</f>
        <v>None</v>
      </c>
      <c r="N431" t="str">
        <f>IF(_xlfn.XLOOKUP(D431,product!$A:$A,product!$B:$B,,0)=0,"",_xlfn.XLOOKUP(D431,product!$A:$A,product!$B:$B,,0))</f>
        <v>Secrets Forest</v>
      </c>
    </row>
    <row r="432" spans="1:14" x14ac:dyDescent="0.35">
      <c r="A432" t="s">
        <v>533</v>
      </c>
      <c r="B432" s="3">
        <v>44949</v>
      </c>
      <c r="C432" t="s">
        <v>1375</v>
      </c>
      <c r="D432" t="s">
        <v>5789</v>
      </c>
      <c r="E432">
        <v>3</v>
      </c>
      <c r="F432" t="str">
        <f>_xlfn.XLOOKUP(C432,customers!$A$1:$A$983,customers!$B$1:$B$983,,0)</f>
        <v>William Adams</v>
      </c>
      <c r="G432" t="str">
        <f>_xlfn.XLOOKUP(C432,customers!$A:$A,customers!$C:$C,,0)</f>
        <v>william.adams85@outlook.com</v>
      </c>
      <c r="H432" t="str">
        <f>IF(_xlfn.XLOOKUP(C432,customers!$A:$A,customers!$G:$G,,0)=0,"",_xlfn.XLOOKUP(C432,customers!$A:$A,customers!$G:$G,,0))</f>
        <v>Sweden</v>
      </c>
      <c r="I432" t="str">
        <f>IF(_xlfn.XLOOKUP(D432,product!$A:$A,product!$E:$E,,0)=0,"",_xlfn.XLOOKUP(D432,product!$A:$A,product!$E:$E,,0))</f>
        <v>BUSINESS</v>
      </c>
      <c r="J432" s="5">
        <f>IF(_xlfn.XLOOKUP(D432,product!$A:$A,product!$D:$D,,0)=0,"",_xlfn.XLOOKUP(D432,product!$A:$A,product!$D:$D,,0))</f>
        <v>11.3</v>
      </c>
      <c r="K432" s="7">
        <f t="shared" si="6"/>
        <v>33.900000000000006</v>
      </c>
      <c r="L432" s="10" t="str">
        <f>IF(_xlfn.XLOOKUP(D432,product!$A:$A,product!$F:$F,,0)=0,"",_xlfn.XLOOKUP(D432,product!$A:$A,product!$F:$F,,0))</f>
        <v>No</v>
      </c>
      <c r="M432" t="str">
        <f>IF(_xlfn.XLOOKUP(D432,product!$A:$A,product!G:G,,0)=0,"",_xlfn.XLOOKUP(D432,product!$A:$A,product!G:G,,0))</f>
        <v>None</v>
      </c>
      <c r="N432" t="str">
        <f>IF(_xlfn.XLOOKUP(D432,product!$A:$A,product!$B:$B,,0)=0,"",_xlfn.XLOOKUP(D432,product!$A:$A,product!$B:$B,,0))</f>
        <v>Future Journey</v>
      </c>
    </row>
    <row r="433" spans="1:14" x14ac:dyDescent="0.35">
      <c r="A433" t="s">
        <v>550</v>
      </c>
      <c r="B433" s="3">
        <v>45400</v>
      </c>
      <c r="C433" t="s">
        <v>3022</v>
      </c>
      <c r="D433" t="s">
        <v>5790</v>
      </c>
      <c r="E433">
        <v>3</v>
      </c>
      <c r="F433" t="str">
        <f>_xlfn.XLOOKUP(C433,customers!$A$1:$A$983,customers!$B$1:$B$983,,0)</f>
        <v>Anna Allen</v>
      </c>
      <c r="G433" t="str">
        <f>_xlfn.XLOOKUP(C433,customers!$A:$A,customers!$C:$C,,0)</f>
        <v>anna.allen724@hotmail.com</v>
      </c>
      <c r="H433" t="str">
        <f>IF(_xlfn.XLOOKUP(C433,customers!$A:$A,customers!$G:$G,,0)=0,"",_xlfn.XLOOKUP(C433,customers!$A:$A,customers!$G:$G,,0))</f>
        <v>Sweden</v>
      </c>
      <c r="I433" t="str">
        <f>IF(_xlfn.XLOOKUP(D433,product!$A:$A,product!$E:$E,,0)=0,"",_xlfn.XLOOKUP(D433,product!$A:$A,product!$E:$E,,0))</f>
        <v>HISTORY</v>
      </c>
      <c r="J433" s="5">
        <f>IF(_xlfn.XLOOKUP(D433,product!$A:$A,product!$D:$D,,0)=0,"",_xlfn.XLOOKUP(D433,product!$A:$A,product!$D:$D,,0))</f>
        <v>16.489999999999998</v>
      </c>
      <c r="K433" s="7">
        <f t="shared" si="6"/>
        <v>49.47</v>
      </c>
      <c r="L433" s="10" t="str">
        <f>IF(_xlfn.XLOOKUP(D433,product!$A:$A,product!$F:$F,,0)=0,"",_xlfn.XLOOKUP(D433,product!$A:$A,product!$F:$F,,0))</f>
        <v>Yes</v>
      </c>
      <c r="M433" t="str">
        <f>IF(_xlfn.XLOOKUP(D433,product!$A:$A,product!G:G,,0)=0,"",_xlfn.XLOOKUP(D433,product!$A:$A,product!G:G,,0))</f>
        <v>None</v>
      </c>
      <c r="N433" t="str">
        <f>IF(_xlfn.XLOOKUP(D433,product!$A:$A,product!$B:$B,,0)=0,"",_xlfn.XLOOKUP(D433,product!$A:$A,product!$B:$B,,0))</f>
        <v>Future Silent</v>
      </c>
    </row>
    <row r="434" spans="1:14" x14ac:dyDescent="0.35">
      <c r="A434" t="s">
        <v>567</v>
      </c>
      <c r="B434" s="3">
        <v>45175</v>
      </c>
      <c r="C434" t="s">
        <v>2030</v>
      </c>
      <c r="D434" t="s">
        <v>5791</v>
      </c>
      <c r="E434">
        <v>3</v>
      </c>
      <c r="F434" t="str">
        <f>_xlfn.XLOOKUP(C434,customers!$A$1:$A$983,customers!$B$1:$B$983,,0)</f>
        <v>James Rodriguez</v>
      </c>
      <c r="G434" t="str">
        <f>_xlfn.XLOOKUP(C434,customers!$A:$A,customers!$C:$C,,0)</f>
        <v>james.rodriguez271@yahoo.com</v>
      </c>
      <c r="H434" t="str">
        <f>IF(_xlfn.XLOOKUP(C434,customers!$A:$A,customers!$G:$G,,0)=0,"",_xlfn.XLOOKUP(C434,customers!$A:$A,customers!$G:$G,,0))</f>
        <v>USA</v>
      </c>
      <c r="I434" t="str">
        <f>IF(_xlfn.XLOOKUP(D434,product!$A:$A,product!$E:$E,,0)=0,"",_xlfn.XLOOKUP(D434,product!$A:$A,product!$E:$E,,0))</f>
        <v>HISTORY</v>
      </c>
      <c r="J434" s="5">
        <f>IF(_xlfn.XLOOKUP(D434,product!$A:$A,product!$D:$D,,0)=0,"",_xlfn.XLOOKUP(D434,product!$A:$A,product!$D:$D,,0))</f>
        <v>13.85</v>
      </c>
      <c r="K434" s="7">
        <f t="shared" si="6"/>
        <v>41.55</v>
      </c>
      <c r="L434" s="10" t="str">
        <f>IF(_xlfn.XLOOKUP(D434,product!$A:$A,product!$F:$F,,0)=0,"",_xlfn.XLOOKUP(D434,product!$A:$A,product!$F:$F,,0))</f>
        <v>No</v>
      </c>
      <c r="M434" t="str">
        <f>IF(_xlfn.XLOOKUP(D434,product!$A:$A,product!G:G,,0)=0,"",_xlfn.XLOOKUP(D434,product!$A:$A,product!G:G,,0))</f>
        <v>None</v>
      </c>
      <c r="N434" t="str">
        <f>IF(_xlfn.XLOOKUP(D434,product!$A:$A,product!$B:$B,,0)=0,"",_xlfn.XLOOKUP(D434,product!$A:$A,product!$B:$B,,0))</f>
        <v>Silent Power</v>
      </c>
    </row>
    <row r="435" spans="1:14" x14ac:dyDescent="0.35">
      <c r="A435" t="s">
        <v>584</v>
      </c>
      <c r="B435" s="3">
        <v>45631</v>
      </c>
      <c r="C435" t="s">
        <v>2341</v>
      </c>
      <c r="D435" t="s">
        <v>5792</v>
      </c>
      <c r="E435">
        <v>3</v>
      </c>
      <c r="F435" t="str">
        <f>_xlfn.XLOOKUP(C435,customers!$A$1:$A$983,customers!$B$1:$B$983,,0)</f>
        <v>Daniel Hall</v>
      </c>
      <c r="G435" t="str">
        <f>_xlfn.XLOOKUP(C435,customers!$A:$A,customers!$C:$C,,0)</f>
        <v>daniel.hall398@yahoo.com</v>
      </c>
      <c r="H435" t="str">
        <f>IF(_xlfn.XLOOKUP(C435,customers!$A:$A,customers!$G:$G,,0)=0,"",_xlfn.XLOOKUP(C435,customers!$A:$A,customers!$G:$G,,0))</f>
        <v>Pakistan</v>
      </c>
      <c r="I435" t="str">
        <f>IF(_xlfn.XLOOKUP(D435,product!$A:$A,product!$E:$E,,0)=0,"",_xlfn.XLOOKUP(D435,product!$A:$A,product!$E:$E,,0))</f>
        <v>BUSINESS</v>
      </c>
      <c r="J435" s="5">
        <f>IF(_xlfn.XLOOKUP(D435,product!$A:$A,product!$D:$D,,0)=0,"",_xlfn.XLOOKUP(D435,product!$A:$A,product!$D:$D,,0))</f>
        <v>29.02</v>
      </c>
      <c r="K435" s="7">
        <f t="shared" si="6"/>
        <v>87.06</v>
      </c>
      <c r="L435" s="10" t="str">
        <f>IF(_xlfn.XLOOKUP(D435,product!$A:$A,product!$F:$F,,0)=0,"",_xlfn.XLOOKUP(D435,product!$A:$A,product!$F:$F,,0))</f>
        <v>No</v>
      </c>
      <c r="M435" t="str">
        <f>IF(_xlfn.XLOOKUP(D435,product!$A:$A,product!G:G,,0)=0,"",_xlfn.XLOOKUP(D435,product!$A:$A,product!G:G,,0))</f>
        <v>Gold</v>
      </c>
      <c r="N435" t="str">
        <f>IF(_xlfn.XLOOKUP(D435,product!$A:$A,product!$B:$B,,0)=0,"",_xlfn.XLOOKUP(D435,product!$A:$A,product!$B:$B,,0))</f>
        <v>Science Forest</v>
      </c>
    </row>
    <row r="436" spans="1:14" x14ac:dyDescent="0.35">
      <c r="A436" t="s">
        <v>601</v>
      </c>
      <c r="B436" s="3">
        <v>45004</v>
      </c>
      <c r="C436" t="s">
        <v>1547</v>
      </c>
      <c r="D436" t="s">
        <v>5793</v>
      </c>
      <c r="E436">
        <v>3</v>
      </c>
      <c r="F436" t="str">
        <f>_xlfn.XLOOKUP(C436,customers!$A$1:$A$983,customers!$B$1:$B$983,,0)</f>
        <v>Sophia King</v>
      </c>
      <c r="G436" t="str">
        <f>_xlfn.XLOOKUP(C436,customers!$A:$A,customers!$C:$C,,0)</f>
        <v>sophia.king136@hotmail.com</v>
      </c>
      <c r="H436" t="str">
        <f>IF(_xlfn.XLOOKUP(C436,customers!$A:$A,customers!$G:$G,,0)=0,"",_xlfn.XLOOKUP(C436,customers!$A:$A,customers!$G:$G,,0))</f>
        <v>USA</v>
      </c>
      <c r="I436" t="str">
        <f>IF(_xlfn.XLOOKUP(D436,product!$A:$A,product!$E:$E,,0)=0,"",_xlfn.XLOOKUP(D436,product!$A:$A,product!$E:$E,,0))</f>
        <v>FICTION</v>
      </c>
      <c r="J436" s="5">
        <f>IF(_xlfn.XLOOKUP(D436,product!$A:$A,product!$D:$D,,0)=0,"",_xlfn.XLOOKUP(D436,product!$A:$A,product!$D:$D,,0))</f>
        <v>21.6</v>
      </c>
      <c r="K436" s="7">
        <f t="shared" si="6"/>
        <v>64.800000000000011</v>
      </c>
      <c r="L436" s="10" t="str">
        <f>IF(_xlfn.XLOOKUP(D436,product!$A:$A,product!$F:$F,,0)=0,"",_xlfn.XLOOKUP(D436,product!$A:$A,product!$F:$F,,0))</f>
        <v>No</v>
      </c>
      <c r="M436" t="str">
        <f>IF(_xlfn.XLOOKUP(D436,product!$A:$A,product!G:G,,0)=0,"",_xlfn.XLOOKUP(D436,product!$A:$A,product!G:G,,0))</f>
        <v>None</v>
      </c>
      <c r="N436" t="str">
        <f>IF(_xlfn.XLOOKUP(D436,product!$A:$A,product!$B:$B,,0)=0,"",_xlfn.XLOOKUP(D436,product!$A:$A,product!$B:$B,,0))</f>
        <v>Secrets Power</v>
      </c>
    </row>
    <row r="437" spans="1:14" x14ac:dyDescent="0.35">
      <c r="A437" t="s">
        <v>618</v>
      </c>
      <c r="B437" s="3">
        <v>45330</v>
      </c>
      <c r="C437" t="s">
        <v>2016</v>
      </c>
      <c r="D437" t="s">
        <v>5794</v>
      </c>
      <c r="E437">
        <v>3</v>
      </c>
      <c r="F437" t="str">
        <f>_xlfn.XLOOKUP(C437,customers!$A$1:$A$983,customers!$B$1:$B$983,,0)</f>
        <v>Andrew Clark</v>
      </c>
      <c r="G437" t="str">
        <f>_xlfn.XLOOKUP(C437,customers!$A:$A,customers!$C:$C,,0)</f>
        <v>andrew.clark266@hotmail.com</v>
      </c>
      <c r="H437" t="str">
        <f>IF(_xlfn.XLOOKUP(C437,customers!$A:$A,customers!$G:$G,,0)=0,"",_xlfn.XLOOKUP(C437,customers!$A:$A,customers!$G:$G,,0))</f>
        <v>Egypt</v>
      </c>
      <c r="I437" t="str">
        <f>IF(_xlfn.XLOOKUP(D437,product!$A:$A,product!$E:$E,,0)=0,"",_xlfn.XLOOKUP(D437,product!$A:$A,product!$E:$E,,0))</f>
        <v>HISTORY</v>
      </c>
      <c r="J437" s="5">
        <f>IF(_xlfn.XLOOKUP(D437,product!$A:$A,product!$D:$D,,0)=0,"",_xlfn.XLOOKUP(D437,product!$A:$A,product!$D:$D,,0))</f>
        <v>30.41</v>
      </c>
      <c r="K437" s="7">
        <f t="shared" si="6"/>
        <v>91.23</v>
      </c>
      <c r="L437" s="10" t="str">
        <f>IF(_xlfn.XLOOKUP(D437,product!$A:$A,product!$F:$F,,0)=0,"",_xlfn.XLOOKUP(D437,product!$A:$A,product!$F:$F,,0))</f>
        <v>Yes</v>
      </c>
      <c r="M437" t="str">
        <f>IF(_xlfn.XLOOKUP(D437,product!$A:$A,product!G:G,,0)=0,"",_xlfn.XLOOKUP(D437,product!$A:$A,product!G:G,,0))</f>
        <v>None</v>
      </c>
      <c r="N437" t="str">
        <f>IF(_xlfn.XLOOKUP(D437,product!$A:$A,product!$B:$B,,0)=0,"",_xlfn.XLOOKUP(D437,product!$A:$A,product!$B:$B,,0))</f>
        <v>Mind Quantum</v>
      </c>
    </row>
    <row r="438" spans="1:14" x14ac:dyDescent="0.35">
      <c r="A438" t="s">
        <v>635</v>
      </c>
      <c r="B438" s="3">
        <v>45156</v>
      </c>
      <c r="C438" t="s">
        <v>1798</v>
      </c>
      <c r="D438" t="s">
        <v>5795</v>
      </c>
      <c r="E438">
        <v>3</v>
      </c>
      <c r="F438" t="str">
        <f>_xlfn.XLOOKUP(C438,customers!$A$1:$A$983,customers!$B$1:$B$983,,0)</f>
        <v>Emma Johnson</v>
      </c>
      <c r="G438" t="str">
        <f>_xlfn.XLOOKUP(C438,customers!$A:$A,customers!$C:$C,,0)</f>
        <v>emma.johnson198@yahoo.com</v>
      </c>
      <c r="H438" t="str">
        <f>IF(_xlfn.XLOOKUP(C438,customers!$A:$A,customers!$G:$G,,0)=0,"",_xlfn.XLOOKUP(C438,customers!$A:$A,customers!$G:$G,,0))</f>
        <v>Germany</v>
      </c>
      <c r="I438" t="str">
        <f>IF(_xlfn.XLOOKUP(D438,product!$A:$A,product!$E:$E,,0)=0,"",_xlfn.XLOOKUP(D438,product!$A:$A,product!$E:$E,,0))</f>
        <v>HISTORY</v>
      </c>
      <c r="J438" s="5">
        <f>IF(_xlfn.XLOOKUP(D438,product!$A:$A,product!$D:$D,,0)=0,"",_xlfn.XLOOKUP(D438,product!$A:$A,product!$D:$D,,0))</f>
        <v>38.9</v>
      </c>
      <c r="K438" s="7">
        <f t="shared" si="6"/>
        <v>116.69999999999999</v>
      </c>
      <c r="L438" s="10" t="str">
        <f>IF(_xlfn.XLOOKUP(D438,product!$A:$A,product!$F:$F,,0)=0,"",_xlfn.XLOOKUP(D438,product!$A:$A,product!$F:$F,,0))</f>
        <v>No</v>
      </c>
      <c r="M438" t="str">
        <f>IF(_xlfn.XLOOKUP(D438,product!$A:$A,product!G:G,,0)=0,"",_xlfn.XLOOKUP(D438,product!$A:$A,product!G:G,,0))</f>
        <v>Silver</v>
      </c>
      <c r="N438" t="str">
        <f>IF(_xlfn.XLOOKUP(D438,product!$A:$A,product!$B:$B,,0)=0,"",_xlfn.XLOOKUP(D438,product!$A:$A,product!$B:$B,,0))</f>
        <v>Science Silent</v>
      </c>
    </row>
    <row r="439" spans="1:14" x14ac:dyDescent="0.35">
      <c r="A439" t="s">
        <v>652</v>
      </c>
      <c r="B439" s="3">
        <v>45417</v>
      </c>
      <c r="C439" t="s">
        <v>2957</v>
      </c>
      <c r="D439" t="s">
        <v>5796</v>
      </c>
      <c r="E439">
        <v>3</v>
      </c>
      <c r="F439" t="str">
        <f>_xlfn.XLOOKUP(C439,customers!$A$1:$A$983,customers!$B$1:$B$983,,0)</f>
        <v>Lily Allen</v>
      </c>
      <c r="G439" t="str">
        <f>_xlfn.XLOOKUP(C439,customers!$A:$A,customers!$C:$C,,0)</f>
        <v>lily.allen693@outlook.com</v>
      </c>
      <c r="H439" t="str">
        <f>IF(_xlfn.XLOOKUP(C439,customers!$A:$A,customers!$G:$G,,0)=0,"",_xlfn.XLOOKUP(C439,customers!$A:$A,customers!$G:$G,,0))</f>
        <v>Germany</v>
      </c>
      <c r="I439" t="str">
        <f>IF(_xlfn.XLOOKUP(D439,product!$A:$A,product!$E:$E,,0)=0,"",_xlfn.XLOOKUP(D439,product!$A:$A,product!$E:$E,,0))</f>
        <v>SCIENCE</v>
      </c>
      <c r="J439" s="5">
        <f>IF(_xlfn.XLOOKUP(D439,product!$A:$A,product!$D:$D,,0)=0,"",_xlfn.XLOOKUP(D439,product!$A:$A,product!$D:$D,,0))</f>
        <v>38.090000000000003</v>
      </c>
      <c r="K439" s="7">
        <f t="shared" si="6"/>
        <v>114.27000000000001</v>
      </c>
      <c r="L439" s="10" t="str">
        <f>IF(_xlfn.XLOOKUP(D439,product!$A:$A,product!$F:$F,,0)=0,"",_xlfn.XLOOKUP(D439,product!$A:$A,product!$F:$F,,0))</f>
        <v>Yes</v>
      </c>
      <c r="M439" t="str">
        <f>IF(_xlfn.XLOOKUP(D439,product!$A:$A,product!G:G,,0)=0,"",_xlfn.XLOOKUP(D439,product!$A:$A,product!G:G,,0))</f>
        <v>Platinum</v>
      </c>
      <c r="N439" t="str">
        <f>IF(_xlfn.XLOOKUP(D439,product!$A:$A,product!$B:$B,,0)=0,"",_xlfn.XLOOKUP(D439,product!$A:$A,product!$B:$B,,0))</f>
        <v>Forest Science</v>
      </c>
    </row>
    <row r="440" spans="1:14" x14ac:dyDescent="0.35">
      <c r="A440" t="s">
        <v>669</v>
      </c>
      <c r="B440" s="3">
        <v>45247</v>
      </c>
      <c r="C440" t="s">
        <v>2798</v>
      </c>
      <c r="D440" t="s">
        <v>5797</v>
      </c>
      <c r="E440">
        <v>3</v>
      </c>
      <c r="F440" t="str">
        <f>_xlfn.XLOOKUP(C440,customers!$A$1:$A$983,customers!$B$1:$B$983,,0)</f>
        <v>Sophia Robinson</v>
      </c>
      <c r="G440" t="str">
        <f>_xlfn.XLOOKUP(C440,customers!$A:$A,customers!$C:$C,,0)</f>
        <v>sophia.robinson615@yahoo.com</v>
      </c>
      <c r="H440" t="str">
        <f>IF(_xlfn.XLOOKUP(C440,customers!$A:$A,customers!$G:$G,,0)=0,"",_xlfn.XLOOKUP(C440,customers!$A:$A,customers!$G:$G,,0))</f>
        <v>Japan</v>
      </c>
      <c r="I440" t="str">
        <f>IF(_xlfn.XLOOKUP(D440,product!$A:$A,product!$E:$E,,0)=0,"",_xlfn.XLOOKUP(D440,product!$A:$A,product!$E:$E,,0))</f>
        <v>TECH</v>
      </c>
      <c r="J440" s="5">
        <f>IF(_xlfn.XLOOKUP(D440,product!$A:$A,product!$D:$D,,0)=0,"",_xlfn.XLOOKUP(D440,product!$A:$A,product!$D:$D,,0))</f>
        <v>16.77</v>
      </c>
      <c r="K440" s="7">
        <f t="shared" si="6"/>
        <v>50.31</v>
      </c>
      <c r="L440" s="10" t="str">
        <f>IF(_xlfn.XLOOKUP(D440,product!$A:$A,product!$F:$F,,0)=0,"",_xlfn.XLOOKUP(D440,product!$A:$A,product!$F:$F,,0))</f>
        <v>No</v>
      </c>
      <c r="M440" t="str">
        <f>IF(_xlfn.XLOOKUP(D440,product!$A:$A,product!G:G,,0)=0,"",_xlfn.XLOOKUP(D440,product!$A:$A,product!G:G,,0))</f>
        <v>Platinum</v>
      </c>
      <c r="N440" t="str">
        <f>IF(_xlfn.XLOOKUP(D440,product!$A:$A,product!$B:$B,,0)=0,"",_xlfn.XLOOKUP(D440,product!$A:$A,product!$B:$B,,0))</f>
        <v>Future Forest</v>
      </c>
    </row>
    <row r="441" spans="1:14" x14ac:dyDescent="0.35">
      <c r="A441" t="s">
        <v>686</v>
      </c>
      <c r="B441" s="3">
        <v>45495</v>
      </c>
      <c r="C441" t="s">
        <v>2393</v>
      </c>
      <c r="D441" t="s">
        <v>5798</v>
      </c>
      <c r="E441">
        <v>3</v>
      </c>
      <c r="F441" t="str">
        <f>_xlfn.XLOOKUP(C441,customers!$A$1:$A$983,customers!$B$1:$B$983,,0)</f>
        <v>Brian White</v>
      </c>
      <c r="G441" t="str">
        <f>_xlfn.XLOOKUP(C441,customers!$A:$A,customers!$C:$C,,0)</f>
        <v>brian.white422@yahoo.com</v>
      </c>
      <c r="H441" t="str">
        <f>IF(_xlfn.XLOOKUP(C441,customers!$A:$A,customers!$G:$G,,0)=0,"",_xlfn.XLOOKUP(C441,customers!$A:$A,customers!$G:$G,,0))</f>
        <v>Spain</v>
      </c>
      <c r="I441" t="str">
        <f>IF(_xlfn.XLOOKUP(D441,product!$A:$A,product!$E:$E,,0)=0,"",_xlfn.XLOOKUP(D441,product!$A:$A,product!$E:$E,,0))</f>
        <v>FICTION</v>
      </c>
      <c r="J441" s="5">
        <f>IF(_xlfn.XLOOKUP(D441,product!$A:$A,product!$D:$D,,0)=0,"",_xlfn.XLOOKUP(D441,product!$A:$A,product!$D:$D,,0))</f>
        <v>15.75</v>
      </c>
      <c r="K441" s="7">
        <f t="shared" si="6"/>
        <v>47.25</v>
      </c>
      <c r="L441" s="10" t="str">
        <f>IF(_xlfn.XLOOKUP(D441,product!$A:$A,product!$F:$F,,0)=0,"",_xlfn.XLOOKUP(D441,product!$A:$A,product!$F:$F,,0))</f>
        <v>No</v>
      </c>
      <c r="M441" t="str">
        <f>IF(_xlfn.XLOOKUP(D441,product!$A:$A,product!G:G,,0)=0,"",_xlfn.XLOOKUP(D441,product!$A:$A,product!G:G,,0))</f>
        <v>None</v>
      </c>
      <c r="N441" t="str">
        <f>IF(_xlfn.XLOOKUP(D441,product!$A:$A,product!$B:$B,,0)=0,"",_xlfn.XLOOKUP(D441,product!$A:$A,product!$B:$B,,0))</f>
        <v>Forest Quantum</v>
      </c>
    </row>
    <row r="442" spans="1:14" x14ac:dyDescent="0.35">
      <c r="A442" t="s">
        <v>703</v>
      </c>
      <c r="B442" s="3">
        <v>45079</v>
      </c>
      <c r="C442" t="s">
        <v>2629</v>
      </c>
      <c r="D442" t="s">
        <v>5799</v>
      </c>
      <c r="E442">
        <v>3</v>
      </c>
      <c r="F442" t="str">
        <f>_xlfn.XLOOKUP(C442,customers!$A$1:$A$983,customers!$B$1:$B$983,,0)</f>
        <v>John Harris</v>
      </c>
      <c r="G442" t="str">
        <f>_xlfn.XLOOKUP(C442,customers!$A:$A,customers!$C:$C,,0)</f>
        <v>john.harris534@hotmail.com</v>
      </c>
      <c r="H442" t="str">
        <f>IF(_xlfn.XLOOKUP(C442,customers!$A:$A,customers!$G:$G,,0)=0,"",_xlfn.XLOOKUP(C442,customers!$A:$A,customers!$G:$G,,0))</f>
        <v>Japan</v>
      </c>
      <c r="I442" t="str">
        <f>IF(_xlfn.XLOOKUP(D442,product!$A:$A,product!$E:$E,,0)=0,"",_xlfn.XLOOKUP(D442,product!$A:$A,product!$E:$E,,0))</f>
        <v>FICTION</v>
      </c>
      <c r="J442" s="5">
        <f>IF(_xlfn.XLOOKUP(D442,product!$A:$A,product!$D:$D,,0)=0,"",_xlfn.XLOOKUP(D442,product!$A:$A,product!$D:$D,,0))</f>
        <v>14.05</v>
      </c>
      <c r="K442" s="7">
        <f t="shared" si="6"/>
        <v>42.150000000000006</v>
      </c>
      <c r="L442" s="10" t="str">
        <f>IF(_xlfn.XLOOKUP(D442,product!$A:$A,product!$F:$F,,0)=0,"",_xlfn.XLOOKUP(D442,product!$A:$A,product!$F:$F,,0))</f>
        <v>Yes</v>
      </c>
      <c r="M442" t="str">
        <f>IF(_xlfn.XLOOKUP(D442,product!$A:$A,product!G:G,,0)=0,"",_xlfn.XLOOKUP(D442,product!$A:$A,product!G:G,,0))</f>
        <v>Gold</v>
      </c>
      <c r="N442" t="str">
        <f>IF(_xlfn.XLOOKUP(D442,product!$A:$A,product!$B:$B,,0)=0,"",_xlfn.XLOOKUP(D442,product!$A:$A,product!$B:$B,,0))</f>
        <v>Science Data</v>
      </c>
    </row>
    <row r="443" spans="1:14" x14ac:dyDescent="0.35">
      <c r="A443" t="s">
        <v>720</v>
      </c>
      <c r="B443" s="3">
        <v>45565</v>
      </c>
      <c r="C443" t="s">
        <v>2239</v>
      </c>
      <c r="D443" t="s">
        <v>5800</v>
      </c>
      <c r="E443">
        <v>3</v>
      </c>
      <c r="F443" t="str">
        <f>_xlfn.XLOOKUP(C443,customers!$A$1:$A$983,customers!$B$1:$B$983,,0)</f>
        <v>Peter Wright</v>
      </c>
      <c r="G443" t="str">
        <f>_xlfn.XLOOKUP(C443,customers!$A:$A,customers!$C:$C,,0)</f>
        <v>peter.wright353@hotmail.com</v>
      </c>
      <c r="H443" t="str">
        <f>IF(_xlfn.XLOOKUP(C443,customers!$A:$A,customers!$G:$G,,0)=0,"",_xlfn.XLOOKUP(C443,customers!$A:$A,customers!$G:$G,,0))</f>
        <v>UAE</v>
      </c>
      <c r="I443" t="str">
        <f>IF(_xlfn.XLOOKUP(D443,product!$A:$A,product!$E:$E,,0)=0,"",_xlfn.XLOOKUP(D443,product!$A:$A,product!$E:$E,,0))</f>
        <v>HISTORY</v>
      </c>
      <c r="J443" s="5">
        <f>IF(_xlfn.XLOOKUP(D443,product!$A:$A,product!$D:$D,,0)=0,"",_xlfn.XLOOKUP(D443,product!$A:$A,product!$D:$D,,0))</f>
        <v>14.69</v>
      </c>
      <c r="K443" s="7">
        <f t="shared" si="6"/>
        <v>44.07</v>
      </c>
      <c r="L443" s="10" t="str">
        <f>IF(_xlfn.XLOOKUP(D443,product!$A:$A,product!$F:$F,,0)=0,"",_xlfn.XLOOKUP(D443,product!$A:$A,product!$F:$F,,0))</f>
        <v>No</v>
      </c>
      <c r="M443" t="str">
        <f>IF(_xlfn.XLOOKUP(D443,product!$A:$A,product!G:G,,0)=0,"",_xlfn.XLOOKUP(D443,product!$A:$A,product!G:G,,0))</f>
        <v>Platinum</v>
      </c>
      <c r="N443" t="str">
        <f>IF(_xlfn.XLOOKUP(D443,product!$A:$A,product!$B:$B,,0)=0,"",_xlfn.XLOOKUP(D443,product!$A:$A,product!$B:$B,,0))</f>
        <v>Quantum Secrets</v>
      </c>
    </row>
    <row r="444" spans="1:14" x14ac:dyDescent="0.35">
      <c r="A444" t="s">
        <v>737</v>
      </c>
      <c r="B444" s="3">
        <v>45024</v>
      </c>
      <c r="C444" t="s">
        <v>1760</v>
      </c>
      <c r="D444" t="s">
        <v>5801</v>
      </c>
      <c r="E444">
        <v>3</v>
      </c>
      <c r="F444" t="str">
        <f>_xlfn.XLOOKUP(C444,customers!$A$1:$A$983,customers!$B$1:$B$983,,0)</f>
        <v>Daniel Smith</v>
      </c>
      <c r="G444" t="str">
        <f>_xlfn.XLOOKUP(C444,customers!$A:$A,customers!$C:$C,,0)</f>
        <v>daniel.smith187@gmail.com</v>
      </c>
      <c r="H444" t="str">
        <f>IF(_xlfn.XLOOKUP(C444,customers!$A:$A,customers!$G:$G,,0)=0,"",_xlfn.XLOOKUP(C444,customers!$A:$A,customers!$G:$G,,0))</f>
        <v>Japan</v>
      </c>
      <c r="I444" t="str">
        <f>IF(_xlfn.XLOOKUP(D444,product!$A:$A,product!$E:$E,,0)=0,"",_xlfn.XLOOKUP(D444,product!$A:$A,product!$E:$E,,0))</f>
        <v>FICTION</v>
      </c>
      <c r="J444" s="5">
        <f>IF(_xlfn.XLOOKUP(D444,product!$A:$A,product!$D:$D,,0)=0,"",_xlfn.XLOOKUP(D444,product!$A:$A,product!$D:$D,,0))</f>
        <v>14.16</v>
      </c>
      <c r="K444" s="7">
        <f t="shared" si="6"/>
        <v>42.480000000000004</v>
      </c>
      <c r="L444" s="10" t="str">
        <f>IF(_xlfn.XLOOKUP(D444,product!$A:$A,product!$F:$F,,0)=0,"",_xlfn.XLOOKUP(D444,product!$A:$A,product!$F:$F,,0))</f>
        <v>Yes</v>
      </c>
      <c r="M444" t="str">
        <f>IF(_xlfn.XLOOKUP(D444,product!$A:$A,product!G:G,,0)=0,"",_xlfn.XLOOKUP(D444,product!$A:$A,product!G:G,,0))</f>
        <v>None</v>
      </c>
      <c r="N444" t="str">
        <f>IF(_xlfn.XLOOKUP(D444,product!$A:$A,product!$B:$B,,0)=0,"",_xlfn.XLOOKUP(D444,product!$A:$A,product!$B:$B,,0))</f>
        <v>Mind Silent</v>
      </c>
    </row>
    <row r="445" spans="1:14" x14ac:dyDescent="0.35">
      <c r="A445" t="s">
        <v>754</v>
      </c>
      <c r="B445" s="3">
        <v>45321</v>
      </c>
      <c r="C445" t="s">
        <v>3210</v>
      </c>
      <c r="D445" t="s">
        <v>5802</v>
      </c>
      <c r="E445">
        <v>3</v>
      </c>
      <c r="F445" t="str">
        <f>_xlfn.XLOOKUP(C445,customers!$A$1:$A$983,customers!$B$1:$B$983,,0)</f>
        <v>Robert Smith</v>
      </c>
      <c r="G445" t="str">
        <f>_xlfn.XLOOKUP(C445,customers!$A:$A,customers!$C:$C,,0)</f>
        <v>robert.smith818@gmail.com</v>
      </c>
      <c r="H445" t="str">
        <f>IF(_xlfn.XLOOKUP(C445,customers!$A:$A,customers!$G:$G,,0)=0,"",_xlfn.XLOOKUP(C445,customers!$A:$A,customers!$G:$G,,0))</f>
        <v>Ecuador</v>
      </c>
      <c r="I445" t="str">
        <f>IF(_xlfn.XLOOKUP(D445,product!$A:$A,product!$E:$E,,0)=0,"",_xlfn.XLOOKUP(D445,product!$A:$A,product!$E:$E,,0))</f>
        <v>HISTORY</v>
      </c>
      <c r="J445" s="5">
        <f>IF(_xlfn.XLOOKUP(D445,product!$A:$A,product!$D:$D,,0)=0,"",_xlfn.XLOOKUP(D445,product!$A:$A,product!$D:$D,,0))</f>
        <v>10.44</v>
      </c>
      <c r="K445" s="7">
        <f t="shared" si="6"/>
        <v>31.32</v>
      </c>
      <c r="L445" s="10" t="str">
        <f>IF(_xlfn.XLOOKUP(D445,product!$A:$A,product!$F:$F,,0)=0,"",_xlfn.XLOOKUP(D445,product!$A:$A,product!$F:$F,,0))</f>
        <v>No</v>
      </c>
      <c r="M445" t="str">
        <f>IF(_xlfn.XLOOKUP(D445,product!$A:$A,product!G:G,,0)=0,"",_xlfn.XLOOKUP(D445,product!$A:$A,product!G:G,,0))</f>
        <v>None</v>
      </c>
      <c r="N445" t="str">
        <f>IF(_xlfn.XLOOKUP(D445,product!$A:$A,product!$B:$B,,0)=0,"",_xlfn.XLOOKUP(D445,product!$A:$A,product!$B:$B,,0))</f>
        <v>Data Future</v>
      </c>
    </row>
    <row r="446" spans="1:14" x14ac:dyDescent="0.35">
      <c r="A446" t="s">
        <v>771</v>
      </c>
      <c r="B446" s="3">
        <v>45208</v>
      </c>
      <c r="C446" t="s">
        <v>2485</v>
      </c>
      <c r="D446" t="s">
        <v>5803</v>
      </c>
      <c r="E446">
        <v>3</v>
      </c>
      <c r="F446" t="str">
        <f>_xlfn.XLOOKUP(C446,customers!$A$1:$A$983,customers!$B$1:$B$983,,0)</f>
        <v>Andrew Thomas</v>
      </c>
      <c r="G446" t="str">
        <f>_xlfn.XLOOKUP(C446,customers!$A:$A,customers!$C:$C,,0)</f>
        <v>andrew.thomas464@hotmail.com</v>
      </c>
      <c r="H446" t="str">
        <f>IF(_xlfn.XLOOKUP(C446,customers!$A:$A,customers!$G:$G,,0)=0,"",_xlfn.XLOOKUP(C446,customers!$A:$A,customers!$G:$G,,0))</f>
        <v>Egypt</v>
      </c>
      <c r="I446" t="str">
        <f>IF(_xlfn.XLOOKUP(D446,product!$A:$A,product!$E:$E,,0)=0,"",_xlfn.XLOOKUP(D446,product!$A:$A,product!$E:$E,,0))</f>
        <v>HISTORY</v>
      </c>
      <c r="J446" s="5">
        <f>IF(_xlfn.XLOOKUP(D446,product!$A:$A,product!$D:$D,,0)=0,"",_xlfn.XLOOKUP(D446,product!$A:$A,product!$D:$D,,0))</f>
        <v>13.56</v>
      </c>
      <c r="K446" s="7">
        <f t="shared" si="6"/>
        <v>40.68</v>
      </c>
      <c r="L446" s="10" t="str">
        <f>IF(_xlfn.XLOOKUP(D446,product!$A:$A,product!$F:$F,,0)=0,"",_xlfn.XLOOKUP(D446,product!$A:$A,product!$F:$F,,0))</f>
        <v>No</v>
      </c>
      <c r="M446" t="str">
        <f>IF(_xlfn.XLOOKUP(D446,product!$A:$A,product!G:G,,0)=0,"",_xlfn.XLOOKUP(D446,product!$A:$A,product!G:G,,0))</f>
        <v>None</v>
      </c>
      <c r="N446" t="str">
        <f>IF(_xlfn.XLOOKUP(D446,product!$A:$A,product!$B:$B,,0)=0,"",_xlfn.XLOOKUP(D446,product!$A:$A,product!$B:$B,,0))</f>
        <v>Future Secrets</v>
      </c>
    </row>
    <row r="447" spans="1:14" x14ac:dyDescent="0.35">
      <c r="A447" t="s">
        <v>788</v>
      </c>
      <c r="B447" s="3">
        <v>45614</v>
      </c>
      <c r="C447" t="s">
        <v>2991</v>
      </c>
      <c r="D447" t="s">
        <v>5804</v>
      </c>
      <c r="E447">
        <v>3</v>
      </c>
      <c r="F447" t="str">
        <f>_xlfn.XLOOKUP(C447,customers!$A$1:$A$983,customers!$B$1:$B$983,,0)</f>
        <v>George Anderson</v>
      </c>
      <c r="G447" t="str">
        <f>_xlfn.XLOOKUP(C447,customers!$A:$A,customers!$C:$C,,0)</f>
        <v>george.anderson709@outlook.com</v>
      </c>
      <c r="H447" t="str">
        <f>IF(_xlfn.XLOOKUP(C447,customers!$A:$A,customers!$G:$G,,0)=0,"",_xlfn.XLOOKUP(C447,customers!$A:$A,customers!$G:$G,,0))</f>
        <v>Japan</v>
      </c>
      <c r="I447" t="str">
        <f>IF(_xlfn.XLOOKUP(D447,product!$A:$A,product!$E:$E,,0)=0,"",_xlfn.XLOOKUP(D447,product!$A:$A,product!$E:$E,,0))</f>
        <v>BUSINESS</v>
      </c>
      <c r="J447" s="5">
        <f>IF(_xlfn.XLOOKUP(D447,product!$A:$A,product!$D:$D,,0)=0,"",_xlfn.XLOOKUP(D447,product!$A:$A,product!$D:$D,,0))</f>
        <v>20.78</v>
      </c>
      <c r="K447" s="7">
        <f t="shared" si="6"/>
        <v>62.34</v>
      </c>
      <c r="L447" s="10" t="str">
        <f>IF(_xlfn.XLOOKUP(D447,product!$A:$A,product!$F:$F,,0)=0,"",_xlfn.XLOOKUP(D447,product!$A:$A,product!$F:$F,,0))</f>
        <v>No</v>
      </c>
      <c r="M447" t="str">
        <f>IF(_xlfn.XLOOKUP(D447,product!$A:$A,product!G:G,,0)=0,"",_xlfn.XLOOKUP(D447,product!$A:$A,product!G:G,,0))</f>
        <v>None</v>
      </c>
      <c r="N447" t="str">
        <f>IF(_xlfn.XLOOKUP(D447,product!$A:$A,product!$B:$B,,0)=0,"",_xlfn.XLOOKUP(D447,product!$A:$A,product!$B:$B,,0))</f>
        <v>Power Journey</v>
      </c>
    </row>
    <row r="448" spans="1:14" x14ac:dyDescent="0.35">
      <c r="A448" t="s">
        <v>805</v>
      </c>
      <c r="B448" s="3">
        <v>45283</v>
      </c>
      <c r="C448" t="s">
        <v>3497</v>
      </c>
      <c r="D448" t="s">
        <v>5805</v>
      </c>
      <c r="E448">
        <v>3</v>
      </c>
      <c r="F448" t="str">
        <f>_xlfn.XLOOKUP(C448,customers!$A$1:$A$983,customers!$B$1:$B$983,,0)</f>
        <v>Daniel Scott</v>
      </c>
      <c r="G448" t="str">
        <f>_xlfn.XLOOKUP(C448,customers!$A:$A,customers!$C:$C,,0)</f>
        <v>daniel.scott963@yahoo.com</v>
      </c>
      <c r="H448" t="str">
        <f>IF(_xlfn.XLOOKUP(C448,customers!$A:$A,customers!$G:$G,,0)=0,"",_xlfn.XLOOKUP(C448,customers!$A:$A,customers!$G:$G,,0))</f>
        <v>India</v>
      </c>
      <c r="I448" t="str">
        <f>IF(_xlfn.XLOOKUP(D448,product!$A:$A,product!$E:$E,,0)=0,"",_xlfn.XLOOKUP(D448,product!$A:$A,product!$E:$E,,0))</f>
        <v>FICTION</v>
      </c>
      <c r="J448" s="5">
        <f>IF(_xlfn.XLOOKUP(D448,product!$A:$A,product!$D:$D,,0)=0,"",_xlfn.XLOOKUP(D448,product!$A:$A,product!$D:$D,,0))</f>
        <v>28.09</v>
      </c>
      <c r="K448" s="7">
        <f t="shared" si="6"/>
        <v>84.27</v>
      </c>
      <c r="L448" s="10" t="str">
        <f>IF(_xlfn.XLOOKUP(D448,product!$A:$A,product!$F:$F,,0)=0,"",_xlfn.XLOOKUP(D448,product!$A:$A,product!$F:$F,,0))</f>
        <v>Yes</v>
      </c>
      <c r="M448" t="str">
        <f>IF(_xlfn.XLOOKUP(D448,product!$A:$A,product!G:G,,0)=0,"",_xlfn.XLOOKUP(D448,product!$A:$A,product!G:G,,0))</f>
        <v>None</v>
      </c>
      <c r="N448" t="str">
        <f>IF(_xlfn.XLOOKUP(D448,product!$A:$A,product!$B:$B,,0)=0,"",_xlfn.XLOOKUP(D448,product!$A:$A,product!$B:$B,,0))</f>
        <v>Science Mind</v>
      </c>
    </row>
    <row r="449" spans="1:14" x14ac:dyDescent="0.35">
      <c r="A449" t="s">
        <v>822</v>
      </c>
      <c r="B449" s="3">
        <v>45359</v>
      </c>
      <c r="C449" t="s">
        <v>1824</v>
      </c>
      <c r="D449" t="s">
        <v>5806</v>
      </c>
      <c r="E449">
        <v>3</v>
      </c>
      <c r="F449" t="str">
        <f>_xlfn.XLOOKUP(C449,customers!$A$1:$A$983,customers!$B$1:$B$983,,0)</f>
        <v>Emma Lewis</v>
      </c>
      <c r="G449" t="str">
        <f>_xlfn.XLOOKUP(C449,customers!$A:$A,customers!$C:$C,,0)</f>
        <v>emma.lewis206@yahoo.com</v>
      </c>
      <c r="H449" t="str">
        <f>IF(_xlfn.XLOOKUP(C449,customers!$A:$A,customers!$G:$G,,0)=0,"",_xlfn.XLOOKUP(C449,customers!$A:$A,customers!$G:$G,,0))</f>
        <v>Spain</v>
      </c>
      <c r="I449" t="str">
        <f>IF(_xlfn.XLOOKUP(D449,product!$A:$A,product!$E:$E,,0)=0,"",_xlfn.XLOOKUP(D449,product!$A:$A,product!$E:$E,,0))</f>
        <v>SCIENCE</v>
      </c>
      <c r="J449" s="5">
        <f>IF(_xlfn.XLOOKUP(D449,product!$A:$A,product!$D:$D,,0)=0,"",_xlfn.XLOOKUP(D449,product!$A:$A,product!$D:$D,,0))</f>
        <v>29.38</v>
      </c>
      <c r="K449" s="7">
        <f t="shared" si="6"/>
        <v>88.14</v>
      </c>
      <c r="L449" s="10" t="str">
        <f>IF(_xlfn.XLOOKUP(D449,product!$A:$A,product!$F:$F,,0)=0,"",_xlfn.XLOOKUP(D449,product!$A:$A,product!$F:$F,,0))</f>
        <v>No</v>
      </c>
      <c r="M449" t="str">
        <f>IF(_xlfn.XLOOKUP(D449,product!$A:$A,product!G:G,,0)=0,"",_xlfn.XLOOKUP(D449,product!$A:$A,product!G:G,,0))</f>
        <v>None</v>
      </c>
      <c r="N449" t="str">
        <f>IF(_xlfn.XLOOKUP(D449,product!$A:$A,product!$B:$B,,0)=0,"",_xlfn.XLOOKUP(D449,product!$A:$A,product!$B:$B,,0))</f>
        <v>Journey Quantum</v>
      </c>
    </row>
    <row r="450" spans="1:14" x14ac:dyDescent="0.35">
      <c r="A450" t="s">
        <v>839</v>
      </c>
      <c r="B450" s="3">
        <v>44979</v>
      </c>
      <c r="C450" t="s">
        <v>1177</v>
      </c>
      <c r="D450" t="s">
        <v>5807</v>
      </c>
      <c r="E450">
        <v>3</v>
      </c>
      <c r="F450" t="str">
        <f>_xlfn.XLOOKUP(C450,customers!$A$1:$A$983,customers!$B$1:$B$983,,0)</f>
        <v>Emily Walker</v>
      </c>
      <c r="G450" t="str">
        <f>_xlfn.XLOOKUP(C450,customers!$A:$A,customers!$C:$C,,0)</f>
        <v>emily.walker34@hotmail.com</v>
      </c>
      <c r="H450" t="str">
        <f>IF(_xlfn.XLOOKUP(C450,customers!$A:$A,customers!$G:$G,,0)=0,"",_xlfn.XLOOKUP(C450,customers!$A:$A,customers!$G:$G,,0))</f>
        <v>Japan</v>
      </c>
      <c r="I450" t="str">
        <f>IF(_xlfn.XLOOKUP(D450,product!$A:$A,product!$E:$E,,0)=0,"",_xlfn.XLOOKUP(D450,product!$A:$A,product!$E:$E,,0))</f>
        <v>BUSINESS</v>
      </c>
      <c r="J450" s="5">
        <f>IF(_xlfn.XLOOKUP(D450,product!$A:$A,product!$D:$D,,0)=0,"",_xlfn.XLOOKUP(D450,product!$A:$A,product!$D:$D,,0))</f>
        <v>20.84</v>
      </c>
      <c r="K450" s="7">
        <f t="shared" si="6"/>
        <v>62.519999999999996</v>
      </c>
      <c r="L450" s="10" t="str">
        <f>IF(_xlfn.XLOOKUP(D450,product!$A:$A,product!$F:$F,,0)=0,"",_xlfn.XLOOKUP(D450,product!$A:$A,product!$F:$F,,0))</f>
        <v>Yes</v>
      </c>
      <c r="M450" t="str">
        <f>IF(_xlfn.XLOOKUP(D450,product!$A:$A,product!G:G,,0)=0,"",_xlfn.XLOOKUP(D450,product!$A:$A,product!G:G,,0))</f>
        <v>Silver</v>
      </c>
      <c r="N450" t="str">
        <f>IF(_xlfn.XLOOKUP(D450,product!$A:$A,product!$B:$B,,0)=0,"",_xlfn.XLOOKUP(D450,product!$A:$A,product!$B:$B,,0))</f>
        <v>Mind Secrets</v>
      </c>
    </row>
    <row r="451" spans="1:14" x14ac:dyDescent="0.35">
      <c r="A451" t="s">
        <v>856</v>
      </c>
      <c r="B451" s="3">
        <v>45449</v>
      </c>
      <c r="C451" t="s">
        <v>3423</v>
      </c>
      <c r="D451" t="s">
        <v>5808</v>
      </c>
      <c r="E451">
        <v>3</v>
      </c>
      <c r="F451" t="str">
        <f>_xlfn.XLOOKUP(C451,customers!$A$1:$A$983,customers!$B$1:$B$983,,0)</f>
        <v>Anna Hill</v>
      </c>
      <c r="G451" t="str">
        <f>_xlfn.XLOOKUP(C451,customers!$A:$A,customers!$C:$C,,0)</f>
        <v>anna.hill926@yahoo.com</v>
      </c>
      <c r="H451" t="str">
        <f>IF(_xlfn.XLOOKUP(C451,customers!$A:$A,customers!$G:$G,,0)=0,"",_xlfn.XLOOKUP(C451,customers!$A:$A,customers!$G:$G,,0))</f>
        <v>Egypt</v>
      </c>
      <c r="I451" t="str">
        <f>IF(_xlfn.XLOOKUP(D451,product!$A:$A,product!$E:$E,,0)=0,"",_xlfn.XLOOKUP(D451,product!$A:$A,product!$E:$E,,0))</f>
        <v>HISTORY</v>
      </c>
      <c r="J451" s="5">
        <f>IF(_xlfn.XLOOKUP(D451,product!$A:$A,product!$D:$D,,0)=0,"",_xlfn.XLOOKUP(D451,product!$A:$A,product!$D:$D,,0))</f>
        <v>35.33</v>
      </c>
      <c r="K451" s="7">
        <f t="shared" ref="K451:K514" si="7">J451*E451</f>
        <v>105.99</v>
      </c>
      <c r="L451" s="10" t="str">
        <f>IF(_xlfn.XLOOKUP(D451,product!$A:$A,product!$F:$F,,0)=0,"",_xlfn.XLOOKUP(D451,product!$A:$A,product!$F:$F,,0))</f>
        <v>Yes</v>
      </c>
      <c r="M451" t="str">
        <f>IF(_xlfn.XLOOKUP(D451,product!$A:$A,product!G:G,,0)=0,"",_xlfn.XLOOKUP(D451,product!$A:$A,product!G:G,,0))</f>
        <v>None</v>
      </c>
      <c r="N451" t="str">
        <f>IF(_xlfn.XLOOKUP(D451,product!$A:$A,product!$B:$B,,0)=0,"",_xlfn.XLOOKUP(D451,product!$A:$A,product!$B:$B,,0))</f>
        <v>Mind Quantum</v>
      </c>
    </row>
    <row r="452" spans="1:14" x14ac:dyDescent="0.35">
      <c r="A452" t="s">
        <v>873</v>
      </c>
      <c r="B452" s="3">
        <v>45063</v>
      </c>
      <c r="C452" t="s">
        <v>1478</v>
      </c>
      <c r="D452" t="s">
        <v>5809</v>
      </c>
      <c r="E452">
        <v>3</v>
      </c>
      <c r="F452" t="str">
        <f>_xlfn.XLOOKUP(C452,customers!$A$1:$A$983,customers!$B$1:$B$983,,0)</f>
        <v>Amelia Taylor</v>
      </c>
      <c r="G452" t="str">
        <f>_xlfn.XLOOKUP(C452,customers!$A:$A,customers!$C:$C,,0)</f>
        <v>amelia.taylor116@hotmail.com</v>
      </c>
      <c r="H452" t="str">
        <f>IF(_xlfn.XLOOKUP(C452,customers!$A:$A,customers!$G:$G,,0)=0,"",_xlfn.XLOOKUP(C452,customers!$A:$A,customers!$G:$G,,0))</f>
        <v>Spain</v>
      </c>
      <c r="I452" t="str">
        <f>IF(_xlfn.XLOOKUP(D452,product!$A:$A,product!$E:$E,,0)=0,"",_xlfn.XLOOKUP(D452,product!$A:$A,product!$E:$E,,0))</f>
        <v>SCIENCE</v>
      </c>
      <c r="J452" s="5">
        <f>IF(_xlfn.XLOOKUP(D452,product!$A:$A,product!$D:$D,,0)=0,"",_xlfn.XLOOKUP(D452,product!$A:$A,product!$D:$D,,0))</f>
        <v>11.96</v>
      </c>
      <c r="K452" s="7">
        <f t="shared" si="7"/>
        <v>35.880000000000003</v>
      </c>
      <c r="L452" s="10" t="str">
        <f>IF(_xlfn.XLOOKUP(D452,product!$A:$A,product!$F:$F,,0)=0,"",_xlfn.XLOOKUP(D452,product!$A:$A,product!$F:$F,,0))</f>
        <v>Yes</v>
      </c>
      <c r="M452" t="str">
        <f>IF(_xlfn.XLOOKUP(D452,product!$A:$A,product!G:G,,0)=0,"",_xlfn.XLOOKUP(D452,product!$A:$A,product!G:G,,0))</f>
        <v>Silver</v>
      </c>
      <c r="N452" t="str">
        <f>IF(_xlfn.XLOOKUP(D452,product!$A:$A,product!$B:$B,,0)=0,"",_xlfn.XLOOKUP(D452,product!$A:$A,product!$B:$B,,0))</f>
        <v>Quantum Silent</v>
      </c>
    </row>
    <row r="453" spans="1:14" x14ac:dyDescent="0.35">
      <c r="A453" t="s">
        <v>890</v>
      </c>
      <c r="B453" s="3">
        <v>45589</v>
      </c>
      <c r="C453" t="s">
        <v>3123</v>
      </c>
      <c r="D453" t="s">
        <v>5810</v>
      </c>
      <c r="E453">
        <v>3</v>
      </c>
      <c r="F453" t="str">
        <f>_xlfn.XLOOKUP(C453,customers!$A$1:$A$983,customers!$B$1:$B$983,,0)</f>
        <v>John Wright</v>
      </c>
      <c r="G453" t="str">
        <f>_xlfn.XLOOKUP(C453,customers!$A:$A,customers!$C:$C,,0)</f>
        <v>john.wright774@hotmail.com</v>
      </c>
      <c r="H453" t="str">
        <f>IF(_xlfn.XLOOKUP(C453,customers!$A:$A,customers!$G:$G,,0)=0,"",_xlfn.XLOOKUP(C453,customers!$A:$A,customers!$G:$G,,0))</f>
        <v>Germany</v>
      </c>
      <c r="I453" t="str">
        <f>IF(_xlfn.XLOOKUP(D453,product!$A:$A,product!$E:$E,,0)=0,"",_xlfn.XLOOKUP(D453,product!$A:$A,product!$E:$E,,0))</f>
        <v>HISTORY</v>
      </c>
      <c r="J453" s="5">
        <f>IF(_xlfn.XLOOKUP(D453,product!$A:$A,product!$D:$D,,0)=0,"",_xlfn.XLOOKUP(D453,product!$A:$A,product!$D:$D,,0))</f>
        <v>20.09</v>
      </c>
      <c r="K453" s="7">
        <f t="shared" si="7"/>
        <v>60.269999999999996</v>
      </c>
      <c r="L453" s="10" t="str">
        <f>IF(_xlfn.XLOOKUP(D453,product!$A:$A,product!$F:$F,,0)=0,"",_xlfn.XLOOKUP(D453,product!$A:$A,product!$F:$F,,0))</f>
        <v>No</v>
      </c>
      <c r="M453" t="str">
        <f>IF(_xlfn.XLOOKUP(D453,product!$A:$A,product!G:G,,0)=0,"",_xlfn.XLOOKUP(D453,product!$A:$A,product!G:G,,0))</f>
        <v>None</v>
      </c>
      <c r="N453" t="str">
        <f>IF(_xlfn.XLOOKUP(D453,product!$A:$A,product!$B:$B,,0)=0,"",_xlfn.XLOOKUP(D453,product!$A:$A,product!$B:$B,,0))</f>
        <v>Forest Power</v>
      </c>
    </row>
    <row r="454" spans="1:14" x14ac:dyDescent="0.35">
      <c r="A454" t="s">
        <v>907</v>
      </c>
      <c r="B454" s="3">
        <v>45119</v>
      </c>
      <c r="C454" t="s">
        <v>2383</v>
      </c>
      <c r="D454" t="s">
        <v>5811</v>
      </c>
      <c r="E454">
        <v>3</v>
      </c>
      <c r="F454" t="str">
        <f>_xlfn.XLOOKUP(C454,customers!$A$1:$A$983,customers!$B$1:$B$983,,0)</f>
        <v>Peter Allen</v>
      </c>
      <c r="G454" t="str">
        <f>_xlfn.XLOOKUP(C454,customers!$A:$A,customers!$C:$C,,0)</f>
        <v>peter.allen417@outlook.com</v>
      </c>
      <c r="H454" t="str">
        <f>IF(_xlfn.XLOOKUP(C454,customers!$A:$A,customers!$G:$G,,0)=0,"",_xlfn.XLOOKUP(C454,customers!$A:$A,customers!$G:$G,,0))</f>
        <v>Japan</v>
      </c>
      <c r="I454" t="str">
        <f>IF(_xlfn.XLOOKUP(D454,product!$A:$A,product!$E:$E,,0)=0,"",_xlfn.XLOOKUP(D454,product!$A:$A,product!$E:$E,,0))</f>
        <v>TECH</v>
      </c>
      <c r="J454" s="5">
        <f>IF(_xlfn.XLOOKUP(D454,product!$A:$A,product!$D:$D,,0)=0,"",_xlfn.XLOOKUP(D454,product!$A:$A,product!$D:$D,,0))</f>
        <v>20.88</v>
      </c>
      <c r="K454" s="7">
        <f t="shared" si="7"/>
        <v>62.64</v>
      </c>
      <c r="L454" s="10" t="str">
        <f>IF(_xlfn.XLOOKUP(D454,product!$A:$A,product!$F:$F,,0)=0,"",_xlfn.XLOOKUP(D454,product!$A:$A,product!$F:$F,,0))</f>
        <v>Yes</v>
      </c>
      <c r="M454" t="str">
        <f>IF(_xlfn.XLOOKUP(D454,product!$A:$A,product!G:G,,0)=0,"",_xlfn.XLOOKUP(D454,product!$A:$A,product!G:G,,0))</f>
        <v>None</v>
      </c>
      <c r="N454" t="str">
        <f>IF(_xlfn.XLOOKUP(D454,product!$A:$A,product!$B:$B,,0)=0,"",_xlfn.XLOOKUP(D454,product!$A:$A,product!$B:$B,,0))</f>
        <v>Quantum Secrets</v>
      </c>
    </row>
    <row r="455" spans="1:14" x14ac:dyDescent="0.35">
      <c r="A455" t="s">
        <v>924</v>
      </c>
      <c r="B455" s="3">
        <v>45530</v>
      </c>
      <c r="C455" t="s">
        <v>2650</v>
      </c>
      <c r="D455" t="s">
        <v>5812</v>
      </c>
      <c r="E455">
        <v>3</v>
      </c>
      <c r="F455" t="str">
        <f>_xlfn.XLOOKUP(C455,customers!$A$1:$A$983,customers!$B$1:$B$983,,0)</f>
        <v>Michael Baker</v>
      </c>
      <c r="G455" t="str">
        <f>_xlfn.XLOOKUP(C455,customers!$A:$A,customers!$C:$C,,0)</f>
        <v>michael.baker544@gmail.com</v>
      </c>
      <c r="H455" t="str">
        <f>IF(_xlfn.XLOOKUP(C455,customers!$A:$A,customers!$G:$G,,0)=0,"",_xlfn.XLOOKUP(C455,customers!$A:$A,customers!$G:$G,,0))</f>
        <v>Sweden</v>
      </c>
      <c r="I455" t="str">
        <f>IF(_xlfn.XLOOKUP(D455,product!$A:$A,product!$E:$E,,0)=0,"",_xlfn.XLOOKUP(D455,product!$A:$A,product!$E:$E,,0))</f>
        <v>SCIENCE</v>
      </c>
      <c r="J455" s="5">
        <f>IF(_xlfn.XLOOKUP(D455,product!$A:$A,product!$D:$D,,0)=0,"",_xlfn.XLOOKUP(D455,product!$A:$A,product!$D:$D,,0))</f>
        <v>31.78</v>
      </c>
      <c r="K455" s="7">
        <f t="shared" si="7"/>
        <v>95.34</v>
      </c>
      <c r="L455" s="10" t="str">
        <f>IF(_xlfn.XLOOKUP(D455,product!$A:$A,product!$F:$F,,0)=0,"",_xlfn.XLOOKUP(D455,product!$A:$A,product!$F:$F,,0))</f>
        <v>Yes</v>
      </c>
      <c r="M455" t="str">
        <f>IF(_xlfn.XLOOKUP(D455,product!$A:$A,product!G:G,,0)=0,"",_xlfn.XLOOKUP(D455,product!$A:$A,product!G:G,,0))</f>
        <v>None</v>
      </c>
      <c r="N455" t="str">
        <f>IF(_xlfn.XLOOKUP(D455,product!$A:$A,product!$B:$B,,0)=0,"",_xlfn.XLOOKUP(D455,product!$A:$A,product!$B:$B,,0))</f>
        <v>Science Quantum</v>
      </c>
    </row>
    <row r="456" spans="1:14" x14ac:dyDescent="0.35">
      <c r="A456" t="s">
        <v>941</v>
      </c>
      <c r="B456" s="3">
        <v>44933</v>
      </c>
      <c r="C456" t="s">
        <v>1973</v>
      </c>
      <c r="D456" t="s">
        <v>5813</v>
      </c>
      <c r="E456">
        <v>3</v>
      </c>
      <c r="F456" t="str">
        <f>_xlfn.XLOOKUP(C456,customers!$A$1:$A$983,customers!$B$1:$B$983,,0)</f>
        <v>Sarah Smith</v>
      </c>
      <c r="G456" t="str">
        <f>_xlfn.XLOOKUP(C456,customers!$A:$A,customers!$C:$C,,0)</f>
        <v>sarah.smith252@yahoo.com</v>
      </c>
      <c r="H456" t="str">
        <f>IF(_xlfn.XLOOKUP(C456,customers!$A:$A,customers!$G:$G,,0)=0,"",_xlfn.XLOOKUP(C456,customers!$A:$A,customers!$G:$G,,0))</f>
        <v>Germany</v>
      </c>
      <c r="I456" t="str">
        <f>IF(_xlfn.XLOOKUP(D456,product!$A:$A,product!$E:$E,,0)=0,"",_xlfn.XLOOKUP(D456,product!$A:$A,product!$E:$E,,0))</f>
        <v>SCIENCE</v>
      </c>
      <c r="J456" s="5">
        <f>IF(_xlfn.XLOOKUP(D456,product!$A:$A,product!$D:$D,,0)=0,"",_xlfn.XLOOKUP(D456,product!$A:$A,product!$D:$D,,0))</f>
        <v>14.91</v>
      </c>
      <c r="K456" s="7">
        <f t="shared" si="7"/>
        <v>44.730000000000004</v>
      </c>
      <c r="L456" s="10" t="str">
        <f>IF(_xlfn.XLOOKUP(D456,product!$A:$A,product!$F:$F,,0)=0,"",_xlfn.XLOOKUP(D456,product!$A:$A,product!$F:$F,,0))</f>
        <v>No</v>
      </c>
      <c r="M456" t="str">
        <f>IF(_xlfn.XLOOKUP(D456,product!$A:$A,product!G:G,,0)=0,"",_xlfn.XLOOKUP(D456,product!$A:$A,product!G:G,,0))</f>
        <v>None</v>
      </c>
      <c r="N456" t="str">
        <f>IF(_xlfn.XLOOKUP(D456,product!$A:$A,product!$B:$B,,0)=0,"",_xlfn.XLOOKUP(D456,product!$A:$A,product!$B:$B,,0))</f>
        <v>Mind Secrets</v>
      </c>
    </row>
    <row r="457" spans="1:14" x14ac:dyDescent="0.35">
      <c r="A457" t="s">
        <v>958</v>
      </c>
      <c r="B457" s="3">
        <v>45406</v>
      </c>
      <c r="C457" t="s">
        <v>2141</v>
      </c>
      <c r="D457" t="s">
        <v>5814</v>
      </c>
      <c r="E457">
        <v>3</v>
      </c>
      <c r="F457" t="str">
        <f>_xlfn.XLOOKUP(C457,customers!$A$1:$A$983,customers!$B$1:$B$983,,0)</f>
        <v>Emma Johnson</v>
      </c>
      <c r="G457" t="str">
        <f>_xlfn.XLOOKUP(C457,customers!$A:$A,customers!$C:$C,,0)</f>
        <v>emma.johnson312@hotmail.com</v>
      </c>
      <c r="H457" t="str">
        <f>IF(_xlfn.XLOOKUP(C457,customers!$A:$A,customers!$G:$G,,0)=0,"",_xlfn.XLOOKUP(C457,customers!$A:$A,customers!$G:$G,,0))</f>
        <v>Spain</v>
      </c>
      <c r="I457" t="str">
        <f>IF(_xlfn.XLOOKUP(D457,product!$A:$A,product!$E:$E,,0)=0,"",_xlfn.XLOOKUP(D457,product!$A:$A,product!$E:$E,,0))</f>
        <v>SCIENCE</v>
      </c>
      <c r="J457" s="5">
        <f>IF(_xlfn.XLOOKUP(D457,product!$A:$A,product!$D:$D,,0)=0,"",_xlfn.XLOOKUP(D457,product!$A:$A,product!$D:$D,,0))</f>
        <v>37.11</v>
      </c>
      <c r="K457" s="7">
        <f t="shared" si="7"/>
        <v>111.33</v>
      </c>
      <c r="L457" s="10" t="str">
        <f>IF(_xlfn.XLOOKUP(D457,product!$A:$A,product!$F:$F,,0)=0,"",_xlfn.XLOOKUP(D457,product!$A:$A,product!$F:$F,,0))</f>
        <v>No</v>
      </c>
      <c r="M457" t="str">
        <f>IF(_xlfn.XLOOKUP(D457,product!$A:$A,product!G:G,,0)=0,"",_xlfn.XLOOKUP(D457,product!$A:$A,product!G:G,,0))</f>
        <v>Platinum</v>
      </c>
      <c r="N457" t="str">
        <f>IF(_xlfn.XLOOKUP(D457,product!$A:$A,product!$B:$B,,0)=0,"",_xlfn.XLOOKUP(D457,product!$A:$A,product!$B:$B,,0))</f>
        <v>Silent Power</v>
      </c>
    </row>
    <row r="458" spans="1:14" x14ac:dyDescent="0.35">
      <c r="A458" t="s">
        <v>975</v>
      </c>
      <c r="B458" s="3">
        <v>45193</v>
      </c>
      <c r="C458" t="s">
        <v>3291</v>
      </c>
      <c r="D458" t="s">
        <v>5815</v>
      </c>
      <c r="E458">
        <v>3</v>
      </c>
      <c r="F458" t="str">
        <f>_xlfn.XLOOKUP(C458,customers!$A$1:$A$983,customers!$B$1:$B$983,,0)</f>
        <v>John Lee</v>
      </c>
      <c r="G458" t="str">
        <f>_xlfn.XLOOKUP(C458,customers!$A:$A,customers!$C:$C,,0)</f>
        <v>john.lee859@hotmail.com</v>
      </c>
      <c r="H458" t="str">
        <f>IF(_xlfn.XLOOKUP(C458,customers!$A:$A,customers!$G:$G,,0)=0,"",_xlfn.XLOOKUP(C458,customers!$A:$A,customers!$G:$G,,0))</f>
        <v>Portugal</v>
      </c>
      <c r="I458" t="str">
        <f>IF(_xlfn.XLOOKUP(D458,product!$A:$A,product!$E:$E,,0)=0,"",_xlfn.XLOOKUP(D458,product!$A:$A,product!$E:$E,,0))</f>
        <v>TECH</v>
      </c>
      <c r="J458" s="5">
        <f>IF(_xlfn.XLOOKUP(D458,product!$A:$A,product!$D:$D,,0)=0,"",_xlfn.XLOOKUP(D458,product!$A:$A,product!$D:$D,,0))</f>
        <v>12.24</v>
      </c>
      <c r="K458" s="7">
        <f t="shared" si="7"/>
        <v>36.72</v>
      </c>
      <c r="L458" s="10" t="str">
        <f>IF(_xlfn.XLOOKUP(D458,product!$A:$A,product!$F:$F,,0)=0,"",_xlfn.XLOOKUP(D458,product!$A:$A,product!$F:$F,,0))</f>
        <v>No</v>
      </c>
      <c r="M458" t="str">
        <f>IF(_xlfn.XLOOKUP(D458,product!$A:$A,product!G:G,,0)=0,"",_xlfn.XLOOKUP(D458,product!$A:$A,product!G:G,,0))</f>
        <v>Gold</v>
      </c>
      <c r="N458" t="str">
        <f>IF(_xlfn.XLOOKUP(D458,product!$A:$A,product!$B:$B,,0)=0,"",_xlfn.XLOOKUP(D458,product!$A:$A,product!$B:$B,,0))</f>
        <v>Quantum Power</v>
      </c>
    </row>
    <row r="459" spans="1:14" x14ac:dyDescent="0.35">
      <c r="A459" t="s">
        <v>992</v>
      </c>
      <c r="B459" s="3">
        <v>45637</v>
      </c>
      <c r="C459" t="s">
        <v>3086</v>
      </c>
      <c r="D459" t="s">
        <v>5816</v>
      </c>
      <c r="E459">
        <v>3</v>
      </c>
      <c r="F459" t="str">
        <f>_xlfn.XLOOKUP(C459,customers!$A$1:$A$983,customers!$B$1:$B$983,,0)</f>
        <v>Michael Young</v>
      </c>
      <c r="G459" t="str">
        <f>_xlfn.XLOOKUP(C459,customers!$A:$A,customers!$C:$C,,0)</f>
        <v>michael.young755@hotmail.com</v>
      </c>
      <c r="H459" t="str">
        <f>IF(_xlfn.XLOOKUP(C459,customers!$A:$A,customers!$G:$G,,0)=0,"",_xlfn.XLOOKUP(C459,customers!$A:$A,customers!$G:$G,,0))</f>
        <v>Spain</v>
      </c>
      <c r="I459" t="str">
        <f>IF(_xlfn.XLOOKUP(D459,product!$A:$A,product!$E:$E,,0)=0,"",_xlfn.XLOOKUP(D459,product!$A:$A,product!$E:$E,,0))</f>
        <v>SCIENCE</v>
      </c>
      <c r="J459" s="5">
        <f>IF(_xlfn.XLOOKUP(D459,product!$A:$A,product!$D:$D,,0)=0,"",_xlfn.XLOOKUP(D459,product!$A:$A,product!$D:$D,,0))</f>
        <v>36.630000000000003</v>
      </c>
      <c r="K459" s="7">
        <f t="shared" si="7"/>
        <v>109.89000000000001</v>
      </c>
      <c r="L459" s="10" t="str">
        <f>IF(_xlfn.XLOOKUP(D459,product!$A:$A,product!$F:$F,,0)=0,"",_xlfn.XLOOKUP(D459,product!$A:$A,product!$F:$F,,0))</f>
        <v>Yes</v>
      </c>
      <c r="M459" t="str">
        <f>IF(_xlfn.XLOOKUP(D459,product!$A:$A,product!G:G,,0)=0,"",_xlfn.XLOOKUP(D459,product!$A:$A,product!G:G,,0))</f>
        <v>None</v>
      </c>
      <c r="N459" t="str">
        <f>IF(_xlfn.XLOOKUP(D459,product!$A:$A,product!$B:$B,,0)=0,"",_xlfn.XLOOKUP(D459,product!$A:$A,product!$B:$B,,0))</f>
        <v>Secrets Quantum</v>
      </c>
    </row>
    <row r="460" spans="1:14" x14ac:dyDescent="0.35">
      <c r="A460" t="s">
        <v>1009</v>
      </c>
      <c r="B460" s="3">
        <v>45016</v>
      </c>
      <c r="C460" t="s">
        <v>1831</v>
      </c>
      <c r="D460" t="s">
        <v>5817</v>
      </c>
      <c r="E460">
        <v>3</v>
      </c>
      <c r="F460" t="str">
        <f>_xlfn.XLOOKUP(C460,customers!$A$1:$A$983,customers!$B$1:$B$983,,0)</f>
        <v>Ella Adams</v>
      </c>
      <c r="G460" t="str">
        <f>_xlfn.XLOOKUP(C460,customers!$A:$A,customers!$C:$C,,0)</f>
        <v>ella.adams208@outlook.com</v>
      </c>
      <c r="H460" t="str">
        <f>IF(_xlfn.XLOOKUP(C460,customers!$A:$A,customers!$G:$G,,0)=0,"",_xlfn.XLOOKUP(C460,customers!$A:$A,customers!$G:$G,,0))</f>
        <v>USA</v>
      </c>
      <c r="I460" t="str">
        <f>IF(_xlfn.XLOOKUP(D460,product!$A:$A,product!$E:$E,,0)=0,"",_xlfn.XLOOKUP(D460,product!$A:$A,product!$E:$E,,0))</f>
        <v>TECH</v>
      </c>
      <c r="J460" s="5">
        <f>IF(_xlfn.XLOOKUP(D460,product!$A:$A,product!$D:$D,,0)=0,"",_xlfn.XLOOKUP(D460,product!$A:$A,product!$D:$D,,0))</f>
        <v>19.14</v>
      </c>
      <c r="K460" s="7">
        <f t="shared" si="7"/>
        <v>57.42</v>
      </c>
      <c r="L460" s="10" t="str">
        <f>IF(_xlfn.XLOOKUP(D460,product!$A:$A,product!$F:$F,,0)=0,"",_xlfn.XLOOKUP(D460,product!$A:$A,product!$F:$F,,0))</f>
        <v>No</v>
      </c>
      <c r="M460" t="str">
        <f>IF(_xlfn.XLOOKUP(D460,product!$A:$A,product!G:G,,0)=0,"",_xlfn.XLOOKUP(D460,product!$A:$A,product!G:G,,0))</f>
        <v>None</v>
      </c>
      <c r="N460" t="str">
        <f>IF(_xlfn.XLOOKUP(D460,product!$A:$A,product!$B:$B,,0)=0,"",_xlfn.XLOOKUP(D460,product!$A:$A,product!$B:$B,,0))</f>
        <v>Journey Mind</v>
      </c>
    </row>
    <row r="461" spans="1:14" x14ac:dyDescent="0.35">
      <c r="A461" t="s">
        <v>1026</v>
      </c>
      <c r="B461" s="3">
        <v>45338</v>
      </c>
      <c r="C461" t="s">
        <v>1267</v>
      </c>
      <c r="D461" t="s">
        <v>5818</v>
      </c>
      <c r="E461">
        <v>3</v>
      </c>
      <c r="F461" t="str">
        <f>_xlfn.XLOOKUP(C461,customers!$A$1:$A$983,customers!$B$1:$B$983,,0)</f>
        <v>Steven Harris</v>
      </c>
      <c r="G461" t="str">
        <f>_xlfn.XLOOKUP(C461,customers!$A:$A,customers!$C:$C,,0)</f>
        <v>steven.harris56@yahoo.com</v>
      </c>
      <c r="H461" t="str">
        <f>IF(_xlfn.XLOOKUP(C461,customers!$A:$A,customers!$G:$G,,0)=0,"",_xlfn.XLOOKUP(C461,customers!$A:$A,customers!$G:$G,,0))</f>
        <v>UAE</v>
      </c>
      <c r="I461" t="str">
        <f>IF(_xlfn.XLOOKUP(D461,product!$A:$A,product!$E:$E,,0)=0,"",_xlfn.XLOOKUP(D461,product!$A:$A,product!$E:$E,,0))</f>
        <v>SCIENCE</v>
      </c>
      <c r="J461" s="5">
        <f>IF(_xlfn.XLOOKUP(D461,product!$A:$A,product!$D:$D,,0)=0,"",_xlfn.XLOOKUP(D461,product!$A:$A,product!$D:$D,,0))</f>
        <v>33.81</v>
      </c>
      <c r="K461" s="7">
        <f t="shared" si="7"/>
        <v>101.43</v>
      </c>
      <c r="L461" s="10" t="str">
        <f>IF(_xlfn.XLOOKUP(D461,product!$A:$A,product!$F:$F,,0)=0,"",_xlfn.XLOOKUP(D461,product!$A:$A,product!$F:$F,,0))</f>
        <v>Yes</v>
      </c>
      <c r="M461" t="str">
        <f>IF(_xlfn.XLOOKUP(D461,product!$A:$A,product!G:G,,0)=0,"",_xlfn.XLOOKUP(D461,product!$A:$A,product!G:G,,0))</f>
        <v>Silver</v>
      </c>
      <c r="N461" t="str">
        <f>IF(_xlfn.XLOOKUP(D461,product!$A:$A,product!$B:$B,,0)=0,"",_xlfn.XLOOKUP(D461,product!$A:$A,product!$B:$B,,0))</f>
        <v>Power Science</v>
      </c>
    </row>
    <row r="462" spans="1:14" x14ac:dyDescent="0.35">
      <c r="A462" t="s">
        <v>1043</v>
      </c>
      <c r="B462" s="3">
        <v>45146</v>
      </c>
      <c r="C462" t="s">
        <v>1432</v>
      </c>
      <c r="D462" t="s">
        <v>5819</v>
      </c>
      <c r="E462">
        <v>3</v>
      </c>
      <c r="F462" t="str">
        <f>_xlfn.XLOOKUP(C462,customers!$A$1:$A$983,customers!$B$1:$B$983,,0)</f>
        <v>George Allen</v>
      </c>
      <c r="G462" t="str">
        <f>_xlfn.XLOOKUP(C462,customers!$A:$A,customers!$C:$C,,0)</f>
        <v>george.allen102@outlook.com</v>
      </c>
      <c r="H462" t="str">
        <f>IF(_xlfn.XLOOKUP(C462,customers!$A:$A,customers!$G:$G,,0)=0,"",_xlfn.XLOOKUP(C462,customers!$A:$A,customers!$G:$G,,0))</f>
        <v>Japan</v>
      </c>
      <c r="I462" t="str">
        <f>IF(_xlfn.XLOOKUP(D462,product!$A:$A,product!$E:$E,,0)=0,"",_xlfn.XLOOKUP(D462,product!$A:$A,product!$E:$E,,0))</f>
        <v>SCIENCE</v>
      </c>
      <c r="J462" s="5">
        <f>IF(_xlfn.XLOOKUP(D462,product!$A:$A,product!$D:$D,,0)=0,"",_xlfn.XLOOKUP(D462,product!$A:$A,product!$D:$D,,0))</f>
        <v>21.7</v>
      </c>
      <c r="K462" s="7">
        <f t="shared" si="7"/>
        <v>65.099999999999994</v>
      </c>
      <c r="L462" s="10" t="str">
        <f>IF(_xlfn.XLOOKUP(D462,product!$A:$A,product!$F:$F,,0)=0,"",_xlfn.XLOOKUP(D462,product!$A:$A,product!$F:$F,,0))</f>
        <v>No</v>
      </c>
      <c r="M462" t="str">
        <f>IF(_xlfn.XLOOKUP(D462,product!$A:$A,product!G:G,,0)=0,"",_xlfn.XLOOKUP(D462,product!$A:$A,product!G:G,,0))</f>
        <v>None</v>
      </c>
      <c r="N462" t="str">
        <f>IF(_xlfn.XLOOKUP(D462,product!$A:$A,product!$B:$B,,0)=0,"",_xlfn.XLOOKUP(D462,product!$A:$A,product!$B:$B,,0))</f>
        <v>Secrets Science</v>
      </c>
    </row>
    <row r="463" spans="1:14" x14ac:dyDescent="0.35">
      <c r="A463" t="s">
        <v>1060</v>
      </c>
      <c r="B463" s="3">
        <v>45441</v>
      </c>
      <c r="C463" t="s">
        <v>2387</v>
      </c>
      <c r="D463" t="s">
        <v>5820</v>
      </c>
      <c r="E463">
        <v>3</v>
      </c>
      <c r="F463" t="str">
        <f>_xlfn.XLOOKUP(C463,customers!$A$1:$A$983,customers!$B$1:$B$983,,0)</f>
        <v>William Rodriguez</v>
      </c>
      <c r="G463" t="str">
        <f>_xlfn.XLOOKUP(C463,customers!$A:$A,customers!$C:$C,,0)</f>
        <v>william.rodriguez419@gmail.com</v>
      </c>
      <c r="H463" t="str">
        <f>IF(_xlfn.XLOOKUP(C463,customers!$A:$A,customers!$G:$G,,0)=0,"",_xlfn.XLOOKUP(C463,customers!$A:$A,customers!$G:$G,,0))</f>
        <v>Egypt</v>
      </c>
      <c r="I463" t="str">
        <f>IF(_xlfn.XLOOKUP(D463,product!$A:$A,product!$E:$E,,0)=0,"",_xlfn.XLOOKUP(D463,product!$A:$A,product!$E:$E,,0))</f>
        <v>BUSINESS</v>
      </c>
      <c r="J463" s="5">
        <f>IF(_xlfn.XLOOKUP(D463,product!$A:$A,product!$D:$D,,0)=0,"",_xlfn.XLOOKUP(D463,product!$A:$A,product!$D:$D,,0))</f>
        <v>38.4</v>
      </c>
      <c r="K463" s="7">
        <f t="shared" si="7"/>
        <v>115.19999999999999</v>
      </c>
      <c r="L463" s="10" t="str">
        <f>IF(_xlfn.XLOOKUP(D463,product!$A:$A,product!$F:$F,,0)=0,"",_xlfn.XLOOKUP(D463,product!$A:$A,product!$F:$F,,0))</f>
        <v>No</v>
      </c>
      <c r="M463" t="str">
        <f>IF(_xlfn.XLOOKUP(D463,product!$A:$A,product!G:G,,0)=0,"",_xlfn.XLOOKUP(D463,product!$A:$A,product!G:G,,0))</f>
        <v>Gold</v>
      </c>
      <c r="N463" t="str">
        <f>IF(_xlfn.XLOOKUP(D463,product!$A:$A,product!$B:$B,,0)=0,"",_xlfn.XLOOKUP(D463,product!$A:$A,product!$B:$B,,0))</f>
        <v>Power Secrets</v>
      </c>
    </row>
    <row r="464" spans="1:14" x14ac:dyDescent="0.35">
      <c r="A464" t="s">
        <v>11</v>
      </c>
      <c r="B464" s="3">
        <v>45234</v>
      </c>
      <c r="C464" t="s">
        <v>1412</v>
      </c>
      <c r="D464" t="s">
        <v>5821</v>
      </c>
      <c r="E464">
        <v>2</v>
      </c>
      <c r="F464" t="str">
        <f>_xlfn.XLOOKUP(C464,customers!$A$1:$A$983,customers!$B$1:$B$983,,0)</f>
        <v>John Rodriguez</v>
      </c>
      <c r="G464" t="str">
        <f>_xlfn.XLOOKUP(C464,customers!$A:$A,customers!$C:$C,,0)</f>
        <v>john.rodriguez96@yahoo.com</v>
      </c>
      <c r="H464" t="str">
        <f>IF(_xlfn.XLOOKUP(C464,customers!$A:$A,customers!$G:$G,,0)=0,"",_xlfn.XLOOKUP(C464,customers!$A:$A,customers!$G:$G,,0))</f>
        <v>Spain</v>
      </c>
      <c r="I464" t="str">
        <f>IF(_xlfn.XLOOKUP(D464,product!$A:$A,product!$E:$E,,0)=0,"",_xlfn.XLOOKUP(D464,product!$A:$A,product!$E:$E,,0))</f>
        <v>SCIENCE</v>
      </c>
      <c r="J464" s="5">
        <f>IF(_xlfn.XLOOKUP(D464,product!$A:$A,product!$D:$D,,0)=0,"",_xlfn.XLOOKUP(D464,product!$A:$A,product!$D:$D,,0))</f>
        <v>32.270000000000003</v>
      </c>
      <c r="K464" s="7">
        <f t="shared" si="7"/>
        <v>64.540000000000006</v>
      </c>
      <c r="L464" s="10" t="str">
        <f>IF(_xlfn.XLOOKUP(D464,product!$A:$A,product!$F:$F,,0)=0,"",_xlfn.XLOOKUP(D464,product!$A:$A,product!$F:$F,,0))</f>
        <v>No</v>
      </c>
      <c r="M464" t="str">
        <f>IF(_xlfn.XLOOKUP(D464,product!$A:$A,product!G:G,,0)=0,"",_xlfn.XLOOKUP(D464,product!$A:$A,product!G:G,,0))</f>
        <v>Gold</v>
      </c>
      <c r="N464" t="str">
        <f>IF(_xlfn.XLOOKUP(D464,product!$A:$A,product!$B:$B,,0)=0,"",_xlfn.XLOOKUP(D464,product!$A:$A,product!$B:$B,,0))</f>
        <v>Power Science</v>
      </c>
    </row>
    <row r="465" spans="1:14" x14ac:dyDescent="0.35">
      <c r="A465" t="s">
        <v>27</v>
      </c>
      <c r="B465" s="3">
        <v>45480</v>
      </c>
      <c r="C465" t="s">
        <v>2523</v>
      </c>
      <c r="D465" t="s">
        <v>5822</v>
      </c>
      <c r="E465">
        <v>1</v>
      </c>
      <c r="F465" t="str">
        <f>_xlfn.XLOOKUP(C465,customers!$A$1:$A$983,customers!$B$1:$B$983,,0)</f>
        <v>Sarah Martin</v>
      </c>
      <c r="G465" t="str">
        <f>_xlfn.XLOOKUP(C465,customers!$A:$A,customers!$C:$C,,0)</f>
        <v>sarah.martin483@hotmail.com</v>
      </c>
      <c r="H465" t="str">
        <f>IF(_xlfn.XLOOKUP(C465,customers!$A:$A,customers!$G:$G,,0)=0,"",_xlfn.XLOOKUP(C465,customers!$A:$A,customers!$G:$G,,0))</f>
        <v>Spain</v>
      </c>
      <c r="I465" t="str">
        <f>IF(_xlfn.XLOOKUP(D465,product!$A:$A,product!$E:$E,,0)=0,"",_xlfn.XLOOKUP(D465,product!$A:$A,product!$E:$E,,0))</f>
        <v>BUSINESS</v>
      </c>
      <c r="J465" s="5">
        <f>IF(_xlfn.XLOOKUP(D465,product!$A:$A,product!$D:$D,,0)=0,"",_xlfn.XLOOKUP(D465,product!$A:$A,product!$D:$D,,0))</f>
        <v>35.049999999999997</v>
      </c>
      <c r="K465" s="7">
        <f t="shared" si="7"/>
        <v>35.049999999999997</v>
      </c>
      <c r="L465" s="10" t="str">
        <f>IF(_xlfn.XLOOKUP(D465,product!$A:$A,product!$F:$F,,0)=0,"",_xlfn.XLOOKUP(D465,product!$A:$A,product!$F:$F,,0))</f>
        <v>Yes</v>
      </c>
      <c r="M465" t="str">
        <f>IF(_xlfn.XLOOKUP(D465,product!$A:$A,product!G:G,,0)=0,"",_xlfn.XLOOKUP(D465,product!$A:$A,product!G:G,,0))</f>
        <v>Gold</v>
      </c>
      <c r="N465" t="str">
        <f>IF(_xlfn.XLOOKUP(D465,product!$A:$A,product!$B:$B,,0)=0,"",_xlfn.XLOOKUP(D465,product!$A:$A,product!$B:$B,,0))</f>
        <v>Secrets Forest</v>
      </c>
    </row>
    <row r="466" spans="1:14" x14ac:dyDescent="0.35">
      <c r="A466" t="s">
        <v>44</v>
      </c>
      <c r="B466" s="3">
        <v>45095</v>
      </c>
      <c r="C466" t="s">
        <v>1364</v>
      </c>
      <c r="D466" t="s">
        <v>5823</v>
      </c>
      <c r="E466">
        <v>2</v>
      </c>
      <c r="F466" t="str">
        <f>_xlfn.XLOOKUP(C466,customers!$A$1:$A$983,customers!$B$1:$B$983,,0)</f>
        <v>Hannah Anderson</v>
      </c>
      <c r="G466" t="str">
        <f>_xlfn.XLOOKUP(C466,customers!$A:$A,customers!$C:$C,,0)</f>
        <v>hannah.anderson81@gmail.com</v>
      </c>
      <c r="H466" t="str">
        <f>IF(_xlfn.XLOOKUP(C466,customers!$A:$A,customers!$G:$G,,0)=0,"",_xlfn.XLOOKUP(C466,customers!$A:$A,customers!$G:$G,,0))</f>
        <v>Germany</v>
      </c>
      <c r="I466" t="str">
        <f>IF(_xlfn.XLOOKUP(D466,product!$A:$A,product!$E:$E,,0)=0,"",_xlfn.XLOOKUP(D466,product!$A:$A,product!$E:$E,,0))</f>
        <v>BUSINESS</v>
      </c>
      <c r="J466" s="5">
        <f>IF(_xlfn.XLOOKUP(D466,product!$A:$A,product!$D:$D,,0)=0,"",_xlfn.XLOOKUP(D466,product!$A:$A,product!$D:$D,,0))</f>
        <v>12.87</v>
      </c>
      <c r="K466" s="7">
        <f t="shared" si="7"/>
        <v>25.74</v>
      </c>
      <c r="L466" s="10" t="str">
        <f>IF(_xlfn.XLOOKUP(D466,product!$A:$A,product!$F:$F,,0)=0,"",_xlfn.XLOOKUP(D466,product!$A:$A,product!$F:$F,,0))</f>
        <v>No</v>
      </c>
      <c r="M466" t="str">
        <f>IF(_xlfn.XLOOKUP(D466,product!$A:$A,product!G:G,,0)=0,"",_xlfn.XLOOKUP(D466,product!$A:$A,product!G:G,,0))</f>
        <v>None</v>
      </c>
      <c r="N466" t="str">
        <f>IF(_xlfn.XLOOKUP(D466,product!$A:$A,product!$B:$B,,0)=0,"",_xlfn.XLOOKUP(D466,product!$A:$A,product!$B:$B,,0))</f>
        <v>Quantum Journey</v>
      </c>
    </row>
    <row r="467" spans="1:14" x14ac:dyDescent="0.35">
      <c r="A467" t="s">
        <v>131</v>
      </c>
      <c r="B467" s="3">
        <v>45551</v>
      </c>
      <c r="C467" t="s">
        <v>2654</v>
      </c>
      <c r="D467" t="s">
        <v>5824</v>
      </c>
      <c r="E467">
        <v>1</v>
      </c>
      <c r="F467" t="str">
        <f>_xlfn.XLOOKUP(C467,customers!$A$1:$A$983,customers!$B$1:$B$983,,0)</f>
        <v>Chloe Jackson</v>
      </c>
      <c r="G467" t="str">
        <f>_xlfn.XLOOKUP(C467,customers!$A:$A,customers!$C:$C,,0)</f>
        <v>chloe.jackson546@yahoo.com</v>
      </c>
      <c r="H467" t="str">
        <f>IF(_xlfn.XLOOKUP(C467,customers!$A:$A,customers!$G:$G,,0)=0,"",_xlfn.XLOOKUP(C467,customers!$A:$A,customers!$G:$G,,0))</f>
        <v>Spain</v>
      </c>
      <c r="I467" t="str">
        <f>IF(_xlfn.XLOOKUP(D467,product!$A:$A,product!$E:$E,,0)=0,"",_xlfn.XLOOKUP(D467,product!$A:$A,product!$E:$E,,0))</f>
        <v>TECH</v>
      </c>
      <c r="J467" s="5">
        <f>IF(_xlfn.XLOOKUP(D467,product!$A:$A,product!$D:$D,,0)=0,"",_xlfn.XLOOKUP(D467,product!$A:$A,product!$D:$D,,0))</f>
        <v>26.93</v>
      </c>
      <c r="K467" s="7">
        <f t="shared" si="7"/>
        <v>26.93</v>
      </c>
      <c r="L467" s="10" t="str">
        <f>IF(_xlfn.XLOOKUP(D467,product!$A:$A,product!$F:$F,,0)=0,"",_xlfn.XLOOKUP(D467,product!$A:$A,product!$F:$F,,0))</f>
        <v>Yes</v>
      </c>
      <c r="M467" t="str">
        <f>IF(_xlfn.XLOOKUP(D467,product!$A:$A,product!G:G,,0)=0,"",_xlfn.XLOOKUP(D467,product!$A:$A,product!G:G,,0))</f>
        <v>Silver</v>
      </c>
      <c r="N467" t="str">
        <f>IF(_xlfn.XLOOKUP(D467,product!$A:$A,product!$B:$B,,0)=0,"",_xlfn.XLOOKUP(D467,product!$A:$A,product!$B:$B,,0))</f>
        <v>Secrets Quantum</v>
      </c>
    </row>
    <row r="468" spans="1:14" x14ac:dyDescent="0.35">
      <c r="A468" t="s">
        <v>148</v>
      </c>
      <c r="B468" s="3">
        <v>45041</v>
      </c>
      <c r="C468" t="s">
        <v>3090</v>
      </c>
      <c r="D468" t="s">
        <v>5825</v>
      </c>
      <c r="E468">
        <v>3</v>
      </c>
      <c r="F468" t="str">
        <f>_xlfn.XLOOKUP(C468,customers!$A$1:$A$983,customers!$B$1:$B$983,,0)</f>
        <v>Andrew Walker</v>
      </c>
      <c r="G468" t="str">
        <f>_xlfn.XLOOKUP(C468,customers!$A:$A,customers!$C:$C,,0)</f>
        <v>andrew.walker757@hotmail.com</v>
      </c>
      <c r="H468" t="str">
        <f>IF(_xlfn.XLOOKUP(C468,customers!$A:$A,customers!$G:$G,,0)=0,"",_xlfn.XLOOKUP(C468,customers!$A:$A,customers!$G:$G,,0))</f>
        <v>USA</v>
      </c>
      <c r="I468" t="str">
        <f>IF(_xlfn.XLOOKUP(D468,product!$A:$A,product!$E:$E,,0)=0,"",_xlfn.XLOOKUP(D468,product!$A:$A,product!$E:$E,,0))</f>
        <v>FICTION</v>
      </c>
      <c r="J468" s="5">
        <f>IF(_xlfn.XLOOKUP(D468,product!$A:$A,product!$D:$D,,0)=0,"",_xlfn.XLOOKUP(D468,product!$A:$A,product!$D:$D,,0))</f>
        <v>25.44</v>
      </c>
      <c r="K468" s="7">
        <f t="shared" si="7"/>
        <v>76.320000000000007</v>
      </c>
      <c r="L468" s="10" t="str">
        <f>IF(_xlfn.XLOOKUP(D468,product!$A:$A,product!$F:$F,,0)=0,"",_xlfn.XLOOKUP(D468,product!$A:$A,product!$F:$F,,0))</f>
        <v>Yes</v>
      </c>
      <c r="M468" t="str">
        <f>IF(_xlfn.XLOOKUP(D468,product!$A:$A,product!G:G,,0)=0,"",_xlfn.XLOOKUP(D468,product!$A:$A,product!G:G,,0))</f>
        <v>None</v>
      </c>
      <c r="N468" t="str">
        <f>IF(_xlfn.XLOOKUP(D468,product!$A:$A,product!$B:$B,,0)=0,"",_xlfn.XLOOKUP(D468,product!$A:$A,product!$B:$B,,0))</f>
        <v>Science Future</v>
      </c>
    </row>
    <row r="469" spans="1:14" x14ac:dyDescent="0.35">
      <c r="A469" t="s">
        <v>165</v>
      </c>
      <c r="B469" s="3">
        <v>45304</v>
      </c>
      <c r="C469" t="s">
        <v>2431</v>
      </c>
      <c r="D469" t="s">
        <v>5826</v>
      </c>
      <c r="E469">
        <v>1</v>
      </c>
      <c r="F469" t="str">
        <f>_xlfn.XLOOKUP(C469,customers!$A$1:$A$983,customers!$B$1:$B$983,,0)</f>
        <v>Peter Thomas</v>
      </c>
      <c r="G469" t="str">
        <f>_xlfn.XLOOKUP(C469,customers!$A:$A,customers!$C:$C,,0)</f>
        <v>peter.thomas439@outlook.com</v>
      </c>
      <c r="H469" t="str">
        <f>IF(_xlfn.XLOOKUP(C469,customers!$A:$A,customers!$G:$G,,0)=0,"",_xlfn.XLOOKUP(C469,customers!$A:$A,customers!$G:$G,,0))</f>
        <v>Japan</v>
      </c>
      <c r="I469" t="str">
        <f>IF(_xlfn.XLOOKUP(D469,product!$A:$A,product!$E:$E,,0)=0,"",_xlfn.XLOOKUP(D469,product!$A:$A,product!$E:$E,,0))</f>
        <v>TECH</v>
      </c>
      <c r="J469" s="5">
        <f>IF(_xlfn.XLOOKUP(D469,product!$A:$A,product!$D:$D,,0)=0,"",_xlfn.XLOOKUP(D469,product!$A:$A,product!$D:$D,,0))</f>
        <v>35.979999999999997</v>
      </c>
      <c r="K469" s="7">
        <f t="shared" si="7"/>
        <v>35.979999999999997</v>
      </c>
      <c r="L469" s="10" t="str">
        <f>IF(_xlfn.XLOOKUP(D469,product!$A:$A,product!$F:$F,,0)=0,"",_xlfn.XLOOKUP(D469,product!$A:$A,product!$F:$F,,0))</f>
        <v>No</v>
      </c>
      <c r="M469" t="str">
        <f>IF(_xlfn.XLOOKUP(D469,product!$A:$A,product!G:G,,0)=0,"",_xlfn.XLOOKUP(D469,product!$A:$A,product!G:G,,0))</f>
        <v>Silver</v>
      </c>
      <c r="N469" t="str">
        <f>IF(_xlfn.XLOOKUP(D469,product!$A:$A,product!$B:$B,,0)=0,"",_xlfn.XLOOKUP(D469,product!$A:$A,product!$B:$B,,0))</f>
        <v>Secrets Future</v>
      </c>
    </row>
    <row r="470" spans="1:14" x14ac:dyDescent="0.35">
      <c r="A470" t="s">
        <v>182</v>
      </c>
      <c r="B470" s="3">
        <v>45225</v>
      </c>
      <c r="C470" t="s">
        <v>3362</v>
      </c>
      <c r="D470" t="s">
        <v>5827</v>
      </c>
      <c r="E470">
        <v>1</v>
      </c>
      <c r="F470" t="str">
        <f>_xlfn.XLOOKUP(C470,customers!$A$1:$A$983,customers!$B$1:$B$983,,0)</f>
        <v>Grace Robinson</v>
      </c>
      <c r="G470" t="str">
        <f>_xlfn.XLOOKUP(C470,customers!$A:$A,customers!$C:$C,,0)</f>
        <v>grace.robinson895@outlook.com</v>
      </c>
      <c r="H470" t="str">
        <f>IF(_xlfn.XLOOKUP(C470,customers!$A:$A,customers!$G:$G,,0)=0,"",_xlfn.XLOOKUP(C470,customers!$A:$A,customers!$G:$G,,0))</f>
        <v>Portugal</v>
      </c>
      <c r="I470" t="str">
        <f>IF(_xlfn.XLOOKUP(D470,product!$A:$A,product!$E:$E,,0)=0,"",_xlfn.XLOOKUP(D470,product!$A:$A,product!$E:$E,,0))</f>
        <v>FICTION</v>
      </c>
      <c r="J470" s="5">
        <f>IF(_xlfn.XLOOKUP(D470,product!$A:$A,product!$D:$D,,0)=0,"",_xlfn.XLOOKUP(D470,product!$A:$A,product!$D:$D,,0))</f>
        <v>11.06</v>
      </c>
      <c r="K470" s="7">
        <f t="shared" si="7"/>
        <v>11.06</v>
      </c>
      <c r="L470" s="10" t="str">
        <f>IF(_xlfn.XLOOKUP(D470,product!$A:$A,product!$F:$F,,0)=0,"",_xlfn.XLOOKUP(D470,product!$A:$A,product!$F:$F,,0))</f>
        <v>Yes</v>
      </c>
      <c r="M470" t="str">
        <f>IF(_xlfn.XLOOKUP(D470,product!$A:$A,product!G:G,,0)=0,"",_xlfn.XLOOKUP(D470,product!$A:$A,product!G:G,,0))</f>
        <v>Silver</v>
      </c>
      <c r="N470" t="str">
        <f>IF(_xlfn.XLOOKUP(D470,product!$A:$A,product!$B:$B,,0)=0,"",_xlfn.XLOOKUP(D470,product!$A:$A,product!$B:$B,,0))</f>
        <v>Journey Quantum</v>
      </c>
    </row>
    <row r="471" spans="1:14" x14ac:dyDescent="0.35">
      <c r="A471" t="s">
        <v>199</v>
      </c>
      <c r="B471" s="3">
        <v>45597</v>
      </c>
      <c r="C471" t="s">
        <v>2783</v>
      </c>
      <c r="D471" t="s">
        <v>5828</v>
      </c>
      <c r="E471">
        <v>1</v>
      </c>
      <c r="F471" t="str">
        <f>_xlfn.XLOOKUP(C471,customers!$A$1:$A$983,customers!$B$1:$B$983,,0)</f>
        <v>Olivia Baker</v>
      </c>
      <c r="G471" t="str">
        <f>_xlfn.XLOOKUP(C471,customers!$A:$A,customers!$C:$C,,0)</f>
        <v>olivia.baker608@hotmail.com</v>
      </c>
      <c r="H471" t="str">
        <f>IF(_xlfn.XLOOKUP(C471,customers!$A:$A,customers!$G:$G,,0)=0,"",_xlfn.XLOOKUP(C471,customers!$A:$A,customers!$G:$G,,0))</f>
        <v>Egypt</v>
      </c>
      <c r="I471" t="str">
        <f>IF(_xlfn.XLOOKUP(D471,product!$A:$A,product!$E:$E,,0)=0,"",_xlfn.XLOOKUP(D471,product!$A:$A,product!$E:$E,,0))</f>
        <v>HISTORY</v>
      </c>
      <c r="J471" s="5">
        <f>IF(_xlfn.XLOOKUP(D471,product!$A:$A,product!$D:$D,,0)=0,"",_xlfn.XLOOKUP(D471,product!$A:$A,product!$D:$D,,0))</f>
        <v>39.22</v>
      </c>
      <c r="K471" s="7">
        <f t="shared" si="7"/>
        <v>39.22</v>
      </c>
      <c r="L471" s="10" t="str">
        <f>IF(_xlfn.XLOOKUP(D471,product!$A:$A,product!$F:$F,,0)=0,"",_xlfn.XLOOKUP(D471,product!$A:$A,product!$F:$F,,0))</f>
        <v>Yes</v>
      </c>
      <c r="M471" t="str">
        <f>IF(_xlfn.XLOOKUP(D471,product!$A:$A,product!G:G,,0)=0,"",_xlfn.XLOOKUP(D471,product!$A:$A,product!G:G,,0))</f>
        <v>None</v>
      </c>
      <c r="N471" t="str">
        <f>IF(_xlfn.XLOOKUP(D471,product!$A:$A,product!$B:$B,,0)=0,"",_xlfn.XLOOKUP(D471,product!$A:$A,product!$B:$B,,0))</f>
        <v>Forest Silent</v>
      </c>
    </row>
    <row r="472" spans="1:14" x14ac:dyDescent="0.35">
      <c r="A472" t="s">
        <v>216</v>
      </c>
      <c r="B472" s="3">
        <v>45261</v>
      </c>
      <c r="C472" t="s">
        <v>2503</v>
      </c>
      <c r="D472" t="s">
        <v>5829</v>
      </c>
      <c r="E472">
        <v>1</v>
      </c>
      <c r="F472" t="str">
        <f>_xlfn.XLOOKUP(C472,customers!$A$1:$A$983,customers!$B$1:$B$983,,0)</f>
        <v>John Young</v>
      </c>
      <c r="G472" t="str">
        <f>_xlfn.XLOOKUP(C472,customers!$A:$A,customers!$C:$C,,0)</f>
        <v>john.young473@gmail.com</v>
      </c>
      <c r="H472" t="str">
        <f>IF(_xlfn.XLOOKUP(C472,customers!$A:$A,customers!$G:$G,,0)=0,"",_xlfn.XLOOKUP(C472,customers!$A:$A,customers!$G:$G,,0))</f>
        <v>Egypt</v>
      </c>
      <c r="I472" t="str">
        <f>IF(_xlfn.XLOOKUP(D472,product!$A:$A,product!$E:$E,,0)=0,"",_xlfn.XLOOKUP(D472,product!$A:$A,product!$E:$E,,0))</f>
        <v>FICTION</v>
      </c>
      <c r="J472" s="5">
        <f>IF(_xlfn.XLOOKUP(D472,product!$A:$A,product!$D:$D,,0)=0,"",_xlfn.XLOOKUP(D472,product!$A:$A,product!$D:$D,,0))</f>
        <v>36.04</v>
      </c>
      <c r="K472" s="7">
        <f t="shared" si="7"/>
        <v>36.04</v>
      </c>
      <c r="L472" s="10" t="str">
        <f>IF(_xlfn.XLOOKUP(D472,product!$A:$A,product!$F:$F,,0)=0,"",_xlfn.XLOOKUP(D472,product!$A:$A,product!$F:$F,,0))</f>
        <v>Yes</v>
      </c>
      <c r="M472" t="str">
        <f>IF(_xlfn.XLOOKUP(D472,product!$A:$A,product!G:G,,0)=0,"",_xlfn.XLOOKUP(D472,product!$A:$A,product!G:G,,0))</f>
        <v>None</v>
      </c>
      <c r="N472" t="str">
        <f>IF(_xlfn.XLOOKUP(D472,product!$A:$A,product!$B:$B,,0)=0,"",_xlfn.XLOOKUP(D472,product!$A:$A,product!$B:$B,,0))</f>
        <v>Power Mind</v>
      </c>
    </row>
    <row r="473" spans="1:14" x14ac:dyDescent="0.35">
      <c r="A473" t="s">
        <v>233</v>
      </c>
      <c r="B473" s="3">
        <v>45371</v>
      </c>
      <c r="C473" t="s">
        <v>2127</v>
      </c>
      <c r="D473" t="s">
        <v>5830</v>
      </c>
      <c r="E473">
        <v>1</v>
      </c>
      <c r="F473" t="str">
        <f>_xlfn.XLOOKUP(C473,customers!$A$1:$A$983,customers!$B$1:$B$983,,0)</f>
        <v>Michael Brown</v>
      </c>
      <c r="G473" t="str">
        <f>_xlfn.XLOOKUP(C473,customers!$A:$A,customers!$C:$C,,0)</f>
        <v>michael.brown306@hotmail.com</v>
      </c>
      <c r="H473" t="str">
        <f>IF(_xlfn.XLOOKUP(C473,customers!$A:$A,customers!$G:$G,,0)=0,"",_xlfn.XLOOKUP(C473,customers!$A:$A,customers!$G:$G,,0))</f>
        <v>Germany</v>
      </c>
      <c r="I473" t="str">
        <f>IF(_xlfn.XLOOKUP(D473,product!$A:$A,product!$E:$E,,0)=0,"",_xlfn.XLOOKUP(D473,product!$A:$A,product!$E:$E,,0))</f>
        <v>TECH</v>
      </c>
      <c r="J473" s="5">
        <f>IF(_xlfn.XLOOKUP(D473,product!$A:$A,product!$D:$D,,0)=0,"",_xlfn.XLOOKUP(D473,product!$A:$A,product!$D:$D,,0))</f>
        <v>36.69</v>
      </c>
      <c r="K473" s="7">
        <f t="shared" si="7"/>
        <v>36.69</v>
      </c>
      <c r="L473" s="10" t="str">
        <f>IF(_xlfn.XLOOKUP(D473,product!$A:$A,product!$F:$F,,0)=0,"",_xlfn.XLOOKUP(D473,product!$A:$A,product!$F:$F,,0))</f>
        <v>No</v>
      </c>
      <c r="M473" t="str">
        <f>IF(_xlfn.XLOOKUP(D473,product!$A:$A,product!G:G,,0)=0,"",_xlfn.XLOOKUP(D473,product!$A:$A,product!G:G,,0))</f>
        <v>None</v>
      </c>
      <c r="N473" t="str">
        <f>IF(_xlfn.XLOOKUP(D473,product!$A:$A,product!$B:$B,,0)=0,"",_xlfn.XLOOKUP(D473,product!$A:$A,product!$B:$B,,0))</f>
        <v>Secrets Quantum</v>
      </c>
    </row>
    <row r="474" spans="1:14" x14ac:dyDescent="0.35">
      <c r="A474" t="s">
        <v>250</v>
      </c>
      <c r="B474" s="3">
        <v>44985</v>
      </c>
      <c r="C474" t="s">
        <v>2089</v>
      </c>
      <c r="D474" t="s">
        <v>5831</v>
      </c>
      <c r="E474">
        <v>1</v>
      </c>
      <c r="F474" t="str">
        <f>_xlfn.XLOOKUP(C474,customers!$A$1:$A$983,customers!$B$1:$B$983,,0)</f>
        <v>Laura Robinson</v>
      </c>
      <c r="G474" t="str">
        <f>_xlfn.XLOOKUP(C474,customers!$A:$A,customers!$C:$C,,0)</f>
        <v>laura.robinson292@yahoo.com</v>
      </c>
      <c r="H474" t="str">
        <f>IF(_xlfn.XLOOKUP(C474,customers!$A:$A,customers!$G:$G,,0)=0,"",_xlfn.XLOOKUP(C474,customers!$A:$A,customers!$G:$G,,0))</f>
        <v>Sweden</v>
      </c>
      <c r="I474" t="str">
        <f>IF(_xlfn.XLOOKUP(D474,product!$A:$A,product!$E:$E,,0)=0,"",_xlfn.XLOOKUP(D474,product!$A:$A,product!$E:$E,,0))</f>
        <v>FICTION</v>
      </c>
      <c r="J474" s="5">
        <f>IF(_xlfn.XLOOKUP(D474,product!$A:$A,product!$D:$D,,0)=0,"",_xlfn.XLOOKUP(D474,product!$A:$A,product!$D:$D,,0))</f>
        <v>38.99</v>
      </c>
      <c r="K474" s="7">
        <f t="shared" si="7"/>
        <v>38.99</v>
      </c>
      <c r="L474" s="10" t="str">
        <f>IF(_xlfn.XLOOKUP(D474,product!$A:$A,product!$F:$F,,0)=0,"",_xlfn.XLOOKUP(D474,product!$A:$A,product!$F:$F,,0))</f>
        <v>No</v>
      </c>
      <c r="M474" t="str">
        <f>IF(_xlfn.XLOOKUP(D474,product!$A:$A,product!G:G,,0)=0,"",_xlfn.XLOOKUP(D474,product!$A:$A,product!G:G,,0))</f>
        <v>Gold</v>
      </c>
      <c r="N474" t="str">
        <f>IF(_xlfn.XLOOKUP(D474,product!$A:$A,product!$B:$B,,0)=0,"",_xlfn.XLOOKUP(D474,product!$A:$A,product!$B:$B,,0))</f>
        <v>Quantum Future</v>
      </c>
    </row>
    <row r="475" spans="1:14" x14ac:dyDescent="0.35">
      <c r="A475" t="s">
        <v>267</v>
      </c>
      <c r="B475" s="3">
        <v>45466</v>
      </c>
      <c r="C475" t="s">
        <v>3002</v>
      </c>
      <c r="D475" t="s">
        <v>5832</v>
      </c>
      <c r="E475">
        <v>1</v>
      </c>
      <c r="F475" t="str">
        <f>_xlfn.XLOOKUP(C475,customers!$A$1:$A$983,customers!$B$1:$B$983,,0)</f>
        <v>Kevin Thomas</v>
      </c>
      <c r="G475" t="str">
        <f>_xlfn.XLOOKUP(C475,customers!$A:$A,customers!$C:$C,,0)</f>
        <v>kevin.thomas714@outlook.com</v>
      </c>
      <c r="H475" t="str">
        <f>IF(_xlfn.XLOOKUP(C475,customers!$A:$A,customers!$G:$G,,0)=0,"",_xlfn.XLOOKUP(C475,customers!$A:$A,customers!$G:$G,,0))</f>
        <v>Japan</v>
      </c>
      <c r="I475" t="str">
        <f>IF(_xlfn.XLOOKUP(D475,product!$A:$A,product!$E:$E,,0)=0,"",_xlfn.XLOOKUP(D475,product!$A:$A,product!$E:$E,,0))</f>
        <v>TECH</v>
      </c>
      <c r="J475" s="5">
        <f>IF(_xlfn.XLOOKUP(D475,product!$A:$A,product!$D:$D,,0)=0,"",_xlfn.XLOOKUP(D475,product!$A:$A,product!$D:$D,,0))</f>
        <v>25.73</v>
      </c>
      <c r="K475" s="7">
        <f t="shared" si="7"/>
        <v>25.73</v>
      </c>
      <c r="L475" s="10" t="str">
        <f>IF(_xlfn.XLOOKUP(D475,product!$A:$A,product!$F:$F,,0)=0,"",_xlfn.XLOOKUP(D475,product!$A:$A,product!$F:$F,,0))</f>
        <v>Yes</v>
      </c>
      <c r="M475" t="str">
        <f>IF(_xlfn.XLOOKUP(D475,product!$A:$A,product!G:G,,0)=0,"",_xlfn.XLOOKUP(D475,product!$A:$A,product!G:G,,0))</f>
        <v>Gold</v>
      </c>
      <c r="N475" t="str">
        <f>IF(_xlfn.XLOOKUP(D475,product!$A:$A,product!$B:$B,,0)=0,"",_xlfn.XLOOKUP(D475,product!$A:$A,product!$B:$B,,0))</f>
        <v>Data Quantum</v>
      </c>
    </row>
    <row r="476" spans="1:14" x14ac:dyDescent="0.35">
      <c r="A476" t="s">
        <v>284</v>
      </c>
      <c r="B476" s="3">
        <v>45048</v>
      </c>
      <c r="C476" t="s">
        <v>2947</v>
      </c>
      <c r="D476" t="s">
        <v>5833</v>
      </c>
      <c r="E476">
        <v>1</v>
      </c>
      <c r="F476" t="str">
        <f>_xlfn.XLOOKUP(C476,customers!$A$1:$A$983,customers!$B$1:$B$983,,0)</f>
        <v>Jessica Scott</v>
      </c>
      <c r="G476" t="str">
        <f>_xlfn.XLOOKUP(C476,customers!$A:$A,customers!$C:$C,,0)</f>
        <v>jessica.scott688@yahoo.com</v>
      </c>
      <c r="H476" t="str">
        <f>IF(_xlfn.XLOOKUP(C476,customers!$A:$A,customers!$G:$G,,0)=0,"",_xlfn.XLOOKUP(C476,customers!$A:$A,customers!$G:$G,,0))</f>
        <v>Sweden</v>
      </c>
      <c r="I476" t="str">
        <f>IF(_xlfn.XLOOKUP(D476,product!$A:$A,product!$E:$E,,0)=0,"",_xlfn.XLOOKUP(D476,product!$A:$A,product!$E:$E,,0))</f>
        <v>BUSINESS</v>
      </c>
      <c r="J476" s="5">
        <f>IF(_xlfn.XLOOKUP(D476,product!$A:$A,product!$D:$D,,0)=0,"",_xlfn.XLOOKUP(D476,product!$A:$A,product!$D:$D,,0))</f>
        <v>16.54</v>
      </c>
      <c r="K476" s="7">
        <f t="shared" si="7"/>
        <v>16.54</v>
      </c>
      <c r="L476" s="10" t="str">
        <f>IF(_xlfn.XLOOKUP(D476,product!$A:$A,product!$F:$F,,0)=0,"",_xlfn.XLOOKUP(D476,product!$A:$A,product!$F:$F,,0))</f>
        <v>No</v>
      </c>
      <c r="M476" t="str">
        <f>IF(_xlfn.XLOOKUP(D476,product!$A:$A,product!G:G,,0)=0,"",_xlfn.XLOOKUP(D476,product!$A:$A,product!G:G,,0))</f>
        <v>None</v>
      </c>
      <c r="N476" t="str">
        <f>IF(_xlfn.XLOOKUP(D476,product!$A:$A,product!$B:$B,,0)=0,"",_xlfn.XLOOKUP(D476,product!$A:$A,product!$B:$B,,0))</f>
        <v>Mind Data</v>
      </c>
    </row>
    <row r="477" spans="1:14" x14ac:dyDescent="0.35">
      <c r="A477" t="s">
        <v>301</v>
      </c>
      <c r="B477" s="3">
        <v>45574</v>
      </c>
      <c r="C477" t="s">
        <v>1264</v>
      </c>
      <c r="D477" t="s">
        <v>5834</v>
      </c>
      <c r="E477">
        <v>1</v>
      </c>
      <c r="F477" t="str">
        <f>_xlfn.XLOOKUP(C477,customers!$A$1:$A$983,customers!$B$1:$B$983,,0)</f>
        <v>Andrew Brown</v>
      </c>
      <c r="G477" t="str">
        <f>_xlfn.XLOOKUP(C477,customers!$A:$A,customers!$C:$C,,0)</f>
        <v>andrew.brown55@yahoo.com</v>
      </c>
      <c r="H477" t="str">
        <f>IF(_xlfn.XLOOKUP(C477,customers!$A:$A,customers!$G:$G,,0)=0,"",_xlfn.XLOOKUP(C477,customers!$A:$A,customers!$G:$G,,0))</f>
        <v>USA</v>
      </c>
      <c r="I477" t="str">
        <f>IF(_xlfn.XLOOKUP(D477,product!$A:$A,product!$E:$E,,0)=0,"",_xlfn.XLOOKUP(D477,product!$A:$A,product!$E:$E,,0))</f>
        <v>SCIENCE</v>
      </c>
      <c r="J477" s="5">
        <f>IF(_xlfn.XLOOKUP(D477,product!$A:$A,product!$D:$D,,0)=0,"",_xlfn.XLOOKUP(D477,product!$A:$A,product!$D:$D,,0))</f>
        <v>33.39</v>
      </c>
      <c r="K477" s="7">
        <f t="shared" si="7"/>
        <v>33.39</v>
      </c>
      <c r="L477" s="10" t="str">
        <f>IF(_xlfn.XLOOKUP(D477,product!$A:$A,product!$F:$F,,0)=0,"",_xlfn.XLOOKUP(D477,product!$A:$A,product!$F:$F,,0))</f>
        <v>No</v>
      </c>
      <c r="M477" t="str">
        <f>IF(_xlfn.XLOOKUP(D477,product!$A:$A,product!G:G,,0)=0,"",_xlfn.XLOOKUP(D477,product!$A:$A,product!G:G,,0))</f>
        <v>None</v>
      </c>
      <c r="N477" t="str">
        <f>IF(_xlfn.XLOOKUP(D477,product!$A:$A,product!$B:$B,,0)=0,"",_xlfn.XLOOKUP(D477,product!$A:$A,product!$B:$B,,0))</f>
        <v>Mind Future</v>
      </c>
    </row>
    <row r="478" spans="1:14" x14ac:dyDescent="0.35">
      <c r="A478" t="s">
        <v>318</v>
      </c>
      <c r="B478" s="3">
        <v>45130</v>
      </c>
      <c r="C478" t="s">
        <v>3084</v>
      </c>
      <c r="D478" t="s">
        <v>5835</v>
      </c>
      <c r="E478">
        <v>1</v>
      </c>
      <c r="F478" t="str">
        <f>_xlfn.XLOOKUP(C478,customers!$A$1:$A$983,customers!$B$1:$B$983,,0)</f>
        <v>Ryan Thompson</v>
      </c>
      <c r="G478" t="str">
        <f>_xlfn.XLOOKUP(C478,customers!$A:$A,customers!$C:$C,,0)</f>
        <v>ryan.thompson754@gmail.com</v>
      </c>
      <c r="H478" t="str">
        <f>IF(_xlfn.XLOOKUP(C478,customers!$A:$A,customers!$G:$G,,0)=0,"",_xlfn.XLOOKUP(C478,customers!$A:$A,customers!$G:$G,,0))</f>
        <v>Japan</v>
      </c>
      <c r="I478" t="str">
        <f>IF(_xlfn.XLOOKUP(D478,product!$A:$A,product!$E:$E,,0)=0,"",_xlfn.XLOOKUP(D478,product!$A:$A,product!$E:$E,,0))</f>
        <v>HISTORY</v>
      </c>
      <c r="J478" s="5">
        <f>IF(_xlfn.XLOOKUP(D478,product!$A:$A,product!$D:$D,,0)=0,"",_xlfn.XLOOKUP(D478,product!$A:$A,product!$D:$D,,0))</f>
        <v>20.07</v>
      </c>
      <c r="K478" s="7">
        <f t="shared" si="7"/>
        <v>20.07</v>
      </c>
      <c r="L478" s="10" t="str">
        <f>IF(_xlfn.XLOOKUP(D478,product!$A:$A,product!$F:$F,,0)=0,"",_xlfn.XLOOKUP(D478,product!$A:$A,product!$F:$F,,0))</f>
        <v>Yes</v>
      </c>
      <c r="M478" t="str">
        <f>IF(_xlfn.XLOOKUP(D478,product!$A:$A,product!G:G,,0)=0,"",_xlfn.XLOOKUP(D478,product!$A:$A,product!G:G,,0))</f>
        <v>None</v>
      </c>
      <c r="N478" t="str">
        <f>IF(_xlfn.XLOOKUP(D478,product!$A:$A,product!$B:$B,,0)=0,"",_xlfn.XLOOKUP(D478,product!$A:$A,product!$B:$B,,0))</f>
        <v>Future Quantum</v>
      </c>
    </row>
    <row r="479" spans="1:14" x14ac:dyDescent="0.35">
      <c r="A479" t="s">
        <v>335</v>
      </c>
      <c r="B479" s="3">
        <v>45515</v>
      </c>
      <c r="C479" t="s">
        <v>3093</v>
      </c>
      <c r="D479" t="s">
        <v>5836</v>
      </c>
      <c r="E479">
        <v>1</v>
      </c>
      <c r="F479" t="str">
        <f>_xlfn.XLOOKUP(C479,customers!$A$1:$A$983,customers!$B$1:$B$983,,0)</f>
        <v>Jessica Wright</v>
      </c>
      <c r="G479" t="str">
        <f>_xlfn.XLOOKUP(C479,customers!$A:$A,customers!$C:$C,,0)</f>
        <v>jessica.wright759@hotmail.com</v>
      </c>
      <c r="H479" t="str">
        <f>IF(_xlfn.XLOOKUP(C479,customers!$A:$A,customers!$G:$G,,0)=0,"",_xlfn.XLOOKUP(C479,customers!$A:$A,customers!$G:$G,,0))</f>
        <v>Japan</v>
      </c>
      <c r="I479" t="str">
        <f>IF(_xlfn.XLOOKUP(D479,product!$A:$A,product!$E:$E,,0)=0,"",_xlfn.XLOOKUP(D479,product!$A:$A,product!$E:$E,,0))</f>
        <v>TECH</v>
      </c>
      <c r="J479" s="5">
        <f>IF(_xlfn.XLOOKUP(D479,product!$A:$A,product!$D:$D,,0)=0,"",_xlfn.XLOOKUP(D479,product!$A:$A,product!$D:$D,,0))</f>
        <v>15.58</v>
      </c>
      <c r="K479" s="7">
        <f t="shared" si="7"/>
        <v>15.58</v>
      </c>
      <c r="L479" s="10" t="str">
        <f>IF(_xlfn.XLOOKUP(D479,product!$A:$A,product!$F:$F,,0)=0,"",_xlfn.XLOOKUP(D479,product!$A:$A,product!$F:$F,,0))</f>
        <v>Yes</v>
      </c>
      <c r="M479" t="str">
        <f>IF(_xlfn.XLOOKUP(D479,product!$A:$A,product!G:G,,0)=0,"",_xlfn.XLOOKUP(D479,product!$A:$A,product!G:G,,0))</f>
        <v>Silver</v>
      </c>
      <c r="N479" t="str">
        <f>IF(_xlfn.XLOOKUP(D479,product!$A:$A,product!$B:$B,,0)=0,"",_xlfn.XLOOKUP(D479,product!$A:$A,product!$B:$B,,0))</f>
        <v>Future Journey</v>
      </c>
    </row>
    <row r="480" spans="1:14" x14ac:dyDescent="0.35">
      <c r="A480" t="s">
        <v>352</v>
      </c>
      <c r="B480" s="3">
        <v>44945</v>
      </c>
      <c r="C480" t="s">
        <v>3471</v>
      </c>
      <c r="D480" t="s">
        <v>5837</v>
      </c>
      <c r="E480">
        <v>1</v>
      </c>
      <c r="F480" t="str">
        <f>_xlfn.XLOOKUP(C480,customers!$A$1:$A$983,customers!$B$1:$B$983,,0)</f>
        <v>Mia White</v>
      </c>
      <c r="G480" t="str">
        <f>_xlfn.XLOOKUP(C480,customers!$A:$A,customers!$C:$C,,0)</f>
        <v>mia.white950@gmail.com</v>
      </c>
      <c r="H480" t="str">
        <f>IF(_xlfn.XLOOKUP(C480,customers!$A:$A,customers!$G:$G,,0)=0,"",_xlfn.XLOOKUP(C480,customers!$A:$A,customers!$G:$G,,0))</f>
        <v>Colombia</v>
      </c>
      <c r="I480" t="str">
        <f>IF(_xlfn.XLOOKUP(D480,product!$A:$A,product!$E:$E,,0)=0,"",_xlfn.XLOOKUP(D480,product!$A:$A,product!$E:$E,,0))</f>
        <v>FICTION</v>
      </c>
      <c r="J480" s="5">
        <f>IF(_xlfn.XLOOKUP(D480,product!$A:$A,product!$D:$D,,0)=0,"",_xlfn.XLOOKUP(D480,product!$A:$A,product!$D:$D,,0))</f>
        <v>35.049999999999997</v>
      </c>
      <c r="K480" s="7">
        <f t="shared" si="7"/>
        <v>35.049999999999997</v>
      </c>
      <c r="L480" s="10" t="str">
        <f>IF(_xlfn.XLOOKUP(D480,product!$A:$A,product!$F:$F,,0)=0,"",_xlfn.XLOOKUP(D480,product!$A:$A,product!$F:$F,,0))</f>
        <v>No</v>
      </c>
      <c r="M480" t="str">
        <f>IF(_xlfn.XLOOKUP(D480,product!$A:$A,product!G:G,,0)=0,"",_xlfn.XLOOKUP(D480,product!$A:$A,product!G:G,,0))</f>
        <v>None</v>
      </c>
      <c r="N480" t="str">
        <f>IF(_xlfn.XLOOKUP(D480,product!$A:$A,product!$B:$B,,0)=0,"",_xlfn.XLOOKUP(D480,product!$A:$A,product!$B:$B,,0))</f>
        <v>Journey Quantum</v>
      </c>
    </row>
    <row r="481" spans="1:14" x14ac:dyDescent="0.35">
      <c r="A481" t="s">
        <v>369</v>
      </c>
      <c r="B481" s="3">
        <v>45395</v>
      </c>
      <c r="C481" t="s">
        <v>2197</v>
      </c>
      <c r="D481" t="s">
        <v>5838</v>
      </c>
      <c r="E481">
        <v>1</v>
      </c>
      <c r="F481" t="str">
        <f>_xlfn.XLOOKUP(C481,customers!$A$1:$A$983,customers!$B$1:$B$983,,0)</f>
        <v>Anthony Robinson</v>
      </c>
      <c r="G481" t="str">
        <f>_xlfn.XLOOKUP(C481,customers!$A:$A,customers!$C:$C,,0)</f>
        <v>anthony.robinson335@hotmail.com</v>
      </c>
      <c r="H481" t="str">
        <f>IF(_xlfn.XLOOKUP(C481,customers!$A:$A,customers!$G:$G,,0)=0,"",_xlfn.XLOOKUP(C481,customers!$A:$A,customers!$G:$G,,0))</f>
        <v>Pakistan</v>
      </c>
      <c r="I481" t="str">
        <f>IF(_xlfn.XLOOKUP(D481,product!$A:$A,product!$E:$E,,0)=0,"",_xlfn.XLOOKUP(D481,product!$A:$A,product!$E:$E,,0))</f>
        <v>TECH</v>
      </c>
      <c r="J481" s="5">
        <f>IF(_xlfn.XLOOKUP(D481,product!$A:$A,product!$D:$D,,0)=0,"",_xlfn.XLOOKUP(D481,product!$A:$A,product!$D:$D,,0))</f>
        <v>15.02</v>
      </c>
      <c r="K481" s="7">
        <f t="shared" si="7"/>
        <v>15.02</v>
      </c>
      <c r="L481" s="10" t="str">
        <f>IF(_xlfn.XLOOKUP(D481,product!$A:$A,product!$F:$F,,0)=0,"",_xlfn.XLOOKUP(D481,product!$A:$A,product!$F:$F,,0))</f>
        <v>Yes</v>
      </c>
      <c r="M481" t="str">
        <f>IF(_xlfn.XLOOKUP(D481,product!$A:$A,product!G:G,,0)=0,"",_xlfn.XLOOKUP(D481,product!$A:$A,product!G:G,,0))</f>
        <v>Silver</v>
      </c>
      <c r="N481" t="str">
        <f>IF(_xlfn.XLOOKUP(D481,product!$A:$A,product!$B:$B,,0)=0,"",_xlfn.XLOOKUP(D481,product!$A:$A,product!$B:$B,,0))</f>
        <v>Mind Forest</v>
      </c>
    </row>
    <row r="482" spans="1:14" x14ac:dyDescent="0.35">
      <c r="A482" t="s">
        <v>386</v>
      </c>
      <c r="B482" s="3">
        <v>45182</v>
      </c>
      <c r="C482" t="s">
        <v>1191</v>
      </c>
      <c r="D482" t="s">
        <v>5839</v>
      </c>
      <c r="E482">
        <v>1</v>
      </c>
      <c r="F482" t="str">
        <f>_xlfn.XLOOKUP(C482,customers!$A$1:$A$983,customers!$B$1:$B$983,,0)</f>
        <v>Sarah Hill</v>
      </c>
      <c r="G482" t="str">
        <f>_xlfn.XLOOKUP(C482,customers!$A:$A,customers!$C:$C,,0)</f>
        <v>sarah.hill37@outlook.com</v>
      </c>
      <c r="H482" t="str">
        <f>IF(_xlfn.XLOOKUP(C482,customers!$A:$A,customers!$G:$G,,0)=0,"",_xlfn.XLOOKUP(C482,customers!$A:$A,customers!$G:$G,,0))</f>
        <v>USA</v>
      </c>
      <c r="I482" t="str">
        <f>IF(_xlfn.XLOOKUP(D482,product!$A:$A,product!$E:$E,,0)=0,"",_xlfn.XLOOKUP(D482,product!$A:$A,product!$E:$E,,0))</f>
        <v>TECH</v>
      </c>
      <c r="J482" s="5">
        <f>IF(_xlfn.XLOOKUP(D482,product!$A:$A,product!$D:$D,,0)=0,"",_xlfn.XLOOKUP(D482,product!$A:$A,product!$D:$D,,0))</f>
        <v>35.18</v>
      </c>
      <c r="K482" s="7">
        <f t="shared" si="7"/>
        <v>35.18</v>
      </c>
      <c r="L482" s="10" t="str">
        <f>IF(_xlfn.XLOOKUP(D482,product!$A:$A,product!$F:$F,,0)=0,"",_xlfn.XLOOKUP(D482,product!$A:$A,product!$F:$F,,0))</f>
        <v>No</v>
      </c>
      <c r="M482" t="str">
        <f>IF(_xlfn.XLOOKUP(D482,product!$A:$A,product!G:G,,0)=0,"",_xlfn.XLOOKUP(D482,product!$A:$A,product!G:G,,0))</f>
        <v>Silver</v>
      </c>
      <c r="N482" t="str">
        <f>IF(_xlfn.XLOOKUP(D482,product!$A:$A,product!$B:$B,,0)=0,"",_xlfn.XLOOKUP(D482,product!$A:$A,product!$B:$B,,0))</f>
        <v>Quantum Silent</v>
      </c>
    </row>
    <row r="483" spans="1:14" x14ac:dyDescent="0.35">
      <c r="A483" t="s">
        <v>403</v>
      </c>
      <c r="B483" s="3">
        <v>45653</v>
      </c>
      <c r="C483" t="s">
        <v>2802</v>
      </c>
      <c r="D483" t="s">
        <v>5840</v>
      </c>
      <c r="E483">
        <v>1</v>
      </c>
      <c r="F483" t="str">
        <f>_xlfn.XLOOKUP(C483,customers!$A$1:$A$983,customers!$B$1:$B$983,,0)</f>
        <v>Mia Walker</v>
      </c>
      <c r="G483" t="str">
        <f>_xlfn.XLOOKUP(C483,customers!$A:$A,customers!$C:$C,,0)</f>
        <v>mia.walker617@gmail.com</v>
      </c>
      <c r="H483" t="str">
        <f>IF(_xlfn.XLOOKUP(C483,customers!$A:$A,customers!$G:$G,,0)=0,"",_xlfn.XLOOKUP(C483,customers!$A:$A,customers!$G:$G,,0))</f>
        <v>Egypt</v>
      </c>
      <c r="I483" t="str">
        <f>IF(_xlfn.XLOOKUP(D483,product!$A:$A,product!$E:$E,,0)=0,"",_xlfn.XLOOKUP(D483,product!$A:$A,product!$E:$E,,0))</f>
        <v>TECH</v>
      </c>
      <c r="J483" s="5">
        <f>IF(_xlfn.XLOOKUP(D483,product!$A:$A,product!$D:$D,,0)=0,"",_xlfn.XLOOKUP(D483,product!$A:$A,product!$D:$D,,0))</f>
        <v>24.3</v>
      </c>
      <c r="K483" s="7">
        <f t="shared" si="7"/>
        <v>24.3</v>
      </c>
      <c r="L483" s="10" t="str">
        <f>IF(_xlfn.XLOOKUP(D483,product!$A:$A,product!$F:$F,,0)=0,"",_xlfn.XLOOKUP(D483,product!$A:$A,product!$F:$F,,0))</f>
        <v>No</v>
      </c>
      <c r="M483" t="str">
        <f>IF(_xlfn.XLOOKUP(D483,product!$A:$A,product!G:G,,0)=0,"",_xlfn.XLOOKUP(D483,product!$A:$A,product!G:G,,0))</f>
        <v>None</v>
      </c>
      <c r="N483" t="str">
        <f>IF(_xlfn.XLOOKUP(D483,product!$A:$A,product!$B:$B,,0)=0,"",_xlfn.XLOOKUP(D483,product!$A:$A,product!$B:$B,,0))</f>
        <v>Science Quantum</v>
      </c>
    </row>
    <row r="484" spans="1:14" x14ac:dyDescent="0.35">
      <c r="A484" t="s">
        <v>420</v>
      </c>
      <c r="B484" s="3">
        <v>44993</v>
      </c>
      <c r="C484" t="s">
        <v>2401</v>
      </c>
      <c r="D484" t="s">
        <v>5841</v>
      </c>
      <c r="E484">
        <v>1</v>
      </c>
      <c r="F484" t="str">
        <f>_xlfn.XLOOKUP(C484,customers!$A$1:$A$983,customers!$B$1:$B$983,,0)</f>
        <v>Brian Adams</v>
      </c>
      <c r="G484" t="str">
        <f>_xlfn.XLOOKUP(C484,customers!$A:$A,customers!$C:$C,,0)</f>
        <v>brian.adams425@yahoo.com</v>
      </c>
      <c r="H484" t="str">
        <f>IF(_xlfn.XLOOKUP(C484,customers!$A:$A,customers!$G:$G,,0)=0,"",_xlfn.XLOOKUP(C484,customers!$A:$A,customers!$G:$G,,0))</f>
        <v>Pakistan</v>
      </c>
      <c r="I484" t="str">
        <f>IF(_xlfn.XLOOKUP(D484,product!$A:$A,product!$E:$E,,0)=0,"",_xlfn.XLOOKUP(D484,product!$A:$A,product!$E:$E,,0))</f>
        <v>BUSINESS</v>
      </c>
      <c r="J484" s="5">
        <f>IF(_xlfn.XLOOKUP(D484,product!$A:$A,product!$D:$D,,0)=0,"",_xlfn.XLOOKUP(D484,product!$A:$A,product!$D:$D,,0))</f>
        <v>31.46</v>
      </c>
      <c r="K484" s="7">
        <f t="shared" si="7"/>
        <v>31.46</v>
      </c>
      <c r="L484" s="10" t="str">
        <f>IF(_xlfn.XLOOKUP(D484,product!$A:$A,product!$F:$F,,0)=0,"",_xlfn.XLOOKUP(D484,product!$A:$A,product!$F:$F,,0))</f>
        <v>Yes</v>
      </c>
      <c r="M484" t="str">
        <f>IF(_xlfn.XLOOKUP(D484,product!$A:$A,product!G:G,,0)=0,"",_xlfn.XLOOKUP(D484,product!$A:$A,product!G:G,,0))</f>
        <v>None</v>
      </c>
      <c r="N484" t="str">
        <f>IF(_xlfn.XLOOKUP(D484,product!$A:$A,product!$B:$B,,0)=0,"",_xlfn.XLOOKUP(D484,product!$A:$A,product!$B:$B,,0))</f>
        <v>Mind Quantum</v>
      </c>
    </row>
    <row r="485" spans="1:14" x14ac:dyDescent="0.35">
      <c r="A485" t="s">
        <v>437</v>
      </c>
      <c r="B485" s="3">
        <v>45346</v>
      </c>
      <c r="C485" t="s">
        <v>3251</v>
      </c>
      <c r="D485" t="s">
        <v>5842</v>
      </c>
      <c r="E485">
        <v>1</v>
      </c>
      <c r="F485" t="str">
        <f>_xlfn.XLOOKUP(C485,customers!$A$1:$A$983,customers!$B$1:$B$983,,0)</f>
        <v>Jessica Hall</v>
      </c>
      <c r="G485" t="str">
        <f>_xlfn.XLOOKUP(C485,customers!$A:$A,customers!$C:$C,,0)</f>
        <v>jessica.hall839@gmail.com</v>
      </c>
      <c r="H485" t="str">
        <f>IF(_xlfn.XLOOKUP(C485,customers!$A:$A,customers!$G:$G,,0)=0,"",_xlfn.XLOOKUP(C485,customers!$A:$A,customers!$G:$G,,0))</f>
        <v>Costa Rica</v>
      </c>
      <c r="I485" t="str">
        <f>IF(_xlfn.XLOOKUP(D485,product!$A:$A,product!$E:$E,,0)=0,"",_xlfn.XLOOKUP(D485,product!$A:$A,product!$E:$E,,0))</f>
        <v>HISTORY</v>
      </c>
      <c r="J485" s="5">
        <f>IF(_xlfn.XLOOKUP(D485,product!$A:$A,product!$D:$D,,0)=0,"",_xlfn.XLOOKUP(D485,product!$A:$A,product!$D:$D,,0))</f>
        <v>21.97</v>
      </c>
      <c r="K485" s="7">
        <f t="shared" si="7"/>
        <v>21.97</v>
      </c>
      <c r="L485" s="10" t="str">
        <f>IF(_xlfn.XLOOKUP(D485,product!$A:$A,product!$F:$F,,0)=0,"",_xlfn.XLOOKUP(D485,product!$A:$A,product!$F:$F,,0))</f>
        <v>No</v>
      </c>
      <c r="M485" t="str">
        <f>IF(_xlfn.XLOOKUP(D485,product!$A:$A,product!G:G,,0)=0,"",_xlfn.XLOOKUP(D485,product!$A:$A,product!G:G,,0))</f>
        <v>Silver</v>
      </c>
      <c r="N485" t="str">
        <f>IF(_xlfn.XLOOKUP(D485,product!$A:$A,product!$B:$B,,0)=0,"",_xlfn.XLOOKUP(D485,product!$A:$A,product!$B:$B,,0))</f>
        <v>Secrets Silent</v>
      </c>
    </row>
    <row r="486" spans="1:14" x14ac:dyDescent="0.35">
      <c r="A486" t="s">
        <v>454</v>
      </c>
      <c r="B486" s="3">
        <v>45165</v>
      </c>
      <c r="C486" t="s">
        <v>2583</v>
      </c>
      <c r="D486" t="s">
        <v>5843</v>
      </c>
      <c r="E486">
        <v>1</v>
      </c>
      <c r="F486" t="str">
        <f>_xlfn.XLOOKUP(C486,customers!$A$1:$A$983,customers!$B$1:$B$983,,0)</f>
        <v>James Green</v>
      </c>
      <c r="G486" t="str">
        <f>_xlfn.XLOOKUP(C486,customers!$A:$A,customers!$C:$C,,0)</f>
        <v>james.green512@yahoo.com</v>
      </c>
      <c r="H486" t="str">
        <f>IF(_xlfn.XLOOKUP(C486,customers!$A:$A,customers!$G:$G,,0)=0,"",_xlfn.XLOOKUP(C486,customers!$A:$A,customers!$G:$G,,0))</f>
        <v>Spain</v>
      </c>
      <c r="I486" t="str">
        <f>IF(_xlfn.XLOOKUP(D486,product!$A:$A,product!$E:$E,,0)=0,"",_xlfn.XLOOKUP(D486,product!$A:$A,product!$E:$E,,0))</f>
        <v>BUSINESS</v>
      </c>
      <c r="J486" s="5">
        <f>IF(_xlfn.XLOOKUP(D486,product!$A:$A,product!$D:$D,,0)=0,"",_xlfn.XLOOKUP(D486,product!$A:$A,product!$D:$D,,0))</f>
        <v>33.5</v>
      </c>
      <c r="K486" s="7">
        <f t="shared" si="7"/>
        <v>33.5</v>
      </c>
      <c r="L486" s="10" t="str">
        <f>IF(_xlfn.XLOOKUP(D486,product!$A:$A,product!$F:$F,,0)=0,"",_xlfn.XLOOKUP(D486,product!$A:$A,product!$F:$F,,0))</f>
        <v>Yes</v>
      </c>
      <c r="M486" t="str">
        <f>IF(_xlfn.XLOOKUP(D486,product!$A:$A,product!G:G,,0)=0,"",_xlfn.XLOOKUP(D486,product!$A:$A,product!G:G,,0))</f>
        <v>None</v>
      </c>
      <c r="N486" t="str">
        <f>IF(_xlfn.XLOOKUP(D486,product!$A:$A,product!$B:$B,,0)=0,"",_xlfn.XLOOKUP(D486,product!$A:$A,product!$B:$B,,0))</f>
        <v>Mind Science</v>
      </c>
    </row>
    <row r="487" spans="1:14" x14ac:dyDescent="0.35">
      <c r="A487" t="s">
        <v>471</v>
      </c>
      <c r="B487" s="3">
        <v>45420</v>
      </c>
      <c r="C487" t="s">
        <v>3309</v>
      </c>
      <c r="D487" t="s">
        <v>5844</v>
      </c>
      <c r="E487">
        <v>1</v>
      </c>
      <c r="F487" t="str">
        <f>_xlfn.XLOOKUP(C487,customers!$A$1:$A$983,customers!$B$1:$B$983,,0)</f>
        <v>Peter Johnson</v>
      </c>
      <c r="G487" t="str">
        <f>_xlfn.XLOOKUP(C487,customers!$A:$A,customers!$C:$C,,0)</f>
        <v>peter.johnson868@hotmail.com</v>
      </c>
      <c r="H487" t="str">
        <f>IF(_xlfn.XLOOKUP(C487,customers!$A:$A,customers!$G:$G,,0)=0,"",_xlfn.XLOOKUP(C487,customers!$A:$A,customers!$G:$G,,0))</f>
        <v>Pakistan</v>
      </c>
      <c r="I487" t="str">
        <f>IF(_xlfn.XLOOKUP(D487,product!$A:$A,product!$E:$E,,0)=0,"",_xlfn.XLOOKUP(D487,product!$A:$A,product!$E:$E,,0))</f>
        <v>BUSINESS</v>
      </c>
      <c r="J487" s="5">
        <f>IF(_xlfn.XLOOKUP(D487,product!$A:$A,product!$D:$D,,0)=0,"",_xlfn.XLOOKUP(D487,product!$A:$A,product!$D:$D,,0))</f>
        <v>38.75</v>
      </c>
      <c r="K487" s="7">
        <f t="shared" si="7"/>
        <v>38.75</v>
      </c>
      <c r="L487" s="10" t="str">
        <f>IF(_xlfn.XLOOKUP(D487,product!$A:$A,product!$F:$F,,0)=0,"",_xlfn.XLOOKUP(D487,product!$A:$A,product!$F:$F,,0))</f>
        <v>Yes</v>
      </c>
      <c r="M487" t="str">
        <f>IF(_xlfn.XLOOKUP(D487,product!$A:$A,product!G:G,,0)=0,"",_xlfn.XLOOKUP(D487,product!$A:$A,product!G:G,,0))</f>
        <v>None</v>
      </c>
      <c r="N487" t="str">
        <f>IF(_xlfn.XLOOKUP(D487,product!$A:$A,product!$B:$B,,0)=0,"",_xlfn.XLOOKUP(D487,product!$A:$A,product!$B:$B,,0))</f>
        <v>Science Forest</v>
      </c>
    </row>
    <row r="488" spans="1:14" x14ac:dyDescent="0.35">
      <c r="A488" t="s">
        <v>488</v>
      </c>
      <c r="B488" s="3">
        <v>45243</v>
      </c>
      <c r="C488" t="s">
        <v>2949</v>
      </c>
      <c r="D488" t="s">
        <v>5845</v>
      </c>
      <c r="E488">
        <v>1</v>
      </c>
      <c r="F488" t="str">
        <f>_xlfn.XLOOKUP(C488,customers!$A$1:$A$983,customers!$B$1:$B$983,,0)</f>
        <v>Lily Young</v>
      </c>
      <c r="G488" t="str">
        <f>_xlfn.XLOOKUP(C488,customers!$A:$A,customers!$C:$C,,0)</f>
        <v>lily.young689@yahoo.com</v>
      </c>
      <c r="H488" t="str">
        <f>IF(_xlfn.XLOOKUP(C488,customers!$A:$A,customers!$G:$G,,0)=0,"",_xlfn.XLOOKUP(C488,customers!$A:$A,customers!$G:$G,,0))</f>
        <v>Egypt</v>
      </c>
      <c r="I488" t="str">
        <f>IF(_xlfn.XLOOKUP(D488,product!$A:$A,product!$E:$E,,0)=0,"",_xlfn.XLOOKUP(D488,product!$A:$A,product!$E:$E,,0))</f>
        <v>TECH</v>
      </c>
      <c r="J488" s="5">
        <f>IF(_xlfn.XLOOKUP(D488,product!$A:$A,product!$D:$D,,0)=0,"",_xlfn.XLOOKUP(D488,product!$A:$A,product!$D:$D,,0))</f>
        <v>10.02</v>
      </c>
      <c r="K488" s="7">
        <f t="shared" si="7"/>
        <v>10.02</v>
      </c>
      <c r="L488" s="10" t="str">
        <f>IF(_xlfn.XLOOKUP(D488,product!$A:$A,product!$F:$F,,0)=0,"",_xlfn.XLOOKUP(D488,product!$A:$A,product!$F:$F,,0))</f>
        <v>No</v>
      </c>
      <c r="M488" t="str">
        <f>IF(_xlfn.XLOOKUP(D488,product!$A:$A,product!G:G,,0)=0,"",_xlfn.XLOOKUP(D488,product!$A:$A,product!G:G,,0))</f>
        <v>None</v>
      </c>
      <c r="N488" t="str">
        <f>IF(_xlfn.XLOOKUP(D488,product!$A:$A,product!$B:$B,,0)=0,"",_xlfn.XLOOKUP(D488,product!$A:$A,product!$B:$B,,0))</f>
        <v>Science Journey</v>
      </c>
    </row>
    <row r="489" spans="1:14" x14ac:dyDescent="0.35">
      <c r="A489" t="s">
        <v>505</v>
      </c>
      <c r="B489" s="3">
        <v>45500</v>
      </c>
      <c r="C489" t="s">
        <v>2665</v>
      </c>
      <c r="D489" t="s">
        <v>5846</v>
      </c>
      <c r="E489">
        <v>1</v>
      </c>
      <c r="F489" t="str">
        <f>_xlfn.XLOOKUP(C489,customers!$A$1:$A$983,customers!$B$1:$B$983,,0)</f>
        <v>Sophia Green</v>
      </c>
      <c r="G489" t="str">
        <f>_xlfn.XLOOKUP(C489,customers!$A:$A,customers!$C:$C,,0)</f>
        <v>sophia.green551@outlook.com</v>
      </c>
      <c r="H489" t="str">
        <f>IF(_xlfn.XLOOKUP(C489,customers!$A:$A,customers!$G:$G,,0)=0,"",_xlfn.XLOOKUP(C489,customers!$A:$A,customers!$G:$G,,0))</f>
        <v>Pakistan</v>
      </c>
      <c r="I489" t="str">
        <f>IF(_xlfn.XLOOKUP(D489,product!$A:$A,product!$E:$E,,0)=0,"",_xlfn.XLOOKUP(D489,product!$A:$A,product!$E:$E,,0))</f>
        <v>SCIENCE</v>
      </c>
      <c r="J489" s="5">
        <f>IF(_xlfn.XLOOKUP(D489,product!$A:$A,product!$D:$D,,0)=0,"",_xlfn.XLOOKUP(D489,product!$A:$A,product!$D:$D,,0))</f>
        <v>17.03</v>
      </c>
      <c r="K489" s="7">
        <f t="shared" si="7"/>
        <v>17.03</v>
      </c>
      <c r="L489" s="10" t="str">
        <f>IF(_xlfn.XLOOKUP(D489,product!$A:$A,product!$F:$F,,0)=0,"",_xlfn.XLOOKUP(D489,product!$A:$A,product!$F:$F,,0))</f>
        <v>Yes</v>
      </c>
      <c r="M489" t="str">
        <f>IF(_xlfn.XLOOKUP(D489,product!$A:$A,product!G:G,,0)=0,"",_xlfn.XLOOKUP(D489,product!$A:$A,product!G:G,,0))</f>
        <v>None</v>
      </c>
      <c r="N489" t="str">
        <f>IF(_xlfn.XLOOKUP(D489,product!$A:$A,product!$B:$B,,0)=0,"",_xlfn.XLOOKUP(D489,product!$A:$A,product!$B:$B,,0))</f>
        <v>Power Future</v>
      </c>
    </row>
    <row r="490" spans="1:14" x14ac:dyDescent="0.35">
      <c r="A490" t="s">
        <v>522</v>
      </c>
      <c r="B490" s="3">
        <v>45084</v>
      </c>
      <c r="C490" t="s">
        <v>1771</v>
      </c>
      <c r="D490" t="s">
        <v>5847</v>
      </c>
      <c r="E490">
        <v>1</v>
      </c>
      <c r="F490" t="str">
        <f>_xlfn.XLOOKUP(C490,customers!$A$1:$A$983,customers!$B$1:$B$983,,0)</f>
        <v>David Anderson</v>
      </c>
      <c r="G490" t="str">
        <f>_xlfn.XLOOKUP(C490,customers!$A:$A,customers!$C:$C,,0)</f>
        <v>david.anderson190@yahoo.com</v>
      </c>
      <c r="H490" t="str">
        <f>IF(_xlfn.XLOOKUP(C490,customers!$A:$A,customers!$G:$G,,0)=0,"",_xlfn.XLOOKUP(C490,customers!$A:$A,customers!$G:$G,,0))</f>
        <v>USA</v>
      </c>
      <c r="I490" t="str">
        <f>IF(_xlfn.XLOOKUP(D490,product!$A:$A,product!$E:$E,,0)=0,"",_xlfn.XLOOKUP(D490,product!$A:$A,product!$E:$E,,0))</f>
        <v>TECH</v>
      </c>
      <c r="J490" s="5">
        <f>IF(_xlfn.XLOOKUP(D490,product!$A:$A,product!$D:$D,,0)=0,"",_xlfn.XLOOKUP(D490,product!$A:$A,product!$D:$D,,0))</f>
        <v>28.46</v>
      </c>
      <c r="K490" s="7">
        <f t="shared" si="7"/>
        <v>28.46</v>
      </c>
      <c r="L490" s="10" t="str">
        <f>IF(_xlfn.XLOOKUP(D490,product!$A:$A,product!$F:$F,,0)=0,"",_xlfn.XLOOKUP(D490,product!$A:$A,product!$F:$F,,0))</f>
        <v>No</v>
      </c>
      <c r="M490" t="str">
        <f>IF(_xlfn.XLOOKUP(D490,product!$A:$A,product!G:G,,0)=0,"",_xlfn.XLOOKUP(D490,product!$A:$A,product!G:G,,0))</f>
        <v>Silver</v>
      </c>
      <c r="N490" t="str">
        <f>IF(_xlfn.XLOOKUP(D490,product!$A:$A,product!$B:$B,,0)=0,"",_xlfn.XLOOKUP(D490,product!$A:$A,product!$B:$B,,0))</f>
        <v>Power Data</v>
      </c>
    </row>
    <row r="491" spans="1:14" x14ac:dyDescent="0.35">
      <c r="A491" t="s">
        <v>539</v>
      </c>
      <c r="B491" s="3">
        <v>45543</v>
      </c>
      <c r="C491" t="s">
        <v>1962</v>
      </c>
      <c r="D491" t="s">
        <v>5848</v>
      </c>
      <c r="E491">
        <v>1</v>
      </c>
      <c r="F491" t="str">
        <f>_xlfn.XLOOKUP(C491,customers!$A$1:$A$983,customers!$B$1:$B$983,,0)</f>
        <v>Hannah King</v>
      </c>
      <c r="G491" t="str">
        <f>_xlfn.XLOOKUP(C491,customers!$A:$A,customers!$C:$C,,0)</f>
        <v>hannah.king248@outlook.com</v>
      </c>
      <c r="H491" t="str">
        <f>IF(_xlfn.XLOOKUP(C491,customers!$A:$A,customers!$G:$G,,0)=0,"",_xlfn.XLOOKUP(C491,customers!$A:$A,customers!$G:$G,,0))</f>
        <v>Egypt</v>
      </c>
      <c r="I491" t="str">
        <f>IF(_xlfn.XLOOKUP(D491,product!$A:$A,product!$E:$E,,0)=0,"",_xlfn.XLOOKUP(D491,product!$A:$A,product!$E:$E,,0))</f>
        <v>BUSINESS</v>
      </c>
      <c r="J491" s="5">
        <f>IF(_xlfn.XLOOKUP(D491,product!$A:$A,product!$D:$D,,0)=0,"",_xlfn.XLOOKUP(D491,product!$A:$A,product!$D:$D,,0))</f>
        <v>18.850000000000001</v>
      </c>
      <c r="K491" s="7">
        <f t="shared" si="7"/>
        <v>18.850000000000001</v>
      </c>
      <c r="L491" s="10" t="str">
        <f>IF(_xlfn.XLOOKUP(D491,product!$A:$A,product!$F:$F,,0)=0,"",_xlfn.XLOOKUP(D491,product!$A:$A,product!$F:$F,,0))</f>
        <v>No</v>
      </c>
      <c r="M491" t="str">
        <f>IF(_xlfn.XLOOKUP(D491,product!$A:$A,product!G:G,,0)=0,"",_xlfn.XLOOKUP(D491,product!$A:$A,product!G:G,,0))</f>
        <v>Silver</v>
      </c>
      <c r="N491" t="str">
        <f>IF(_xlfn.XLOOKUP(D491,product!$A:$A,product!$B:$B,,0)=0,"",_xlfn.XLOOKUP(D491,product!$A:$A,product!$B:$B,,0))</f>
        <v>Journey Quantum</v>
      </c>
    </row>
    <row r="492" spans="1:14" x14ac:dyDescent="0.35">
      <c r="A492" t="s">
        <v>556</v>
      </c>
      <c r="B492" s="3">
        <v>45038</v>
      </c>
      <c r="C492" t="s">
        <v>3382</v>
      </c>
      <c r="D492" t="s">
        <v>5849</v>
      </c>
      <c r="E492">
        <v>1</v>
      </c>
      <c r="F492" t="str">
        <f>_xlfn.XLOOKUP(C492,customers!$A$1:$A$983,customers!$B$1:$B$983,,0)</f>
        <v>Brian Robinson</v>
      </c>
      <c r="G492" t="str">
        <f>_xlfn.XLOOKUP(C492,customers!$A:$A,customers!$C:$C,,0)</f>
        <v>brian.robinson905@outlook.com</v>
      </c>
      <c r="H492" t="str">
        <f>IF(_xlfn.XLOOKUP(C492,customers!$A:$A,customers!$G:$G,,0)=0,"",_xlfn.XLOOKUP(C492,customers!$A:$A,customers!$G:$G,,0))</f>
        <v>Japan</v>
      </c>
      <c r="I492" t="str">
        <f>IF(_xlfn.XLOOKUP(D492,product!$A:$A,product!$E:$E,,0)=0,"",_xlfn.XLOOKUP(D492,product!$A:$A,product!$E:$E,,0))</f>
        <v>BUSINESS</v>
      </c>
      <c r="J492" s="5">
        <f>IF(_xlfn.XLOOKUP(D492,product!$A:$A,product!$D:$D,,0)=0,"",_xlfn.XLOOKUP(D492,product!$A:$A,product!$D:$D,,0))</f>
        <v>18.829999999999998</v>
      </c>
      <c r="K492" s="7">
        <f t="shared" si="7"/>
        <v>18.829999999999998</v>
      </c>
      <c r="L492" s="10" t="str">
        <f>IF(_xlfn.XLOOKUP(D492,product!$A:$A,product!$F:$F,,0)=0,"",_xlfn.XLOOKUP(D492,product!$A:$A,product!$F:$F,,0))</f>
        <v>Yes</v>
      </c>
      <c r="M492" t="str">
        <f>IF(_xlfn.XLOOKUP(D492,product!$A:$A,product!G:G,,0)=0,"",_xlfn.XLOOKUP(D492,product!$A:$A,product!G:G,,0))</f>
        <v>Silver</v>
      </c>
      <c r="N492" t="str">
        <f>IF(_xlfn.XLOOKUP(D492,product!$A:$A,product!$B:$B,,0)=0,"",_xlfn.XLOOKUP(D492,product!$A:$A,product!$B:$B,,0))</f>
        <v>Silent Journey</v>
      </c>
    </row>
    <row r="493" spans="1:14" x14ac:dyDescent="0.35">
      <c r="A493" t="s">
        <v>573</v>
      </c>
      <c r="B493" s="3">
        <v>45314</v>
      </c>
      <c r="C493" t="s">
        <v>1319</v>
      </c>
      <c r="D493" t="s">
        <v>5850</v>
      </c>
      <c r="E493">
        <v>1</v>
      </c>
      <c r="F493" t="str">
        <f>_xlfn.XLOOKUP(C493,customers!$A$1:$A$983,customers!$B$1:$B$983,,0)</f>
        <v>Emily Smith</v>
      </c>
      <c r="G493" t="str">
        <f>_xlfn.XLOOKUP(C493,customers!$A:$A,customers!$C:$C,,0)</f>
        <v>emily.smith69@yahoo.com</v>
      </c>
      <c r="H493" t="str">
        <f>IF(_xlfn.XLOOKUP(C493,customers!$A:$A,customers!$G:$G,,0)=0,"",_xlfn.XLOOKUP(C493,customers!$A:$A,customers!$G:$G,,0))</f>
        <v>Spain</v>
      </c>
      <c r="I493" t="str">
        <f>IF(_xlfn.XLOOKUP(D493,product!$A:$A,product!$E:$E,,0)=0,"",_xlfn.XLOOKUP(D493,product!$A:$A,product!$E:$E,,0))</f>
        <v>HISTORY</v>
      </c>
      <c r="J493" s="5">
        <f>IF(_xlfn.XLOOKUP(D493,product!$A:$A,product!$D:$D,,0)=0,"",_xlfn.XLOOKUP(D493,product!$A:$A,product!$D:$D,,0))</f>
        <v>27.21</v>
      </c>
      <c r="K493" s="7">
        <f t="shared" si="7"/>
        <v>27.21</v>
      </c>
      <c r="L493" s="10" t="str">
        <f>IF(_xlfn.XLOOKUP(D493,product!$A:$A,product!$F:$F,,0)=0,"",_xlfn.XLOOKUP(D493,product!$A:$A,product!$F:$F,,0))</f>
        <v>No</v>
      </c>
      <c r="M493" t="str">
        <f>IF(_xlfn.XLOOKUP(D493,product!$A:$A,product!G:G,,0)=0,"",_xlfn.XLOOKUP(D493,product!$A:$A,product!G:G,,0))</f>
        <v>Gold</v>
      </c>
      <c r="N493" t="str">
        <f>IF(_xlfn.XLOOKUP(D493,product!$A:$A,product!$B:$B,,0)=0,"",_xlfn.XLOOKUP(D493,product!$A:$A,product!$B:$B,,0))</f>
        <v>Quantum Secrets</v>
      </c>
    </row>
    <row r="494" spans="1:14" x14ac:dyDescent="0.35">
      <c r="A494" t="s">
        <v>590</v>
      </c>
      <c r="B494" s="3">
        <v>45204</v>
      </c>
      <c r="C494" t="s">
        <v>2326</v>
      </c>
      <c r="D494" t="s">
        <v>5851</v>
      </c>
      <c r="E494">
        <v>1</v>
      </c>
      <c r="F494" t="str">
        <f>_xlfn.XLOOKUP(C494,customers!$A$1:$A$983,customers!$B$1:$B$983,,0)</f>
        <v>Brian King</v>
      </c>
      <c r="G494" t="str">
        <f>_xlfn.XLOOKUP(C494,customers!$A:$A,customers!$C:$C,,0)</f>
        <v>brian.king391@gmail.com</v>
      </c>
      <c r="H494" t="str">
        <f>IF(_xlfn.XLOOKUP(C494,customers!$A:$A,customers!$G:$G,,0)=0,"",_xlfn.XLOOKUP(C494,customers!$A:$A,customers!$G:$G,,0))</f>
        <v>Sweden</v>
      </c>
      <c r="I494" t="str">
        <f>IF(_xlfn.XLOOKUP(D494,product!$A:$A,product!$E:$E,,0)=0,"",_xlfn.XLOOKUP(D494,product!$A:$A,product!$E:$E,,0))</f>
        <v>FICTION</v>
      </c>
      <c r="J494" s="5">
        <f>IF(_xlfn.XLOOKUP(D494,product!$A:$A,product!$D:$D,,0)=0,"",_xlfn.XLOOKUP(D494,product!$A:$A,product!$D:$D,,0))</f>
        <v>37.49</v>
      </c>
      <c r="K494" s="7">
        <f t="shared" si="7"/>
        <v>37.49</v>
      </c>
      <c r="L494" s="10" t="str">
        <f>IF(_xlfn.XLOOKUP(D494,product!$A:$A,product!$F:$F,,0)=0,"",_xlfn.XLOOKUP(D494,product!$A:$A,product!$F:$F,,0))</f>
        <v>No</v>
      </c>
      <c r="M494" t="str">
        <f>IF(_xlfn.XLOOKUP(D494,product!$A:$A,product!G:G,,0)=0,"",_xlfn.XLOOKUP(D494,product!$A:$A,product!G:G,,0))</f>
        <v>Platinum</v>
      </c>
      <c r="N494" t="str">
        <f>IF(_xlfn.XLOOKUP(D494,product!$A:$A,product!$B:$B,,0)=0,"",_xlfn.XLOOKUP(D494,product!$A:$A,product!$B:$B,,0))</f>
        <v>Journey Forest</v>
      </c>
    </row>
    <row r="495" spans="1:14" x14ac:dyDescent="0.35">
      <c r="A495" t="s">
        <v>607</v>
      </c>
      <c r="B495" s="3">
        <v>45623</v>
      </c>
      <c r="C495" t="s">
        <v>3198</v>
      </c>
      <c r="D495" t="s">
        <v>5852</v>
      </c>
      <c r="E495">
        <v>1</v>
      </c>
      <c r="F495" t="str">
        <f>_xlfn.XLOOKUP(C495,customers!$A$1:$A$983,customers!$B$1:$B$983,,0)</f>
        <v>Hannah Wright</v>
      </c>
      <c r="G495" t="str">
        <f>_xlfn.XLOOKUP(C495,customers!$A:$A,customers!$C:$C,,0)</f>
        <v>hannah.wright812@outlook.com</v>
      </c>
      <c r="H495" t="str">
        <f>IF(_xlfn.XLOOKUP(C495,customers!$A:$A,customers!$G:$G,,0)=0,"",_xlfn.XLOOKUP(C495,customers!$A:$A,customers!$G:$G,,0))</f>
        <v>Sudan</v>
      </c>
      <c r="I495" t="str">
        <f>IF(_xlfn.XLOOKUP(D495,product!$A:$A,product!$E:$E,,0)=0,"",_xlfn.XLOOKUP(D495,product!$A:$A,product!$E:$E,,0))</f>
        <v>BUSINESS</v>
      </c>
      <c r="J495" s="5">
        <f>IF(_xlfn.XLOOKUP(D495,product!$A:$A,product!$D:$D,,0)=0,"",_xlfn.XLOOKUP(D495,product!$A:$A,product!$D:$D,,0))</f>
        <v>21.1</v>
      </c>
      <c r="K495" s="7">
        <f t="shared" si="7"/>
        <v>21.1</v>
      </c>
      <c r="L495" s="10" t="str">
        <f>IF(_xlfn.XLOOKUP(D495,product!$A:$A,product!$F:$F,,0)=0,"",_xlfn.XLOOKUP(D495,product!$A:$A,product!$F:$F,,0))</f>
        <v>Yes</v>
      </c>
      <c r="M495" t="str">
        <f>IF(_xlfn.XLOOKUP(D495,product!$A:$A,product!G:G,,0)=0,"",_xlfn.XLOOKUP(D495,product!$A:$A,product!G:G,,0))</f>
        <v>None</v>
      </c>
      <c r="N495" t="str">
        <f>IF(_xlfn.XLOOKUP(D495,product!$A:$A,product!$B:$B,,0)=0,"",_xlfn.XLOOKUP(D495,product!$A:$A,product!$B:$B,,0))</f>
        <v>Secrets Data</v>
      </c>
    </row>
    <row r="496" spans="1:14" x14ac:dyDescent="0.35">
      <c r="A496" t="s">
        <v>624</v>
      </c>
      <c r="B496" s="3">
        <v>45274</v>
      </c>
      <c r="C496" t="s">
        <v>1926</v>
      </c>
      <c r="D496" t="s">
        <v>5853</v>
      </c>
      <c r="E496">
        <v>1</v>
      </c>
      <c r="F496" t="str">
        <f>_xlfn.XLOOKUP(C496,customers!$A$1:$A$983,customers!$B$1:$B$983,,0)</f>
        <v>Robert King</v>
      </c>
      <c r="G496" t="str">
        <f>_xlfn.XLOOKUP(C496,customers!$A:$A,customers!$C:$C,,0)</f>
        <v>robert.king237@outlook.com</v>
      </c>
      <c r="H496" t="str">
        <f>IF(_xlfn.XLOOKUP(C496,customers!$A:$A,customers!$G:$G,,0)=0,"",_xlfn.XLOOKUP(C496,customers!$A:$A,customers!$G:$G,,0))</f>
        <v>Japan</v>
      </c>
      <c r="I496" t="str">
        <f>IF(_xlfn.XLOOKUP(D496,product!$A:$A,product!$E:$E,,0)=0,"",_xlfn.XLOOKUP(D496,product!$A:$A,product!$E:$E,,0))</f>
        <v>BUSINESS</v>
      </c>
      <c r="J496" s="5">
        <f>IF(_xlfn.XLOOKUP(D496,product!$A:$A,product!$D:$D,,0)=0,"",_xlfn.XLOOKUP(D496,product!$A:$A,product!$D:$D,,0))</f>
        <v>30.65</v>
      </c>
      <c r="K496" s="7">
        <f t="shared" si="7"/>
        <v>30.65</v>
      </c>
      <c r="L496" s="10" t="str">
        <f>IF(_xlfn.XLOOKUP(D496,product!$A:$A,product!$F:$F,,0)=0,"",_xlfn.XLOOKUP(D496,product!$A:$A,product!$F:$F,,0))</f>
        <v>Yes</v>
      </c>
      <c r="M496" t="str">
        <f>IF(_xlfn.XLOOKUP(D496,product!$A:$A,product!G:G,,0)=0,"",_xlfn.XLOOKUP(D496,product!$A:$A,product!G:G,,0))</f>
        <v>None</v>
      </c>
      <c r="N496" t="str">
        <f>IF(_xlfn.XLOOKUP(D496,product!$A:$A,product!$B:$B,,0)=0,"",_xlfn.XLOOKUP(D496,product!$A:$A,product!$B:$B,,0))</f>
        <v>Future Forest</v>
      </c>
    </row>
    <row r="497" spans="1:14" x14ac:dyDescent="0.35">
      <c r="A497" t="s">
        <v>641</v>
      </c>
      <c r="B497" s="3">
        <v>45364</v>
      </c>
      <c r="C497" t="s">
        <v>2186</v>
      </c>
      <c r="D497" t="s">
        <v>5854</v>
      </c>
      <c r="E497">
        <v>1</v>
      </c>
      <c r="F497" t="str">
        <f>_xlfn.XLOOKUP(C497,customers!$A$1:$A$983,customers!$B$1:$B$983,,0)</f>
        <v>William Adams</v>
      </c>
      <c r="G497" t="str">
        <f>_xlfn.XLOOKUP(C497,customers!$A:$A,customers!$C:$C,,0)</f>
        <v>william.adams331@outlook.com</v>
      </c>
      <c r="H497" t="str">
        <f>IF(_xlfn.XLOOKUP(C497,customers!$A:$A,customers!$G:$G,,0)=0,"",_xlfn.XLOOKUP(C497,customers!$A:$A,customers!$G:$G,,0))</f>
        <v>Japan</v>
      </c>
      <c r="I497" t="str">
        <f>IF(_xlfn.XLOOKUP(D497,product!$A:$A,product!$E:$E,,0)=0,"",_xlfn.XLOOKUP(D497,product!$A:$A,product!$E:$E,,0))</f>
        <v>SCIENCE</v>
      </c>
      <c r="J497" s="5">
        <f>IF(_xlfn.XLOOKUP(D497,product!$A:$A,product!$D:$D,,0)=0,"",_xlfn.XLOOKUP(D497,product!$A:$A,product!$D:$D,,0))</f>
        <v>22.89</v>
      </c>
      <c r="K497" s="7">
        <f t="shared" si="7"/>
        <v>22.89</v>
      </c>
      <c r="L497" s="10" t="str">
        <f>IF(_xlfn.XLOOKUP(D497,product!$A:$A,product!$F:$F,,0)=0,"",_xlfn.XLOOKUP(D497,product!$A:$A,product!$F:$F,,0))</f>
        <v>Yes</v>
      </c>
      <c r="M497" t="str">
        <f>IF(_xlfn.XLOOKUP(D497,product!$A:$A,product!G:G,,0)=0,"",_xlfn.XLOOKUP(D497,product!$A:$A,product!G:G,,0))</f>
        <v>Silver</v>
      </c>
      <c r="N497" t="str">
        <f>IF(_xlfn.XLOOKUP(D497,product!$A:$A,product!$B:$B,,0)=0,"",_xlfn.XLOOKUP(D497,product!$A:$A,product!$B:$B,,0))</f>
        <v>Forest Quantum</v>
      </c>
    </row>
    <row r="498" spans="1:14" x14ac:dyDescent="0.35">
      <c r="A498" t="s">
        <v>658</v>
      </c>
      <c r="B498" s="3">
        <v>44974</v>
      </c>
      <c r="C498" t="s">
        <v>3376</v>
      </c>
      <c r="D498" t="s">
        <v>5855</v>
      </c>
      <c r="E498">
        <v>1</v>
      </c>
      <c r="F498" t="str">
        <f>_xlfn.XLOOKUP(C498,customers!$A$1:$A$983,customers!$B$1:$B$983,,0)</f>
        <v>Thomas Thomas</v>
      </c>
      <c r="G498" t="str">
        <f>_xlfn.XLOOKUP(C498,customers!$A:$A,customers!$C:$C,,0)</f>
        <v>thomas.thomas902@outlook.com</v>
      </c>
      <c r="H498" t="str">
        <f>IF(_xlfn.XLOOKUP(C498,customers!$A:$A,customers!$G:$G,,0)=0,"",_xlfn.XLOOKUP(C498,customers!$A:$A,customers!$G:$G,,0))</f>
        <v>India</v>
      </c>
      <c r="I498" t="str">
        <f>IF(_xlfn.XLOOKUP(D498,product!$A:$A,product!$E:$E,,0)=0,"",_xlfn.XLOOKUP(D498,product!$A:$A,product!$E:$E,,0))</f>
        <v>BUSINESS</v>
      </c>
      <c r="J498" s="5">
        <f>IF(_xlfn.XLOOKUP(D498,product!$A:$A,product!$D:$D,,0)=0,"",_xlfn.XLOOKUP(D498,product!$A:$A,product!$D:$D,,0))</f>
        <v>32.770000000000003</v>
      </c>
      <c r="K498" s="7">
        <f t="shared" si="7"/>
        <v>32.770000000000003</v>
      </c>
      <c r="L498" s="10" t="str">
        <f>IF(_xlfn.XLOOKUP(D498,product!$A:$A,product!$F:$F,,0)=0,"",_xlfn.XLOOKUP(D498,product!$A:$A,product!$F:$F,,0))</f>
        <v>No</v>
      </c>
      <c r="M498" t="str">
        <f>IF(_xlfn.XLOOKUP(D498,product!$A:$A,product!G:G,,0)=0,"",_xlfn.XLOOKUP(D498,product!$A:$A,product!G:G,,0))</f>
        <v>Gold</v>
      </c>
      <c r="N498" t="str">
        <f>IF(_xlfn.XLOOKUP(D498,product!$A:$A,product!$B:$B,,0)=0,"",_xlfn.XLOOKUP(D498,product!$A:$A,product!$B:$B,,0))</f>
        <v>Secrets Science</v>
      </c>
    </row>
    <row r="499" spans="1:14" x14ac:dyDescent="0.35">
      <c r="A499" t="s">
        <v>675</v>
      </c>
      <c r="B499" s="3">
        <v>45463</v>
      </c>
      <c r="C499" t="s">
        <v>2418</v>
      </c>
      <c r="D499" t="s">
        <v>5856</v>
      </c>
      <c r="E499">
        <v>1</v>
      </c>
      <c r="F499" t="str">
        <f>_xlfn.XLOOKUP(C499,customers!$A$1:$A$983,customers!$B$1:$B$983,,0)</f>
        <v>Emma King</v>
      </c>
      <c r="G499" t="str">
        <f>_xlfn.XLOOKUP(C499,customers!$A:$A,customers!$C:$C,,0)</f>
        <v>emma.king433@yahoo.com</v>
      </c>
      <c r="H499" t="str">
        <f>IF(_xlfn.XLOOKUP(C499,customers!$A:$A,customers!$G:$G,,0)=0,"",_xlfn.XLOOKUP(C499,customers!$A:$A,customers!$G:$G,,0))</f>
        <v>USA</v>
      </c>
      <c r="I499" t="str">
        <f>IF(_xlfn.XLOOKUP(D499,product!$A:$A,product!$E:$E,,0)=0,"",_xlfn.XLOOKUP(D499,product!$A:$A,product!$E:$E,,0))</f>
        <v>FICTION</v>
      </c>
      <c r="J499" s="5">
        <f>IF(_xlfn.XLOOKUP(D499,product!$A:$A,product!$D:$D,,0)=0,"",_xlfn.XLOOKUP(D499,product!$A:$A,product!$D:$D,,0))</f>
        <v>14.16</v>
      </c>
      <c r="K499" s="7">
        <f t="shared" si="7"/>
        <v>14.16</v>
      </c>
      <c r="L499" s="10" t="str">
        <f>IF(_xlfn.XLOOKUP(D499,product!$A:$A,product!$F:$F,,0)=0,"",_xlfn.XLOOKUP(D499,product!$A:$A,product!$F:$F,,0))</f>
        <v>Yes</v>
      </c>
      <c r="M499" t="str">
        <f>IF(_xlfn.XLOOKUP(D499,product!$A:$A,product!G:G,,0)=0,"",_xlfn.XLOOKUP(D499,product!$A:$A,product!G:G,,0))</f>
        <v>Silver</v>
      </c>
      <c r="N499" t="str">
        <f>IF(_xlfn.XLOOKUP(D499,product!$A:$A,product!$B:$B,,0)=0,"",_xlfn.XLOOKUP(D499,product!$A:$A,product!$B:$B,,0))</f>
        <v>Journey Mind</v>
      </c>
    </row>
    <row r="500" spans="1:14" x14ac:dyDescent="0.35">
      <c r="A500" t="s">
        <v>692</v>
      </c>
      <c r="B500" s="3">
        <v>45068</v>
      </c>
      <c r="C500" t="s">
        <v>2220</v>
      </c>
      <c r="D500" t="s">
        <v>5857</v>
      </c>
      <c r="E500">
        <v>1</v>
      </c>
      <c r="F500" t="str">
        <f>_xlfn.XLOOKUP(C500,customers!$A$1:$A$983,customers!$B$1:$B$983,,0)</f>
        <v>Emily Adams</v>
      </c>
      <c r="G500" t="str">
        <f>_xlfn.XLOOKUP(C500,customers!$A:$A,customers!$C:$C,,0)</f>
        <v>emily.adams345@gmail.com</v>
      </c>
      <c r="H500" t="str">
        <f>IF(_xlfn.XLOOKUP(C500,customers!$A:$A,customers!$G:$G,,0)=0,"",_xlfn.XLOOKUP(C500,customers!$A:$A,customers!$G:$G,,0))</f>
        <v>Japan</v>
      </c>
      <c r="I500" t="str">
        <f>IF(_xlfn.XLOOKUP(D500,product!$A:$A,product!$E:$E,,0)=0,"",_xlfn.XLOOKUP(D500,product!$A:$A,product!$E:$E,,0))</f>
        <v>SCIENCE</v>
      </c>
      <c r="J500" s="5">
        <f>IF(_xlfn.XLOOKUP(D500,product!$A:$A,product!$D:$D,,0)=0,"",_xlfn.XLOOKUP(D500,product!$A:$A,product!$D:$D,,0))</f>
        <v>20.21</v>
      </c>
      <c r="K500" s="7">
        <f t="shared" si="7"/>
        <v>20.21</v>
      </c>
      <c r="L500" s="10" t="str">
        <f>IF(_xlfn.XLOOKUP(D500,product!$A:$A,product!$F:$F,,0)=0,"",_xlfn.XLOOKUP(D500,product!$A:$A,product!$F:$F,,0))</f>
        <v>Yes</v>
      </c>
      <c r="M500" t="str">
        <f>IF(_xlfn.XLOOKUP(D500,product!$A:$A,product!G:G,,0)=0,"",_xlfn.XLOOKUP(D500,product!$A:$A,product!G:G,,0))</f>
        <v>Gold</v>
      </c>
      <c r="N500" t="str">
        <f>IF(_xlfn.XLOOKUP(D500,product!$A:$A,product!$B:$B,,0)=0,"",_xlfn.XLOOKUP(D500,product!$A:$A,product!$B:$B,,0))</f>
        <v>Mind Data</v>
      </c>
    </row>
    <row r="501" spans="1:14" x14ac:dyDescent="0.35">
      <c r="A501" t="s">
        <v>709</v>
      </c>
      <c r="B501" s="3">
        <v>45579</v>
      </c>
      <c r="C501" t="s">
        <v>1870</v>
      </c>
      <c r="D501" t="s">
        <v>5858</v>
      </c>
      <c r="E501">
        <v>1</v>
      </c>
      <c r="F501" t="str">
        <f>_xlfn.XLOOKUP(C501,customers!$A$1:$A$983,customers!$B$1:$B$983,,0)</f>
        <v>Steven Clark</v>
      </c>
      <c r="G501" t="str">
        <f>_xlfn.XLOOKUP(C501,customers!$A:$A,customers!$C:$C,,0)</f>
        <v>steven.clark220@outlook.com</v>
      </c>
      <c r="H501" t="str">
        <f>IF(_xlfn.XLOOKUP(C501,customers!$A:$A,customers!$G:$G,,0)=0,"",_xlfn.XLOOKUP(C501,customers!$A:$A,customers!$G:$G,,0))</f>
        <v>Sweden</v>
      </c>
      <c r="I501" t="str">
        <f>IF(_xlfn.XLOOKUP(D501,product!$A:$A,product!$E:$E,,0)=0,"",_xlfn.XLOOKUP(D501,product!$A:$A,product!$E:$E,,0))</f>
        <v>TECH</v>
      </c>
      <c r="J501" s="5">
        <f>IF(_xlfn.XLOOKUP(D501,product!$A:$A,product!$D:$D,,0)=0,"",_xlfn.XLOOKUP(D501,product!$A:$A,product!$D:$D,,0))</f>
        <v>27.19</v>
      </c>
      <c r="K501" s="7">
        <f t="shared" si="7"/>
        <v>27.19</v>
      </c>
      <c r="L501" s="10" t="str">
        <f>IF(_xlfn.XLOOKUP(D501,product!$A:$A,product!$F:$F,,0)=0,"",_xlfn.XLOOKUP(D501,product!$A:$A,product!$F:$F,,0))</f>
        <v>No</v>
      </c>
      <c r="M501" t="str">
        <f>IF(_xlfn.XLOOKUP(D501,product!$A:$A,product!G:G,,0)=0,"",_xlfn.XLOOKUP(D501,product!$A:$A,product!G:G,,0))</f>
        <v>Gold</v>
      </c>
      <c r="N501" t="str">
        <f>IF(_xlfn.XLOOKUP(D501,product!$A:$A,product!$B:$B,,0)=0,"",_xlfn.XLOOKUP(D501,product!$A:$A,product!$B:$B,,0))</f>
        <v>Power Science</v>
      </c>
    </row>
    <row r="502" spans="1:14" x14ac:dyDescent="0.35">
      <c r="A502" t="s">
        <v>726</v>
      </c>
      <c r="B502" s="3">
        <v>45108</v>
      </c>
      <c r="C502" t="s">
        <v>1183</v>
      </c>
      <c r="D502" t="s">
        <v>5859</v>
      </c>
      <c r="E502">
        <v>1</v>
      </c>
      <c r="F502" t="str">
        <f>_xlfn.XLOOKUP(C502,customers!$A$1:$A$983,customers!$B$1:$B$983,,0)</f>
        <v>Zoe Smith</v>
      </c>
      <c r="G502" t="str">
        <f>_xlfn.XLOOKUP(C502,customers!$A:$A,customers!$C:$C,,0)</f>
        <v>zoe.smith35@gmail.com</v>
      </c>
      <c r="H502" t="str">
        <f>IF(_xlfn.XLOOKUP(C502,customers!$A:$A,customers!$G:$G,,0)=0,"",_xlfn.XLOOKUP(C502,customers!$A:$A,customers!$G:$G,,0))</f>
        <v>Spain</v>
      </c>
      <c r="I502" t="str">
        <f>IF(_xlfn.XLOOKUP(D502,product!$A:$A,product!$E:$E,,0)=0,"",_xlfn.XLOOKUP(D502,product!$A:$A,product!$E:$E,,0))</f>
        <v>FICTION</v>
      </c>
      <c r="J502" s="5">
        <f>IF(_xlfn.XLOOKUP(D502,product!$A:$A,product!$D:$D,,0)=0,"",_xlfn.XLOOKUP(D502,product!$A:$A,product!$D:$D,,0))</f>
        <v>28.24</v>
      </c>
      <c r="K502" s="7">
        <f t="shared" si="7"/>
        <v>28.24</v>
      </c>
      <c r="L502" s="10" t="str">
        <f>IF(_xlfn.XLOOKUP(D502,product!$A:$A,product!$F:$F,,0)=0,"",_xlfn.XLOOKUP(D502,product!$A:$A,product!$F:$F,,0))</f>
        <v>Yes</v>
      </c>
      <c r="M502" t="str">
        <f>IF(_xlfn.XLOOKUP(D502,product!$A:$A,product!G:G,,0)=0,"",_xlfn.XLOOKUP(D502,product!$A:$A,product!G:G,,0))</f>
        <v>Gold</v>
      </c>
      <c r="N502" t="str">
        <f>IF(_xlfn.XLOOKUP(D502,product!$A:$A,product!$B:$B,,0)=0,"",_xlfn.XLOOKUP(D502,product!$A:$A,product!$B:$B,,0))</f>
        <v>Quantum Silent</v>
      </c>
    </row>
    <row r="503" spans="1:14" x14ac:dyDescent="0.35">
      <c r="A503" t="s">
        <v>743</v>
      </c>
      <c r="B503" s="3">
        <v>45522</v>
      </c>
      <c r="C503" t="s">
        <v>3449</v>
      </c>
      <c r="D503" t="s">
        <v>5860</v>
      </c>
      <c r="E503">
        <v>1</v>
      </c>
      <c r="F503" t="str">
        <f>_xlfn.XLOOKUP(C503,customers!$A$1:$A$983,customers!$B$1:$B$983,,0)</f>
        <v>Laura White</v>
      </c>
      <c r="G503" t="str">
        <f>_xlfn.XLOOKUP(C503,customers!$A:$A,customers!$C:$C,,0)</f>
        <v>laura.white939@outlook.com</v>
      </c>
      <c r="H503" t="str">
        <f>IF(_xlfn.XLOOKUP(C503,customers!$A:$A,customers!$G:$G,,0)=0,"",_xlfn.XLOOKUP(C503,customers!$A:$A,customers!$G:$G,,0))</f>
        <v>Germany</v>
      </c>
      <c r="I503" t="str">
        <f>IF(_xlfn.XLOOKUP(D503,product!$A:$A,product!$E:$E,,0)=0,"",_xlfn.XLOOKUP(D503,product!$A:$A,product!$E:$E,,0))</f>
        <v>TECH</v>
      </c>
      <c r="J503" s="5">
        <f>IF(_xlfn.XLOOKUP(D503,product!$A:$A,product!$D:$D,,0)=0,"",_xlfn.XLOOKUP(D503,product!$A:$A,product!$D:$D,,0))</f>
        <v>37.29</v>
      </c>
      <c r="K503" s="7">
        <f t="shared" si="7"/>
        <v>37.29</v>
      </c>
      <c r="L503" s="10" t="str">
        <f>IF(_xlfn.XLOOKUP(D503,product!$A:$A,product!$F:$F,,0)=0,"",_xlfn.XLOOKUP(D503,product!$A:$A,product!$F:$F,,0))</f>
        <v>No</v>
      </c>
      <c r="M503" t="str">
        <f>IF(_xlfn.XLOOKUP(D503,product!$A:$A,product!G:G,,0)=0,"",_xlfn.XLOOKUP(D503,product!$A:$A,product!G:G,,0))</f>
        <v>Platinum</v>
      </c>
      <c r="N503" t="str">
        <f>IF(_xlfn.XLOOKUP(D503,product!$A:$A,product!$B:$B,,0)=0,"",_xlfn.XLOOKUP(D503,product!$A:$A,product!$B:$B,,0))</f>
        <v>Forest Secrets</v>
      </c>
    </row>
    <row r="504" spans="1:14" x14ac:dyDescent="0.35">
      <c r="A504" t="s">
        <v>760</v>
      </c>
      <c r="B504" s="3">
        <v>44931</v>
      </c>
      <c r="C504" t="s">
        <v>2231</v>
      </c>
      <c r="D504" t="s">
        <v>5861</v>
      </c>
      <c r="E504">
        <v>1</v>
      </c>
      <c r="F504" t="str">
        <f>_xlfn.XLOOKUP(C504,customers!$A$1:$A$983,customers!$B$1:$B$983,,0)</f>
        <v>Emily Baker</v>
      </c>
      <c r="G504" t="str">
        <f>_xlfn.XLOOKUP(C504,customers!$A:$A,customers!$C:$C,,0)</f>
        <v>emily.baker350@hotmail.com</v>
      </c>
      <c r="H504" t="str">
        <f>IF(_xlfn.XLOOKUP(C504,customers!$A:$A,customers!$G:$G,,0)=0,"",_xlfn.XLOOKUP(C504,customers!$A:$A,customers!$G:$G,,0))</f>
        <v>Spain</v>
      </c>
      <c r="I504" t="str">
        <f>IF(_xlfn.XLOOKUP(D504,product!$A:$A,product!$E:$E,,0)=0,"",_xlfn.XLOOKUP(D504,product!$A:$A,product!$E:$E,,0))</f>
        <v>BUSINESS</v>
      </c>
      <c r="J504" s="5">
        <f>IF(_xlfn.XLOOKUP(D504,product!$A:$A,product!$D:$D,,0)=0,"",_xlfn.XLOOKUP(D504,product!$A:$A,product!$D:$D,,0))</f>
        <v>23.87</v>
      </c>
      <c r="K504" s="7">
        <f t="shared" si="7"/>
        <v>23.87</v>
      </c>
      <c r="L504" s="10" t="str">
        <f>IF(_xlfn.XLOOKUP(D504,product!$A:$A,product!$F:$F,,0)=0,"",_xlfn.XLOOKUP(D504,product!$A:$A,product!$F:$F,,0))</f>
        <v>No</v>
      </c>
      <c r="M504" t="str">
        <f>IF(_xlfn.XLOOKUP(D504,product!$A:$A,product!G:G,,0)=0,"",_xlfn.XLOOKUP(D504,product!$A:$A,product!G:G,,0))</f>
        <v>Silver</v>
      </c>
      <c r="N504" t="str">
        <f>IF(_xlfn.XLOOKUP(D504,product!$A:$A,product!$B:$B,,0)=0,"",_xlfn.XLOOKUP(D504,product!$A:$A,product!$B:$B,,0))</f>
        <v>Forest Science</v>
      </c>
    </row>
    <row r="505" spans="1:14" x14ac:dyDescent="0.35">
      <c r="A505" t="s">
        <v>777</v>
      </c>
      <c r="B505" s="3">
        <v>45410</v>
      </c>
      <c r="C505" t="s">
        <v>2633</v>
      </c>
      <c r="D505" t="s">
        <v>5862</v>
      </c>
      <c r="E505">
        <v>1</v>
      </c>
      <c r="F505" t="str">
        <f>_xlfn.XLOOKUP(C505,customers!$A$1:$A$983,customers!$B$1:$B$983,,0)</f>
        <v>Edward Rodriguez</v>
      </c>
      <c r="G505" t="str">
        <f>_xlfn.XLOOKUP(C505,customers!$A:$A,customers!$C:$C,,0)</f>
        <v>edward.rodriguez536@gmail.com</v>
      </c>
      <c r="H505" t="str">
        <f>IF(_xlfn.XLOOKUP(C505,customers!$A:$A,customers!$G:$G,,0)=0,"",_xlfn.XLOOKUP(C505,customers!$A:$A,customers!$G:$G,,0))</f>
        <v>Egypt</v>
      </c>
      <c r="I505" t="str">
        <f>IF(_xlfn.XLOOKUP(D505,product!$A:$A,product!$E:$E,,0)=0,"",_xlfn.XLOOKUP(D505,product!$A:$A,product!$E:$E,,0))</f>
        <v>SCIENCE</v>
      </c>
      <c r="J505" s="5">
        <f>IF(_xlfn.XLOOKUP(D505,product!$A:$A,product!$D:$D,,0)=0,"",_xlfn.XLOOKUP(D505,product!$A:$A,product!$D:$D,,0))</f>
        <v>21.74</v>
      </c>
      <c r="K505" s="7">
        <f t="shared" si="7"/>
        <v>21.74</v>
      </c>
      <c r="L505" s="10" t="str">
        <f>IF(_xlfn.XLOOKUP(D505,product!$A:$A,product!$F:$F,,0)=0,"",_xlfn.XLOOKUP(D505,product!$A:$A,product!$F:$F,,0))</f>
        <v>Yes</v>
      </c>
      <c r="M505" t="str">
        <f>IF(_xlfn.XLOOKUP(D505,product!$A:$A,product!G:G,,0)=0,"",_xlfn.XLOOKUP(D505,product!$A:$A,product!G:G,,0))</f>
        <v>Gold</v>
      </c>
      <c r="N505" t="str">
        <f>IF(_xlfn.XLOOKUP(D505,product!$A:$A,product!$B:$B,,0)=0,"",_xlfn.XLOOKUP(D505,product!$A:$A,product!$B:$B,,0))</f>
        <v>Future Secrets</v>
      </c>
    </row>
    <row r="506" spans="1:14" x14ac:dyDescent="0.35">
      <c r="A506" t="s">
        <v>794</v>
      </c>
      <c r="B506" s="3">
        <v>45197</v>
      </c>
      <c r="C506" t="s">
        <v>2361</v>
      </c>
      <c r="D506" t="s">
        <v>5863</v>
      </c>
      <c r="E506">
        <v>1</v>
      </c>
      <c r="F506" t="str">
        <f>_xlfn.XLOOKUP(C506,customers!$A$1:$A$983,customers!$B$1:$B$983,,0)</f>
        <v>Michael Baker</v>
      </c>
      <c r="G506" t="str">
        <f>_xlfn.XLOOKUP(C506,customers!$A:$A,customers!$C:$C,,0)</f>
        <v>michael.baker407@yahoo.com</v>
      </c>
      <c r="H506" t="str">
        <f>IF(_xlfn.XLOOKUP(C506,customers!$A:$A,customers!$G:$G,,0)=0,"",_xlfn.XLOOKUP(C506,customers!$A:$A,customers!$G:$G,,0))</f>
        <v>UAE</v>
      </c>
      <c r="I506" t="str">
        <f>IF(_xlfn.XLOOKUP(D506,product!$A:$A,product!$E:$E,,0)=0,"",_xlfn.XLOOKUP(D506,product!$A:$A,product!$E:$E,,0))</f>
        <v>HISTORY</v>
      </c>
      <c r="J506" s="5">
        <f>IF(_xlfn.XLOOKUP(D506,product!$A:$A,product!$D:$D,,0)=0,"",_xlfn.XLOOKUP(D506,product!$A:$A,product!$D:$D,,0))</f>
        <v>23.01</v>
      </c>
      <c r="K506" s="7">
        <f t="shared" si="7"/>
        <v>23.01</v>
      </c>
      <c r="L506" s="10" t="str">
        <f>IF(_xlfn.XLOOKUP(D506,product!$A:$A,product!$F:$F,,0)=0,"",_xlfn.XLOOKUP(D506,product!$A:$A,product!$F:$F,,0))</f>
        <v>No</v>
      </c>
      <c r="M506" t="str">
        <f>IF(_xlfn.XLOOKUP(D506,product!$A:$A,product!G:G,,0)=0,"",_xlfn.XLOOKUP(D506,product!$A:$A,product!G:G,,0))</f>
        <v>None</v>
      </c>
      <c r="N506" t="str">
        <f>IF(_xlfn.XLOOKUP(D506,product!$A:$A,product!$B:$B,,0)=0,"",_xlfn.XLOOKUP(D506,product!$A:$A,product!$B:$B,,0))</f>
        <v>Forest Science</v>
      </c>
    </row>
    <row r="507" spans="1:14" x14ac:dyDescent="0.35">
      <c r="A507" t="s">
        <v>811</v>
      </c>
      <c r="B507" s="3">
        <v>45635</v>
      </c>
      <c r="C507" t="s">
        <v>2222</v>
      </c>
      <c r="D507" t="s">
        <v>5864</v>
      </c>
      <c r="E507">
        <v>1</v>
      </c>
      <c r="F507" t="str">
        <f>_xlfn.XLOOKUP(C507,customers!$A$1:$A$983,customers!$B$1:$B$983,,0)</f>
        <v>Michael Johnson</v>
      </c>
      <c r="G507" t="str">
        <f>_xlfn.XLOOKUP(C507,customers!$A:$A,customers!$C:$C,,0)</f>
        <v>michael.johnson346@outlook.com</v>
      </c>
      <c r="H507" t="str">
        <f>IF(_xlfn.XLOOKUP(C507,customers!$A:$A,customers!$G:$G,,0)=0,"",_xlfn.XLOOKUP(C507,customers!$A:$A,customers!$G:$G,,0))</f>
        <v>Sweden</v>
      </c>
      <c r="I507" t="str">
        <f>IF(_xlfn.XLOOKUP(D507,product!$A:$A,product!$E:$E,,0)=0,"",_xlfn.XLOOKUP(D507,product!$A:$A,product!$E:$E,,0))</f>
        <v>HISTORY</v>
      </c>
      <c r="J507" s="5">
        <f>IF(_xlfn.XLOOKUP(D507,product!$A:$A,product!$D:$D,,0)=0,"",_xlfn.XLOOKUP(D507,product!$A:$A,product!$D:$D,,0))</f>
        <v>21.02</v>
      </c>
      <c r="K507" s="7">
        <f t="shared" si="7"/>
        <v>21.02</v>
      </c>
      <c r="L507" s="10" t="str">
        <f>IF(_xlfn.XLOOKUP(D507,product!$A:$A,product!$F:$F,,0)=0,"",_xlfn.XLOOKUP(D507,product!$A:$A,product!$F:$F,,0))</f>
        <v>Yes</v>
      </c>
      <c r="M507" t="str">
        <f>IF(_xlfn.XLOOKUP(D507,product!$A:$A,product!G:G,,0)=0,"",_xlfn.XLOOKUP(D507,product!$A:$A,product!G:G,,0))</f>
        <v>None</v>
      </c>
      <c r="N507" t="str">
        <f>IF(_xlfn.XLOOKUP(D507,product!$A:$A,product!$B:$B,,0)=0,"",_xlfn.XLOOKUP(D507,product!$A:$A,product!$B:$B,,0))</f>
        <v>Secrets Future</v>
      </c>
    </row>
    <row r="508" spans="1:14" x14ac:dyDescent="0.35">
      <c r="A508" t="s">
        <v>828</v>
      </c>
      <c r="B508" s="3">
        <v>45008</v>
      </c>
      <c r="C508" t="s">
        <v>2100</v>
      </c>
      <c r="D508" t="s">
        <v>5865</v>
      </c>
      <c r="E508">
        <v>1</v>
      </c>
      <c r="F508" t="str">
        <f>_xlfn.XLOOKUP(C508,customers!$A$1:$A$983,customers!$B$1:$B$983,,0)</f>
        <v>Grace Young</v>
      </c>
      <c r="G508" t="str">
        <f>_xlfn.XLOOKUP(C508,customers!$A:$A,customers!$C:$C,,0)</f>
        <v>grace.young296@outlook.com</v>
      </c>
      <c r="H508" t="str">
        <f>IF(_xlfn.XLOOKUP(C508,customers!$A:$A,customers!$G:$G,,0)=0,"",_xlfn.XLOOKUP(C508,customers!$A:$A,customers!$G:$G,,0))</f>
        <v>Spain</v>
      </c>
      <c r="I508" t="str">
        <f>IF(_xlfn.XLOOKUP(D508,product!$A:$A,product!$E:$E,,0)=0,"",_xlfn.XLOOKUP(D508,product!$A:$A,product!$E:$E,,0))</f>
        <v>SCIENCE</v>
      </c>
      <c r="J508" s="5">
        <f>IF(_xlfn.XLOOKUP(D508,product!$A:$A,product!$D:$D,,0)=0,"",_xlfn.XLOOKUP(D508,product!$A:$A,product!$D:$D,,0))</f>
        <v>10.96</v>
      </c>
      <c r="K508" s="7">
        <f t="shared" si="7"/>
        <v>10.96</v>
      </c>
      <c r="L508" s="10" t="str">
        <f>IF(_xlfn.XLOOKUP(D508,product!$A:$A,product!$F:$F,,0)=0,"",_xlfn.XLOOKUP(D508,product!$A:$A,product!$F:$F,,0))</f>
        <v>No</v>
      </c>
      <c r="M508" t="str">
        <f>IF(_xlfn.XLOOKUP(D508,product!$A:$A,product!G:G,,0)=0,"",_xlfn.XLOOKUP(D508,product!$A:$A,product!G:G,,0))</f>
        <v>None</v>
      </c>
      <c r="N508" t="str">
        <f>IF(_xlfn.XLOOKUP(D508,product!$A:$A,product!$B:$B,,0)=0,"",_xlfn.XLOOKUP(D508,product!$A:$A,product!$B:$B,,0))</f>
        <v>Power Secrets</v>
      </c>
    </row>
    <row r="509" spans="1:14" x14ac:dyDescent="0.35">
      <c r="A509" t="s">
        <v>845</v>
      </c>
      <c r="B509" s="3">
        <v>45344</v>
      </c>
      <c r="C509" t="s">
        <v>2281</v>
      </c>
      <c r="D509" t="s">
        <v>5866</v>
      </c>
      <c r="E509">
        <v>1</v>
      </c>
      <c r="F509" t="str">
        <f>_xlfn.XLOOKUP(C509,customers!$A$1:$A$983,customers!$B$1:$B$983,,0)</f>
        <v>James Anderson</v>
      </c>
      <c r="G509" t="str">
        <f>_xlfn.XLOOKUP(C509,customers!$A:$A,customers!$C:$C,,0)</f>
        <v>james.anderson371@yahoo.com</v>
      </c>
      <c r="H509" t="str">
        <f>IF(_xlfn.XLOOKUP(C509,customers!$A:$A,customers!$G:$G,,0)=0,"",_xlfn.XLOOKUP(C509,customers!$A:$A,customers!$G:$G,,0))</f>
        <v>Pakistan</v>
      </c>
      <c r="I509" t="str">
        <f>IF(_xlfn.XLOOKUP(D509,product!$A:$A,product!$E:$E,,0)=0,"",_xlfn.XLOOKUP(D509,product!$A:$A,product!$E:$E,,0))</f>
        <v>FICTION</v>
      </c>
      <c r="J509" s="5">
        <f>IF(_xlfn.XLOOKUP(D509,product!$A:$A,product!$D:$D,,0)=0,"",_xlfn.XLOOKUP(D509,product!$A:$A,product!$D:$D,,0))</f>
        <v>22.84</v>
      </c>
      <c r="K509" s="7">
        <f t="shared" si="7"/>
        <v>22.84</v>
      </c>
      <c r="L509" s="10" t="str">
        <f>IF(_xlfn.XLOOKUP(D509,product!$A:$A,product!$F:$F,,0)=0,"",_xlfn.XLOOKUP(D509,product!$A:$A,product!$F:$F,,0))</f>
        <v>Yes</v>
      </c>
      <c r="M509" t="str">
        <f>IF(_xlfn.XLOOKUP(D509,product!$A:$A,product!G:G,,0)=0,"",_xlfn.XLOOKUP(D509,product!$A:$A,product!G:G,,0))</f>
        <v>None</v>
      </c>
      <c r="N509" t="str">
        <f>IF(_xlfn.XLOOKUP(D509,product!$A:$A,product!$B:$B,,0)=0,"",_xlfn.XLOOKUP(D509,product!$A:$A,product!$B:$B,,0))</f>
        <v>Secrets Mind</v>
      </c>
    </row>
    <row r="510" spans="1:14" x14ac:dyDescent="0.35">
      <c r="A510" t="s">
        <v>862</v>
      </c>
      <c r="B510" s="3">
        <v>45151</v>
      </c>
      <c r="C510" t="s">
        <v>2850</v>
      </c>
      <c r="D510" t="s">
        <v>5867</v>
      </c>
      <c r="E510">
        <v>1</v>
      </c>
      <c r="F510" t="str">
        <f>_xlfn.XLOOKUP(C510,customers!$A$1:$A$983,customers!$B$1:$B$983,,0)</f>
        <v>Amelia Thomas</v>
      </c>
      <c r="G510" t="str">
        <f>_xlfn.XLOOKUP(C510,customers!$A:$A,customers!$C:$C,,0)</f>
        <v>amelia.thomas640@yahoo.com</v>
      </c>
      <c r="H510" t="str">
        <f>IF(_xlfn.XLOOKUP(C510,customers!$A:$A,customers!$G:$G,,0)=0,"",_xlfn.XLOOKUP(C510,customers!$A:$A,customers!$G:$G,,0))</f>
        <v>USA</v>
      </c>
      <c r="I510" t="str">
        <f>IF(_xlfn.XLOOKUP(D510,product!$A:$A,product!$E:$E,,0)=0,"",_xlfn.XLOOKUP(D510,product!$A:$A,product!$E:$E,,0))</f>
        <v>SCIENCE</v>
      </c>
      <c r="J510" s="5">
        <f>IF(_xlfn.XLOOKUP(D510,product!$A:$A,product!$D:$D,,0)=0,"",_xlfn.XLOOKUP(D510,product!$A:$A,product!$D:$D,,0))</f>
        <v>30.31</v>
      </c>
      <c r="K510" s="7">
        <f t="shared" si="7"/>
        <v>30.31</v>
      </c>
      <c r="L510" s="10" t="str">
        <f>IF(_xlfn.XLOOKUP(D510,product!$A:$A,product!$F:$F,,0)=0,"",_xlfn.XLOOKUP(D510,product!$A:$A,product!$F:$F,,0))</f>
        <v>No</v>
      </c>
      <c r="M510" t="str">
        <f>IF(_xlfn.XLOOKUP(D510,product!$A:$A,product!G:G,,0)=0,"",_xlfn.XLOOKUP(D510,product!$A:$A,product!G:G,,0))</f>
        <v>None</v>
      </c>
      <c r="N510" t="str">
        <f>IF(_xlfn.XLOOKUP(D510,product!$A:$A,product!$B:$B,,0)=0,"",_xlfn.XLOOKUP(D510,product!$A:$A,product!$B:$B,,0))</f>
        <v>Future Secrets</v>
      </c>
    </row>
    <row r="511" spans="1:14" x14ac:dyDescent="0.35">
      <c r="A511" t="s">
        <v>879</v>
      </c>
      <c r="B511" s="3">
        <v>45428</v>
      </c>
      <c r="C511" t="s">
        <v>2544</v>
      </c>
      <c r="D511" t="s">
        <v>5868</v>
      </c>
      <c r="E511">
        <v>1</v>
      </c>
      <c r="F511" t="str">
        <f>_xlfn.XLOOKUP(C511,customers!$A$1:$A$983,customers!$B$1:$B$983,,0)</f>
        <v>Charlotte Brown</v>
      </c>
      <c r="G511" t="str">
        <f>_xlfn.XLOOKUP(C511,customers!$A:$A,customers!$C:$C,,0)</f>
        <v>charlotte.brown493@outlook.com</v>
      </c>
      <c r="H511" t="str">
        <f>IF(_xlfn.XLOOKUP(C511,customers!$A:$A,customers!$G:$G,,0)=0,"",_xlfn.XLOOKUP(C511,customers!$A:$A,customers!$G:$G,,0))</f>
        <v>Japan</v>
      </c>
      <c r="I511" t="str">
        <f>IF(_xlfn.XLOOKUP(D511,product!$A:$A,product!$E:$E,,0)=0,"",_xlfn.XLOOKUP(D511,product!$A:$A,product!$E:$E,,0))</f>
        <v>TECH</v>
      </c>
      <c r="J511" s="5">
        <f>IF(_xlfn.XLOOKUP(D511,product!$A:$A,product!$D:$D,,0)=0,"",_xlfn.XLOOKUP(D511,product!$A:$A,product!$D:$D,,0))</f>
        <v>34.700000000000003</v>
      </c>
      <c r="K511" s="7">
        <f t="shared" si="7"/>
        <v>34.700000000000003</v>
      </c>
      <c r="L511" s="10" t="str">
        <f>IF(_xlfn.XLOOKUP(D511,product!$A:$A,product!$F:$F,,0)=0,"",_xlfn.XLOOKUP(D511,product!$A:$A,product!$F:$F,,0))</f>
        <v>No</v>
      </c>
      <c r="M511" t="str">
        <f>IF(_xlfn.XLOOKUP(D511,product!$A:$A,product!G:G,,0)=0,"",_xlfn.XLOOKUP(D511,product!$A:$A,product!G:G,,0))</f>
        <v>Silver</v>
      </c>
      <c r="N511" t="str">
        <f>IF(_xlfn.XLOOKUP(D511,product!$A:$A,product!$B:$B,,0)=0,"",_xlfn.XLOOKUP(D511,product!$A:$A,product!$B:$B,,0))</f>
        <v>Future Mind</v>
      </c>
    </row>
    <row r="512" spans="1:14" x14ac:dyDescent="0.35">
      <c r="A512" t="s">
        <v>896</v>
      </c>
      <c r="B512" s="3">
        <v>45257</v>
      </c>
      <c r="C512" t="s">
        <v>3171</v>
      </c>
      <c r="D512" t="s">
        <v>5869</v>
      </c>
      <c r="E512">
        <v>1</v>
      </c>
      <c r="F512" t="str">
        <f>_xlfn.XLOOKUP(C512,customers!$A$1:$A$983,customers!$B$1:$B$983,,0)</f>
        <v>Ryan Green</v>
      </c>
      <c r="G512" t="str">
        <f>_xlfn.XLOOKUP(C512,customers!$A:$A,customers!$C:$C,,0)</f>
        <v>ryan.green798@yahoo.com</v>
      </c>
      <c r="H512" t="str">
        <f>IF(_xlfn.XLOOKUP(C512,customers!$A:$A,customers!$G:$G,,0)=0,"",_xlfn.XLOOKUP(C512,customers!$A:$A,customers!$G:$G,,0))</f>
        <v>Spain</v>
      </c>
      <c r="I512" t="str">
        <f>IF(_xlfn.XLOOKUP(D512,product!$A:$A,product!$E:$E,,0)=0,"",_xlfn.XLOOKUP(D512,product!$A:$A,product!$E:$E,,0))</f>
        <v>BUSINESS</v>
      </c>
      <c r="J512" s="5">
        <f>IF(_xlfn.XLOOKUP(D512,product!$A:$A,product!$D:$D,,0)=0,"",_xlfn.XLOOKUP(D512,product!$A:$A,product!$D:$D,,0))</f>
        <v>28.41</v>
      </c>
      <c r="K512" s="7">
        <f t="shared" si="7"/>
        <v>28.41</v>
      </c>
      <c r="L512" s="10" t="str">
        <f>IF(_xlfn.XLOOKUP(D512,product!$A:$A,product!$F:$F,,0)=0,"",_xlfn.XLOOKUP(D512,product!$A:$A,product!$F:$F,,0))</f>
        <v>Yes</v>
      </c>
      <c r="M512" t="str">
        <f>IF(_xlfn.XLOOKUP(D512,product!$A:$A,product!G:G,,0)=0,"",_xlfn.XLOOKUP(D512,product!$A:$A,product!G:G,,0))</f>
        <v>Silver</v>
      </c>
      <c r="N512" t="str">
        <f>IF(_xlfn.XLOOKUP(D512,product!$A:$A,product!$B:$B,,0)=0,"",_xlfn.XLOOKUP(D512,product!$A:$A,product!$B:$B,,0))</f>
        <v>Journey Science</v>
      </c>
    </row>
    <row r="513" spans="1:14" x14ac:dyDescent="0.35">
      <c r="A513" t="s">
        <v>913</v>
      </c>
      <c r="B513" s="3">
        <v>45486</v>
      </c>
      <c r="C513" t="s">
        <v>1561</v>
      </c>
      <c r="D513" t="s">
        <v>5870</v>
      </c>
      <c r="E513">
        <v>1</v>
      </c>
      <c r="F513" t="str">
        <f>_xlfn.XLOOKUP(C513,customers!$A$1:$A$983,customers!$B$1:$B$983,,0)</f>
        <v>Anna King</v>
      </c>
      <c r="G513" t="str">
        <f>_xlfn.XLOOKUP(C513,customers!$A:$A,customers!$C:$C,,0)</f>
        <v>anna.king140@outlook.com</v>
      </c>
      <c r="H513" t="str">
        <f>IF(_xlfn.XLOOKUP(C513,customers!$A:$A,customers!$G:$G,,0)=0,"",_xlfn.XLOOKUP(C513,customers!$A:$A,customers!$G:$G,,0))</f>
        <v>Egypt</v>
      </c>
      <c r="I513" t="str">
        <f>IF(_xlfn.XLOOKUP(D513,product!$A:$A,product!$E:$E,,0)=0,"",_xlfn.XLOOKUP(D513,product!$A:$A,product!$E:$E,,0))</f>
        <v>HISTORY</v>
      </c>
      <c r="J513" s="5">
        <f>IF(_xlfn.XLOOKUP(D513,product!$A:$A,product!$D:$D,,0)=0,"",_xlfn.XLOOKUP(D513,product!$A:$A,product!$D:$D,,0))</f>
        <v>11.76</v>
      </c>
      <c r="K513" s="7">
        <f t="shared" si="7"/>
        <v>11.76</v>
      </c>
      <c r="L513" s="10" t="str">
        <f>IF(_xlfn.XLOOKUP(D513,product!$A:$A,product!$F:$F,,0)=0,"",_xlfn.XLOOKUP(D513,product!$A:$A,product!$F:$F,,0))</f>
        <v>No</v>
      </c>
      <c r="M513" t="str">
        <f>IF(_xlfn.XLOOKUP(D513,product!$A:$A,product!G:G,,0)=0,"",_xlfn.XLOOKUP(D513,product!$A:$A,product!G:G,,0))</f>
        <v>None</v>
      </c>
      <c r="N513" t="str">
        <f>IF(_xlfn.XLOOKUP(D513,product!$A:$A,product!$B:$B,,0)=0,"",_xlfn.XLOOKUP(D513,product!$A:$A,product!$B:$B,,0))</f>
        <v>Future Journey</v>
      </c>
    </row>
    <row r="514" spans="1:14" x14ac:dyDescent="0.35">
      <c r="A514" t="s">
        <v>930</v>
      </c>
      <c r="B514" s="3">
        <v>45092</v>
      </c>
      <c r="C514" t="s">
        <v>3366</v>
      </c>
      <c r="D514" t="s">
        <v>5871</v>
      </c>
      <c r="E514">
        <v>1</v>
      </c>
      <c r="F514" t="str">
        <f>_xlfn.XLOOKUP(C514,customers!$A$1:$A$983,customers!$B$1:$B$983,,0)</f>
        <v>Emma Allen</v>
      </c>
      <c r="G514" t="str">
        <f>_xlfn.XLOOKUP(C514,customers!$A:$A,customers!$C:$C,,0)</f>
        <v>emma.allen897@outlook.com</v>
      </c>
      <c r="H514" t="str">
        <f>IF(_xlfn.XLOOKUP(C514,customers!$A:$A,customers!$G:$G,,0)=0,"",_xlfn.XLOOKUP(C514,customers!$A:$A,customers!$G:$G,,0))</f>
        <v>Spain</v>
      </c>
      <c r="I514" t="str">
        <f>IF(_xlfn.XLOOKUP(D514,product!$A:$A,product!$E:$E,,0)=0,"",_xlfn.XLOOKUP(D514,product!$A:$A,product!$E:$E,,0))</f>
        <v>BUSINESS</v>
      </c>
      <c r="J514" s="5">
        <f>IF(_xlfn.XLOOKUP(D514,product!$A:$A,product!$D:$D,,0)=0,"",_xlfn.XLOOKUP(D514,product!$A:$A,product!$D:$D,,0))</f>
        <v>12.3</v>
      </c>
      <c r="K514" s="7">
        <f t="shared" si="7"/>
        <v>12.3</v>
      </c>
      <c r="L514" s="10" t="str">
        <f>IF(_xlfn.XLOOKUP(D514,product!$A:$A,product!$F:$F,,0)=0,"",_xlfn.XLOOKUP(D514,product!$A:$A,product!$F:$F,,0))</f>
        <v>No</v>
      </c>
      <c r="M514" t="str">
        <f>IF(_xlfn.XLOOKUP(D514,product!$A:$A,product!G:G,,0)=0,"",_xlfn.XLOOKUP(D514,product!$A:$A,product!G:G,,0))</f>
        <v>None</v>
      </c>
      <c r="N514" t="str">
        <f>IF(_xlfn.XLOOKUP(D514,product!$A:$A,product!$B:$B,,0)=0,"",_xlfn.XLOOKUP(D514,product!$A:$A,product!$B:$B,,0))</f>
        <v>Data Quantum</v>
      </c>
    </row>
    <row r="515" spans="1:14" x14ac:dyDescent="0.35">
      <c r="A515" t="s">
        <v>947</v>
      </c>
      <c r="B515" s="3">
        <v>45556</v>
      </c>
      <c r="C515" t="s">
        <v>3342</v>
      </c>
      <c r="D515" t="s">
        <v>5872</v>
      </c>
      <c r="E515">
        <v>1</v>
      </c>
      <c r="F515" t="str">
        <f>_xlfn.XLOOKUP(C515,customers!$A$1:$A$983,customers!$B$1:$B$983,,0)</f>
        <v>Ava Lewis</v>
      </c>
      <c r="G515" t="str">
        <f>_xlfn.XLOOKUP(C515,customers!$A:$A,customers!$C:$C,,0)</f>
        <v>ava.lewis885@outlook.com</v>
      </c>
      <c r="H515" t="str">
        <f>IF(_xlfn.XLOOKUP(C515,customers!$A:$A,customers!$G:$G,,0)=0,"",_xlfn.XLOOKUP(C515,customers!$A:$A,customers!$G:$G,,0))</f>
        <v>Denmark</v>
      </c>
      <c r="I515" t="str">
        <f>IF(_xlfn.XLOOKUP(D515,product!$A:$A,product!$E:$E,,0)=0,"",_xlfn.XLOOKUP(D515,product!$A:$A,product!$E:$E,,0))</f>
        <v>HISTORY</v>
      </c>
      <c r="J515" s="5">
        <f>IF(_xlfn.XLOOKUP(D515,product!$A:$A,product!$D:$D,,0)=0,"",_xlfn.XLOOKUP(D515,product!$A:$A,product!$D:$D,,0))</f>
        <v>32.35</v>
      </c>
      <c r="K515" s="7">
        <f t="shared" ref="K515:K578" si="8">J515*E515</f>
        <v>32.35</v>
      </c>
      <c r="L515" s="10" t="str">
        <f>IF(_xlfn.XLOOKUP(D515,product!$A:$A,product!$F:$F,,0)=0,"",_xlfn.XLOOKUP(D515,product!$A:$A,product!$F:$F,,0))</f>
        <v>Yes</v>
      </c>
      <c r="M515" t="str">
        <f>IF(_xlfn.XLOOKUP(D515,product!$A:$A,product!G:G,,0)=0,"",_xlfn.XLOOKUP(D515,product!$A:$A,product!G:G,,0))</f>
        <v>None</v>
      </c>
      <c r="N515" t="str">
        <f>IF(_xlfn.XLOOKUP(D515,product!$A:$A,product!$B:$B,,0)=0,"",_xlfn.XLOOKUP(D515,product!$A:$A,product!$B:$B,,0))</f>
        <v>Power Secrets</v>
      </c>
    </row>
    <row r="516" spans="1:14" x14ac:dyDescent="0.35">
      <c r="A516" t="s">
        <v>964</v>
      </c>
      <c r="B516" s="3">
        <v>45019</v>
      </c>
      <c r="C516" t="s">
        <v>1900</v>
      </c>
      <c r="D516" t="s">
        <v>5873</v>
      </c>
      <c r="E516">
        <v>1</v>
      </c>
      <c r="F516" t="str">
        <f>_xlfn.XLOOKUP(C516,customers!$A$1:$A$983,customers!$B$1:$B$983,,0)</f>
        <v>Olivia Clark</v>
      </c>
      <c r="G516" t="str">
        <f>_xlfn.XLOOKUP(C516,customers!$A:$A,customers!$C:$C,,0)</f>
        <v>olivia.clark229@yahoo.com</v>
      </c>
      <c r="H516" t="str">
        <f>IF(_xlfn.XLOOKUP(C516,customers!$A:$A,customers!$G:$G,,0)=0,"",_xlfn.XLOOKUP(C516,customers!$A:$A,customers!$G:$G,,0))</f>
        <v>Sweden</v>
      </c>
      <c r="I516" t="str">
        <f>IF(_xlfn.XLOOKUP(D516,product!$A:$A,product!$E:$E,,0)=0,"",_xlfn.XLOOKUP(D516,product!$A:$A,product!$E:$E,,0))</f>
        <v>BUSINESS</v>
      </c>
      <c r="J516" s="5">
        <f>IF(_xlfn.XLOOKUP(D516,product!$A:$A,product!$D:$D,,0)=0,"",_xlfn.XLOOKUP(D516,product!$A:$A,product!$D:$D,,0))</f>
        <v>12.03</v>
      </c>
      <c r="K516" s="7">
        <f t="shared" si="8"/>
        <v>12.03</v>
      </c>
      <c r="L516" s="10" t="str">
        <f>IF(_xlfn.XLOOKUP(D516,product!$A:$A,product!$F:$F,,0)=0,"",_xlfn.XLOOKUP(D516,product!$A:$A,product!$F:$F,,0))</f>
        <v>No</v>
      </c>
      <c r="M516" t="str">
        <f>IF(_xlfn.XLOOKUP(D516,product!$A:$A,product!G:G,,0)=0,"",_xlfn.XLOOKUP(D516,product!$A:$A,product!G:G,,0))</f>
        <v>None</v>
      </c>
      <c r="N516" t="str">
        <f>IF(_xlfn.XLOOKUP(D516,product!$A:$A,product!$B:$B,,0)=0,"",_xlfn.XLOOKUP(D516,product!$A:$A,product!$B:$B,,0))</f>
        <v>Mind Journey</v>
      </c>
    </row>
    <row r="517" spans="1:14" x14ac:dyDescent="0.35">
      <c r="A517" t="s">
        <v>981</v>
      </c>
      <c r="B517" s="3">
        <v>45295</v>
      </c>
      <c r="C517" t="s">
        <v>3014</v>
      </c>
      <c r="D517" t="s">
        <v>5874</v>
      </c>
      <c r="E517">
        <v>1</v>
      </c>
      <c r="F517" t="str">
        <f>_xlfn.XLOOKUP(C517,customers!$A$1:$A$983,customers!$B$1:$B$983,,0)</f>
        <v>John Scott</v>
      </c>
      <c r="G517" t="str">
        <f>_xlfn.XLOOKUP(C517,customers!$A:$A,customers!$C:$C,,0)</f>
        <v>john.scott720@hotmail.com</v>
      </c>
      <c r="H517" t="str">
        <f>IF(_xlfn.XLOOKUP(C517,customers!$A:$A,customers!$G:$G,,0)=0,"",_xlfn.XLOOKUP(C517,customers!$A:$A,customers!$G:$G,,0))</f>
        <v>Germany</v>
      </c>
      <c r="I517" t="str">
        <f>IF(_xlfn.XLOOKUP(D517,product!$A:$A,product!$E:$E,,0)=0,"",_xlfn.XLOOKUP(D517,product!$A:$A,product!$E:$E,,0))</f>
        <v>FICTION</v>
      </c>
      <c r="J517" s="5">
        <f>IF(_xlfn.XLOOKUP(D517,product!$A:$A,product!$D:$D,,0)=0,"",_xlfn.XLOOKUP(D517,product!$A:$A,product!$D:$D,,0))</f>
        <v>24.25</v>
      </c>
      <c r="K517" s="7">
        <f t="shared" si="8"/>
        <v>24.25</v>
      </c>
      <c r="L517" s="10" t="str">
        <f>IF(_xlfn.XLOOKUP(D517,product!$A:$A,product!$F:$F,,0)=0,"",_xlfn.XLOOKUP(D517,product!$A:$A,product!$F:$F,,0))</f>
        <v>No</v>
      </c>
      <c r="M517" t="str">
        <f>IF(_xlfn.XLOOKUP(D517,product!$A:$A,product!G:G,,0)=0,"",_xlfn.XLOOKUP(D517,product!$A:$A,product!G:G,,0))</f>
        <v>Silver</v>
      </c>
      <c r="N517" t="str">
        <f>IF(_xlfn.XLOOKUP(D517,product!$A:$A,product!$B:$B,,0)=0,"",_xlfn.XLOOKUP(D517,product!$A:$A,product!$B:$B,,0))</f>
        <v>Journey Data</v>
      </c>
    </row>
    <row r="518" spans="1:14" x14ac:dyDescent="0.35">
      <c r="A518" t="s">
        <v>998</v>
      </c>
      <c r="B518" s="3">
        <v>45216</v>
      </c>
      <c r="C518" t="s">
        <v>3479</v>
      </c>
      <c r="D518" t="s">
        <v>5875</v>
      </c>
      <c r="E518">
        <v>1</v>
      </c>
      <c r="F518" t="str">
        <f>_xlfn.XLOOKUP(C518,customers!$A$1:$A$983,customers!$B$1:$B$983,,0)</f>
        <v>Ryan Brown</v>
      </c>
      <c r="G518" t="str">
        <f>_xlfn.XLOOKUP(C518,customers!$A:$A,customers!$C:$C,,0)</f>
        <v>ryan.brown954@gmail.com</v>
      </c>
      <c r="H518" t="str">
        <f>IF(_xlfn.XLOOKUP(C518,customers!$A:$A,customers!$G:$G,,0)=0,"",_xlfn.XLOOKUP(C518,customers!$A:$A,customers!$G:$G,,0))</f>
        <v>Spain</v>
      </c>
      <c r="I518" t="str">
        <f>IF(_xlfn.XLOOKUP(D518,product!$A:$A,product!$E:$E,,0)=0,"",_xlfn.XLOOKUP(D518,product!$A:$A,product!$E:$E,,0))</f>
        <v>BUSINESS</v>
      </c>
      <c r="J518" s="5">
        <f>IF(_xlfn.XLOOKUP(D518,product!$A:$A,product!$D:$D,,0)=0,"",_xlfn.XLOOKUP(D518,product!$A:$A,product!$D:$D,,0))</f>
        <v>31.38</v>
      </c>
      <c r="K518" s="7">
        <f t="shared" si="8"/>
        <v>31.38</v>
      </c>
      <c r="L518" s="10" t="str">
        <f>IF(_xlfn.XLOOKUP(D518,product!$A:$A,product!$F:$F,,0)=0,"",_xlfn.XLOOKUP(D518,product!$A:$A,product!$F:$F,,0))</f>
        <v>No</v>
      </c>
      <c r="M518" t="str">
        <f>IF(_xlfn.XLOOKUP(D518,product!$A:$A,product!G:G,,0)=0,"",_xlfn.XLOOKUP(D518,product!$A:$A,product!G:G,,0))</f>
        <v>None</v>
      </c>
      <c r="N518" t="str">
        <f>IF(_xlfn.XLOOKUP(D518,product!$A:$A,product!$B:$B,,0)=0,"",_xlfn.XLOOKUP(D518,product!$A:$A,product!$B:$B,,0))</f>
        <v>Quantum Power</v>
      </c>
    </row>
    <row r="519" spans="1:14" x14ac:dyDescent="0.35">
      <c r="A519" t="s">
        <v>1015</v>
      </c>
      <c r="B519" s="3">
        <v>45600</v>
      </c>
      <c r="C519" t="s">
        <v>3016</v>
      </c>
      <c r="D519" t="s">
        <v>5876</v>
      </c>
      <c r="E519">
        <v>1</v>
      </c>
      <c r="F519" t="str">
        <f>_xlfn.XLOOKUP(C519,customers!$A$1:$A$983,customers!$B$1:$B$983,,0)</f>
        <v>Michael Taylor</v>
      </c>
      <c r="G519" t="str">
        <f>_xlfn.XLOOKUP(C519,customers!$A:$A,customers!$C:$C,,0)</f>
        <v>michael.taylor721@hotmail.com</v>
      </c>
      <c r="H519" t="str">
        <f>IF(_xlfn.XLOOKUP(C519,customers!$A:$A,customers!$G:$G,,0)=0,"",_xlfn.XLOOKUP(C519,customers!$A:$A,customers!$G:$G,,0))</f>
        <v>USA</v>
      </c>
      <c r="I519" t="str">
        <f>IF(_xlfn.XLOOKUP(D519,product!$A:$A,product!$E:$E,,0)=0,"",_xlfn.XLOOKUP(D519,product!$A:$A,product!$E:$E,,0))</f>
        <v>FICTION</v>
      </c>
      <c r="J519" s="5">
        <f>IF(_xlfn.XLOOKUP(D519,product!$A:$A,product!$D:$D,,0)=0,"",_xlfn.XLOOKUP(D519,product!$A:$A,product!$D:$D,,0))</f>
        <v>13.37</v>
      </c>
      <c r="K519" s="7">
        <f t="shared" si="8"/>
        <v>13.37</v>
      </c>
      <c r="L519" s="10" t="str">
        <f>IF(_xlfn.XLOOKUP(D519,product!$A:$A,product!$F:$F,,0)=0,"",_xlfn.XLOOKUP(D519,product!$A:$A,product!$F:$F,,0))</f>
        <v>Yes</v>
      </c>
      <c r="M519" t="str">
        <f>IF(_xlfn.XLOOKUP(D519,product!$A:$A,product!G:G,,0)=0,"",_xlfn.XLOOKUP(D519,product!$A:$A,product!G:G,,0))</f>
        <v>Silver</v>
      </c>
      <c r="N519" t="str">
        <f>IF(_xlfn.XLOOKUP(D519,product!$A:$A,product!$B:$B,,0)=0,"",_xlfn.XLOOKUP(D519,product!$A:$A,product!$B:$B,,0))</f>
        <v>Journey Mind</v>
      </c>
    </row>
    <row r="520" spans="1:14" x14ac:dyDescent="0.35">
      <c r="A520" t="s">
        <v>1032</v>
      </c>
      <c r="B520" s="3">
        <v>45286</v>
      </c>
      <c r="C520" t="s">
        <v>1234</v>
      </c>
      <c r="D520" t="s">
        <v>5877</v>
      </c>
      <c r="E520">
        <v>1</v>
      </c>
      <c r="F520" t="str">
        <f>_xlfn.XLOOKUP(C520,customers!$A$1:$A$983,customers!$B$1:$B$983,,0)</f>
        <v>Amelia Green</v>
      </c>
      <c r="G520" t="str">
        <f>_xlfn.XLOOKUP(C520,customers!$A:$A,customers!$C:$C,,0)</f>
        <v>amelia.green48@gmail.com</v>
      </c>
      <c r="H520" t="str">
        <f>IF(_xlfn.XLOOKUP(C520,customers!$A:$A,customers!$G:$G,,0)=0,"",_xlfn.XLOOKUP(C520,customers!$A:$A,customers!$G:$G,,0))</f>
        <v>Japan</v>
      </c>
      <c r="I520" t="str">
        <f>IF(_xlfn.XLOOKUP(D520,product!$A:$A,product!$E:$E,,0)=0,"",_xlfn.XLOOKUP(D520,product!$A:$A,product!$E:$E,,0))</f>
        <v>TECH</v>
      </c>
      <c r="J520" s="5">
        <f>IF(_xlfn.XLOOKUP(D520,product!$A:$A,product!$D:$D,,0)=0,"",_xlfn.XLOOKUP(D520,product!$A:$A,product!$D:$D,,0))</f>
        <v>31.5</v>
      </c>
      <c r="K520" s="7">
        <f t="shared" si="8"/>
        <v>31.5</v>
      </c>
      <c r="L520" s="10" t="str">
        <f>IF(_xlfn.XLOOKUP(D520,product!$A:$A,product!$F:$F,,0)=0,"",_xlfn.XLOOKUP(D520,product!$A:$A,product!$F:$F,,0))</f>
        <v>Yes</v>
      </c>
      <c r="M520" t="str">
        <f>IF(_xlfn.XLOOKUP(D520,product!$A:$A,product!G:G,,0)=0,"",_xlfn.XLOOKUP(D520,product!$A:$A,product!G:G,,0))</f>
        <v>Gold</v>
      </c>
      <c r="N520" t="str">
        <f>IF(_xlfn.XLOOKUP(D520,product!$A:$A,product!$B:$B,,0)=0,"",_xlfn.XLOOKUP(D520,product!$A:$A,product!$B:$B,,0))</f>
        <v>Data Mind</v>
      </c>
    </row>
    <row r="521" spans="1:14" x14ac:dyDescent="0.35">
      <c r="A521" t="s">
        <v>1049</v>
      </c>
      <c r="B521" s="3">
        <v>45374</v>
      </c>
      <c r="C521" t="s">
        <v>2241</v>
      </c>
      <c r="D521" t="s">
        <v>5878</v>
      </c>
      <c r="E521">
        <v>1</v>
      </c>
      <c r="F521" t="str">
        <f>_xlfn.XLOOKUP(C521,customers!$A$1:$A$983,customers!$B$1:$B$983,,0)</f>
        <v>Michael Martin</v>
      </c>
      <c r="G521" t="str">
        <f>_xlfn.XLOOKUP(C521,customers!$A:$A,customers!$C:$C,,0)</f>
        <v>michael.martin354@hotmail.com</v>
      </c>
      <c r="H521" t="str">
        <f>IF(_xlfn.XLOOKUP(C521,customers!$A:$A,customers!$G:$G,,0)=0,"",_xlfn.XLOOKUP(C521,customers!$A:$A,customers!$G:$G,,0))</f>
        <v>Japan</v>
      </c>
      <c r="I521" t="str">
        <f>IF(_xlfn.XLOOKUP(D521,product!$A:$A,product!$E:$E,,0)=0,"",_xlfn.XLOOKUP(D521,product!$A:$A,product!$E:$E,,0))</f>
        <v>FICTION</v>
      </c>
      <c r="J521" s="5">
        <f>IF(_xlfn.XLOOKUP(D521,product!$A:$A,product!$D:$D,,0)=0,"",_xlfn.XLOOKUP(D521,product!$A:$A,product!$D:$D,,0))</f>
        <v>30.64</v>
      </c>
      <c r="K521" s="7">
        <f t="shared" si="8"/>
        <v>30.64</v>
      </c>
      <c r="L521" s="10" t="str">
        <f>IF(_xlfn.XLOOKUP(D521,product!$A:$A,product!$F:$F,,0)=0,"",_xlfn.XLOOKUP(D521,product!$A:$A,product!$F:$F,,0))</f>
        <v>Yes</v>
      </c>
      <c r="M521" t="str">
        <f>IF(_xlfn.XLOOKUP(D521,product!$A:$A,product!G:G,,0)=0,"",_xlfn.XLOOKUP(D521,product!$A:$A,product!G:G,,0))</f>
        <v>None</v>
      </c>
      <c r="N521" t="str">
        <f>IF(_xlfn.XLOOKUP(D521,product!$A:$A,product!$B:$B,,0)=0,"",_xlfn.XLOOKUP(D521,product!$A:$A,product!$B:$B,,0))</f>
        <v>Secrets Mind</v>
      </c>
    </row>
    <row r="522" spans="1:14" x14ac:dyDescent="0.35">
      <c r="A522" t="s">
        <v>13</v>
      </c>
      <c r="B522" s="3">
        <v>44963</v>
      </c>
      <c r="C522" t="s">
        <v>3463</v>
      </c>
      <c r="D522" t="s">
        <v>5879</v>
      </c>
      <c r="E522">
        <v>2</v>
      </c>
      <c r="F522" t="str">
        <f>_xlfn.XLOOKUP(C522,customers!$A$1:$A$983,customers!$B$1:$B$983,,0)</f>
        <v>Ava Harris</v>
      </c>
      <c r="G522" t="str">
        <f>_xlfn.XLOOKUP(C522,customers!$A:$A,customers!$C:$C,,0)</f>
        <v>ava.harris946@outlook.com</v>
      </c>
      <c r="H522" t="str">
        <f>IF(_xlfn.XLOOKUP(C522,customers!$A:$A,customers!$G:$G,,0)=0,"",_xlfn.XLOOKUP(C522,customers!$A:$A,customers!$G:$G,,0))</f>
        <v>India</v>
      </c>
      <c r="I522" t="str">
        <f>IF(_xlfn.XLOOKUP(D522,product!$A:$A,product!$E:$E,,0)=0,"",_xlfn.XLOOKUP(D522,product!$A:$A,product!$E:$E,,0))</f>
        <v>HISTORY</v>
      </c>
      <c r="J522" s="5">
        <f>IF(_xlfn.XLOOKUP(D522,product!$A:$A,product!$D:$D,,0)=0,"",_xlfn.XLOOKUP(D522,product!$A:$A,product!$D:$D,,0))</f>
        <v>25.12</v>
      </c>
      <c r="K522" s="7">
        <f t="shared" si="8"/>
        <v>50.24</v>
      </c>
      <c r="L522" s="10" t="str">
        <f>IF(_xlfn.XLOOKUP(D522,product!$A:$A,product!$F:$F,,0)=0,"",_xlfn.XLOOKUP(D522,product!$A:$A,product!$F:$F,,0))</f>
        <v>No</v>
      </c>
      <c r="M522" t="str">
        <f>IF(_xlfn.XLOOKUP(D522,product!$A:$A,product!G:G,,0)=0,"",_xlfn.XLOOKUP(D522,product!$A:$A,product!G:G,,0))</f>
        <v>Silver</v>
      </c>
      <c r="N522" t="str">
        <f>IF(_xlfn.XLOOKUP(D522,product!$A:$A,product!$B:$B,,0)=0,"",_xlfn.XLOOKUP(D522,product!$A:$A,product!$B:$B,,0))</f>
        <v>Journey Quantum</v>
      </c>
    </row>
    <row r="523" spans="1:14" x14ac:dyDescent="0.35">
      <c r="A523" t="s">
        <v>35</v>
      </c>
      <c r="B523" s="3">
        <v>45455</v>
      </c>
      <c r="C523" t="s">
        <v>2050</v>
      </c>
      <c r="D523" t="s">
        <v>5880</v>
      </c>
      <c r="E523">
        <v>3</v>
      </c>
      <c r="F523" t="str">
        <f>_xlfn.XLOOKUP(C523,customers!$A$1:$A$983,customers!$B$1:$B$983,,0)</f>
        <v>Ryan Rodriguez</v>
      </c>
      <c r="G523" t="str">
        <f>_xlfn.XLOOKUP(C523,customers!$A:$A,customers!$C:$C,,0)</f>
        <v>ryan.rodriguez278@hotmail.com</v>
      </c>
      <c r="H523" t="str">
        <f>IF(_xlfn.XLOOKUP(C523,customers!$A:$A,customers!$G:$G,,0)=0,"",_xlfn.XLOOKUP(C523,customers!$A:$A,customers!$G:$G,,0))</f>
        <v>Spain</v>
      </c>
      <c r="I523" t="str">
        <f>IF(_xlfn.XLOOKUP(D523,product!$A:$A,product!$E:$E,,0)=0,"",_xlfn.XLOOKUP(D523,product!$A:$A,product!$E:$E,,0))</f>
        <v>HISTORY</v>
      </c>
      <c r="J523" s="5">
        <f>IF(_xlfn.XLOOKUP(D523,product!$A:$A,product!$D:$D,,0)=0,"",_xlfn.XLOOKUP(D523,product!$A:$A,product!$D:$D,,0))</f>
        <v>20.43</v>
      </c>
      <c r="K523" s="7">
        <f t="shared" si="8"/>
        <v>61.29</v>
      </c>
      <c r="L523" s="10" t="str">
        <f>IF(_xlfn.XLOOKUP(D523,product!$A:$A,product!$F:$F,,0)=0,"",_xlfn.XLOOKUP(D523,product!$A:$A,product!$F:$F,,0))</f>
        <v>Yes</v>
      </c>
      <c r="M523" t="str">
        <f>IF(_xlfn.XLOOKUP(D523,product!$A:$A,product!G:G,,0)=0,"",_xlfn.XLOOKUP(D523,product!$A:$A,product!G:G,,0))</f>
        <v>None</v>
      </c>
      <c r="N523" t="str">
        <f>IF(_xlfn.XLOOKUP(D523,product!$A:$A,product!$B:$B,,0)=0,"",_xlfn.XLOOKUP(D523,product!$A:$A,product!$B:$B,,0))</f>
        <v>Secrets Data</v>
      </c>
    </row>
    <row r="524" spans="1:14" x14ac:dyDescent="0.35">
      <c r="A524" t="s">
        <v>52</v>
      </c>
      <c r="B524" s="3">
        <v>45059</v>
      </c>
      <c r="C524" t="s">
        <v>2236</v>
      </c>
      <c r="D524" t="s">
        <v>5881</v>
      </c>
      <c r="E524">
        <v>3</v>
      </c>
      <c r="F524" t="str">
        <f>_xlfn.XLOOKUP(C524,customers!$A$1:$A$983,customers!$B$1:$B$983,,0)</f>
        <v>Kevin Jackson</v>
      </c>
      <c r="G524" t="str">
        <f>_xlfn.XLOOKUP(C524,customers!$A:$A,customers!$C:$C,,0)</f>
        <v>kevin.jackson352@yahoo.com</v>
      </c>
      <c r="H524" t="str">
        <f>IF(_xlfn.XLOOKUP(C524,customers!$A:$A,customers!$G:$G,,0)=0,"",_xlfn.XLOOKUP(C524,customers!$A:$A,customers!$G:$G,,0))</f>
        <v>USA</v>
      </c>
      <c r="I524" t="str">
        <f>IF(_xlfn.XLOOKUP(D524,product!$A:$A,product!$E:$E,,0)=0,"",_xlfn.XLOOKUP(D524,product!$A:$A,product!$E:$E,,0))</f>
        <v>HISTORY</v>
      </c>
      <c r="J524" s="5">
        <f>IF(_xlfn.XLOOKUP(D524,product!$A:$A,product!$D:$D,,0)=0,"",_xlfn.XLOOKUP(D524,product!$A:$A,product!$D:$D,,0))</f>
        <v>34.43</v>
      </c>
      <c r="K524" s="7">
        <f t="shared" si="8"/>
        <v>103.28999999999999</v>
      </c>
      <c r="L524" s="10" t="str">
        <f>IF(_xlfn.XLOOKUP(D524,product!$A:$A,product!$F:$F,,0)=0,"",_xlfn.XLOOKUP(D524,product!$A:$A,product!$F:$F,,0))</f>
        <v>No</v>
      </c>
      <c r="M524" t="str">
        <f>IF(_xlfn.XLOOKUP(D524,product!$A:$A,product!G:G,,0)=0,"",_xlfn.XLOOKUP(D524,product!$A:$A,product!G:G,,0))</f>
        <v>None</v>
      </c>
      <c r="N524" t="str">
        <f>IF(_xlfn.XLOOKUP(D524,product!$A:$A,product!$B:$B,,0)=0,"",_xlfn.XLOOKUP(D524,product!$A:$A,product!$B:$B,,0))</f>
        <v>Mind Science</v>
      </c>
    </row>
    <row r="525" spans="1:14" x14ac:dyDescent="0.35">
      <c r="A525" t="s">
        <v>139</v>
      </c>
      <c r="B525" s="3">
        <v>45590</v>
      </c>
      <c r="C525" t="s">
        <v>3441</v>
      </c>
      <c r="D525" t="s">
        <v>5882</v>
      </c>
      <c r="E525">
        <v>3</v>
      </c>
      <c r="F525" t="str">
        <f>_xlfn.XLOOKUP(C525,customers!$A$1:$A$983,customers!$B$1:$B$983,,0)</f>
        <v>James Young</v>
      </c>
      <c r="G525" t="str">
        <f>_xlfn.XLOOKUP(C525,customers!$A:$A,customers!$C:$C,,0)</f>
        <v>james.young935@yahoo.com</v>
      </c>
      <c r="H525" t="str">
        <f>IF(_xlfn.XLOOKUP(C525,customers!$A:$A,customers!$G:$G,,0)=0,"",_xlfn.XLOOKUP(C525,customers!$A:$A,customers!$G:$G,,0))</f>
        <v>India</v>
      </c>
      <c r="I525" t="str">
        <f>IF(_xlfn.XLOOKUP(D525,product!$A:$A,product!$E:$E,,0)=0,"",_xlfn.XLOOKUP(D525,product!$A:$A,product!$E:$E,,0))</f>
        <v>SCIENCE</v>
      </c>
      <c r="J525" s="5">
        <f>IF(_xlfn.XLOOKUP(D525,product!$A:$A,product!$D:$D,,0)=0,"",_xlfn.XLOOKUP(D525,product!$A:$A,product!$D:$D,,0))</f>
        <v>30.08</v>
      </c>
      <c r="K525" s="7">
        <f t="shared" si="8"/>
        <v>90.24</v>
      </c>
      <c r="L525" s="10" t="str">
        <f>IF(_xlfn.XLOOKUP(D525,product!$A:$A,product!$F:$F,,0)=0,"",_xlfn.XLOOKUP(D525,product!$A:$A,product!$F:$F,,0))</f>
        <v>Yes</v>
      </c>
      <c r="M525" t="str">
        <f>IF(_xlfn.XLOOKUP(D525,product!$A:$A,product!G:G,,0)=0,"",_xlfn.XLOOKUP(D525,product!$A:$A,product!G:G,,0))</f>
        <v>Gold</v>
      </c>
      <c r="N525" t="str">
        <f>IF(_xlfn.XLOOKUP(D525,product!$A:$A,product!$B:$B,,0)=0,"",_xlfn.XLOOKUP(D525,product!$A:$A,product!$B:$B,,0))</f>
        <v>Silent Quantum</v>
      </c>
    </row>
    <row r="526" spans="1:14" x14ac:dyDescent="0.35">
      <c r="A526" t="s">
        <v>156</v>
      </c>
      <c r="B526" s="3">
        <v>45121</v>
      </c>
      <c r="C526" t="s">
        <v>3234</v>
      </c>
      <c r="D526" t="s">
        <v>5883</v>
      </c>
      <c r="E526">
        <v>2</v>
      </c>
      <c r="F526" t="str">
        <f>_xlfn.XLOOKUP(C526,customers!$A$1:$A$983,customers!$B$1:$B$983,,0)</f>
        <v>Michael Walker</v>
      </c>
      <c r="G526" t="str">
        <f>_xlfn.XLOOKUP(C526,customers!$A:$A,customers!$C:$C,,0)</f>
        <v>michael.walker830@gmail.com</v>
      </c>
      <c r="H526" t="str">
        <f>IF(_xlfn.XLOOKUP(C526,customers!$A:$A,customers!$G:$G,,0)=0,"",_xlfn.XLOOKUP(C526,customers!$A:$A,customers!$G:$G,,0))</f>
        <v>Iraq</v>
      </c>
      <c r="I526" t="str">
        <f>IF(_xlfn.XLOOKUP(D526,product!$A:$A,product!$E:$E,,0)=0,"",_xlfn.XLOOKUP(D526,product!$A:$A,product!$E:$E,,0))</f>
        <v>TECH</v>
      </c>
      <c r="J526" s="5">
        <f>IF(_xlfn.XLOOKUP(D526,product!$A:$A,product!$D:$D,,0)=0,"",_xlfn.XLOOKUP(D526,product!$A:$A,product!$D:$D,,0))</f>
        <v>21</v>
      </c>
      <c r="K526" s="7">
        <f t="shared" si="8"/>
        <v>42</v>
      </c>
      <c r="L526" s="10" t="str">
        <f>IF(_xlfn.XLOOKUP(D526,product!$A:$A,product!$F:$F,,0)=0,"",_xlfn.XLOOKUP(D526,product!$A:$A,product!$F:$F,,0))</f>
        <v>Yes</v>
      </c>
      <c r="M526" t="str">
        <f>IF(_xlfn.XLOOKUP(D526,product!$A:$A,product!G:G,,0)=0,"",_xlfn.XLOOKUP(D526,product!$A:$A,product!G:G,,0))</f>
        <v>Silver</v>
      </c>
      <c r="N526" t="str">
        <f>IF(_xlfn.XLOOKUP(D526,product!$A:$A,product!$B:$B,,0)=0,"",_xlfn.XLOOKUP(D526,product!$A:$A,product!$B:$B,,0))</f>
        <v>Future Secrets</v>
      </c>
    </row>
    <row r="527" spans="1:14" x14ac:dyDescent="0.35">
      <c r="A527" t="s">
        <v>173</v>
      </c>
      <c r="B527" s="3">
        <v>45507</v>
      </c>
      <c r="C527" t="s">
        <v>1401</v>
      </c>
      <c r="D527" t="s">
        <v>5884</v>
      </c>
      <c r="E527">
        <v>2</v>
      </c>
      <c r="F527" t="str">
        <f>_xlfn.XLOOKUP(C527,customers!$A$1:$A$983,customers!$B$1:$B$983,,0)</f>
        <v>Isabella Clark</v>
      </c>
      <c r="G527" t="str">
        <f>_xlfn.XLOOKUP(C527,customers!$A:$A,customers!$C:$C,,0)</f>
        <v>isabella.clark93@outlook.com</v>
      </c>
      <c r="H527" t="str">
        <f>IF(_xlfn.XLOOKUP(C527,customers!$A:$A,customers!$G:$G,,0)=0,"",_xlfn.XLOOKUP(C527,customers!$A:$A,customers!$G:$G,,0))</f>
        <v>Japan</v>
      </c>
      <c r="I527" t="str">
        <f>IF(_xlfn.XLOOKUP(D527,product!$A:$A,product!$E:$E,,0)=0,"",_xlfn.XLOOKUP(D527,product!$A:$A,product!$E:$E,,0))</f>
        <v>HISTORY</v>
      </c>
      <c r="J527" s="5">
        <f>IF(_xlfn.XLOOKUP(D527,product!$A:$A,product!$D:$D,,0)=0,"",_xlfn.XLOOKUP(D527,product!$A:$A,product!$D:$D,,0))</f>
        <v>25.06</v>
      </c>
      <c r="K527" s="7">
        <f t="shared" si="8"/>
        <v>50.12</v>
      </c>
      <c r="L527" s="10" t="str">
        <f>IF(_xlfn.XLOOKUP(D527,product!$A:$A,product!$F:$F,,0)=0,"",_xlfn.XLOOKUP(D527,product!$A:$A,product!$F:$F,,0))</f>
        <v>Yes</v>
      </c>
      <c r="M527" t="str">
        <f>IF(_xlfn.XLOOKUP(D527,product!$A:$A,product!G:G,,0)=0,"",_xlfn.XLOOKUP(D527,product!$A:$A,product!G:G,,0))</f>
        <v>None</v>
      </c>
      <c r="N527" t="str">
        <f>IF(_xlfn.XLOOKUP(D527,product!$A:$A,product!$B:$B,,0)=0,"",_xlfn.XLOOKUP(D527,product!$A:$A,product!$B:$B,,0))</f>
        <v>Silent Quantum</v>
      </c>
    </row>
    <row r="528" spans="1:14" x14ac:dyDescent="0.35">
      <c r="A528" t="s">
        <v>190</v>
      </c>
      <c r="B528" s="3">
        <v>44951</v>
      </c>
      <c r="C528" t="s">
        <v>2646</v>
      </c>
      <c r="D528" t="s">
        <v>5885</v>
      </c>
      <c r="E528">
        <v>2</v>
      </c>
      <c r="F528" t="str">
        <f>_xlfn.XLOOKUP(C528,customers!$A$1:$A$983,customers!$B$1:$B$983,,0)</f>
        <v>Paul Robinson</v>
      </c>
      <c r="G528" t="str">
        <f>_xlfn.XLOOKUP(C528,customers!$A:$A,customers!$C:$C,,0)</f>
        <v>paul.robinson542@gmail.com</v>
      </c>
      <c r="H528" t="str">
        <f>IF(_xlfn.XLOOKUP(C528,customers!$A:$A,customers!$G:$G,,0)=0,"",_xlfn.XLOOKUP(C528,customers!$A:$A,customers!$G:$G,,0))</f>
        <v>UAE</v>
      </c>
      <c r="I528" t="str">
        <f>IF(_xlfn.XLOOKUP(D528,product!$A:$A,product!$E:$E,,0)=0,"",_xlfn.XLOOKUP(D528,product!$A:$A,product!$E:$E,,0))</f>
        <v>TECH</v>
      </c>
      <c r="J528" s="5">
        <f>IF(_xlfn.XLOOKUP(D528,product!$A:$A,product!$D:$D,,0)=0,"",_xlfn.XLOOKUP(D528,product!$A:$A,product!$D:$D,,0))</f>
        <v>24.3</v>
      </c>
      <c r="K528" s="7">
        <f t="shared" si="8"/>
        <v>48.6</v>
      </c>
      <c r="L528" s="10" t="str">
        <f>IF(_xlfn.XLOOKUP(D528,product!$A:$A,product!$F:$F,,0)=0,"",_xlfn.XLOOKUP(D528,product!$A:$A,product!$F:$F,,0))</f>
        <v>Yes</v>
      </c>
      <c r="M528" t="str">
        <f>IF(_xlfn.XLOOKUP(D528,product!$A:$A,product!G:G,,0)=0,"",_xlfn.XLOOKUP(D528,product!$A:$A,product!G:G,,0))</f>
        <v>None</v>
      </c>
      <c r="N528" t="str">
        <f>IF(_xlfn.XLOOKUP(D528,product!$A:$A,product!$B:$B,,0)=0,"",_xlfn.XLOOKUP(D528,product!$A:$A,product!$B:$B,,0))</f>
        <v>Quantum Future</v>
      </c>
    </row>
    <row r="529" spans="1:14" x14ac:dyDescent="0.35">
      <c r="A529" t="s">
        <v>207</v>
      </c>
      <c r="B529" s="3">
        <v>45403</v>
      </c>
      <c r="C529" t="s">
        <v>2423</v>
      </c>
      <c r="D529" t="s">
        <v>5886</v>
      </c>
      <c r="E529">
        <v>2</v>
      </c>
      <c r="F529" t="str">
        <f>_xlfn.XLOOKUP(C529,customers!$A$1:$A$983,customers!$B$1:$B$983,,0)</f>
        <v>David Young</v>
      </c>
      <c r="G529" t="str">
        <f>_xlfn.XLOOKUP(C529,customers!$A:$A,customers!$C:$C,,0)</f>
        <v>david.young435@gmail.com</v>
      </c>
      <c r="H529" t="str">
        <f>IF(_xlfn.XLOOKUP(C529,customers!$A:$A,customers!$G:$G,,0)=0,"",_xlfn.XLOOKUP(C529,customers!$A:$A,customers!$G:$G,,0))</f>
        <v>Japan</v>
      </c>
      <c r="I529" t="str">
        <f>IF(_xlfn.XLOOKUP(D529,product!$A:$A,product!$E:$E,,0)=0,"",_xlfn.XLOOKUP(D529,product!$A:$A,product!$E:$E,,0))</f>
        <v>TECH</v>
      </c>
      <c r="J529" s="5">
        <f>IF(_xlfn.XLOOKUP(D529,product!$A:$A,product!$D:$D,,0)=0,"",_xlfn.XLOOKUP(D529,product!$A:$A,product!$D:$D,,0))</f>
        <v>20.63</v>
      </c>
      <c r="K529" s="7">
        <f t="shared" si="8"/>
        <v>41.26</v>
      </c>
      <c r="L529" s="10" t="str">
        <f>IF(_xlfn.XLOOKUP(D529,product!$A:$A,product!$F:$F,,0)=0,"",_xlfn.XLOOKUP(D529,product!$A:$A,product!$F:$F,,0))</f>
        <v>Yes</v>
      </c>
      <c r="M529" t="str">
        <f>IF(_xlfn.XLOOKUP(D529,product!$A:$A,product!G:G,,0)=0,"",_xlfn.XLOOKUP(D529,product!$A:$A,product!G:G,,0))</f>
        <v>None</v>
      </c>
      <c r="N529" t="str">
        <f>IF(_xlfn.XLOOKUP(D529,product!$A:$A,product!$B:$B,,0)=0,"",_xlfn.XLOOKUP(D529,product!$A:$A,product!$B:$B,,0))</f>
        <v>Data Future</v>
      </c>
    </row>
    <row r="530" spans="1:14" x14ac:dyDescent="0.35">
      <c r="A530" t="s">
        <v>224</v>
      </c>
      <c r="B530" s="3">
        <v>45173</v>
      </c>
      <c r="C530" t="s">
        <v>2260</v>
      </c>
      <c r="D530" t="s">
        <v>5887</v>
      </c>
      <c r="E530">
        <v>2</v>
      </c>
      <c r="F530" t="str">
        <f>_xlfn.XLOOKUP(C530,customers!$A$1:$A$983,customers!$B$1:$B$983,,0)</f>
        <v>Olivia Allen</v>
      </c>
      <c r="G530" t="str">
        <f>_xlfn.XLOOKUP(C530,customers!$A:$A,customers!$C:$C,,0)</f>
        <v>olivia.allen362@hotmail.com</v>
      </c>
      <c r="H530" t="str">
        <f>IF(_xlfn.XLOOKUP(C530,customers!$A:$A,customers!$G:$G,,0)=0,"",_xlfn.XLOOKUP(C530,customers!$A:$A,customers!$G:$G,,0))</f>
        <v>Pakistan</v>
      </c>
      <c r="I530" t="str">
        <f>IF(_xlfn.XLOOKUP(D530,product!$A:$A,product!$E:$E,,0)=0,"",_xlfn.XLOOKUP(D530,product!$A:$A,product!$E:$E,,0))</f>
        <v>TECH</v>
      </c>
      <c r="J530" s="5">
        <f>IF(_xlfn.XLOOKUP(D530,product!$A:$A,product!$D:$D,,0)=0,"",_xlfn.XLOOKUP(D530,product!$A:$A,product!$D:$D,,0))</f>
        <v>30.26</v>
      </c>
      <c r="K530" s="7">
        <f t="shared" si="8"/>
        <v>60.52</v>
      </c>
      <c r="L530" s="10" t="str">
        <f>IF(_xlfn.XLOOKUP(D530,product!$A:$A,product!$F:$F,,0)=0,"",_xlfn.XLOOKUP(D530,product!$A:$A,product!$F:$F,,0))</f>
        <v>No</v>
      </c>
      <c r="M530" t="str">
        <f>IF(_xlfn.XLOOKUP(D530,product!$A:$A,product!G:G,,0)=0,"",_xlfn.XLOOKUP(D530,product!$A:$A,product!G:G,,0))</f>
        <v>None</v>
      </c>
      <c r="N530" t="str">
        <f>IF(_xlfn.XLOOKUP(D530,product!$A:$A,product!$B:$B,,0)=0,"",_xlfn.XLOOKUP(D530,product!$A:$A,product!$B:$B,,0))</f>
        <v>Journey Future</v>
      </c>
    </row>
    <row r="531" spans="1:14" x14ac:dyDescent="0.35">
      <c r="A531" t="s">
        <v>241</v>
      </c>
      <c r="B531" s="3">
        <v>45656</v>
      </c>
      <c r="C531" t="s">
        <v>2548</v>
      </c>
      <c r="D531" t="s">
        <v>5888</v>
      </c>
      <c r="E531">
        <v>2</v>
      </c>
      <c r="F531" t="str">
        <f>_xlfn.XLOOKUP(C531,customers!$A$1:$A$983,customers!$B$1:$B$983,,0)</f>
        <v>Amelia Hill</v>
      </c>
      <c r="G531" t="str">
        <f>_xlfn.XLOOKUP(C531,customers!$A:$A,customers!$C:$C,,0)</f>
        <v>amelia.hill495@outlook.com</v>
      </c>
      <c r="H531" t="str">
        <f>IF(_xlfn.XLOOKUP(C531,customers!$A:$A,customers!$G:$G,,0)=0,"",_xlfn.XLOOKUP(C531,customers!$A:$A,customers!$G:$G,,0))</f>
        <v>Germany</v>
      </c>
      <c r="I531" t="str">
        <f>IF(_xlfn.XLOOKUP(D531,product!$A:$A,product!$E:$E,,0)=0,"",_xlfn.XLOOKUP(D531,product!$A:$A,product!$E:$E,,0))</f>
        <v>HISTORY</v>
      </c>
      <c r="J531" s="5">
        <f>IF(_xlfn.XLOOKUP(D531,product!$A:$A,product!$D:$D,,0)=0,"",_xlfn.XLOOKUP(D531,product!$A:$A,product!$D:$D,,0))</f>
        <v>12.37</v>
      </c>
      <c r="K531" s="7">
        <f t="shared" si="8"/>
        <v>24.74</v>
      </c>
      <c r="L531" s="10" t="str">
        <f>IF(_xlfn.XLOOKUP(D531,product!$A:$A,product!$F:$F,,0)=0,"",_xlfn.XLOOKUP(D531,product!$A:$A,product!$F:$F,,0))</f>
        <v>No</v>
      </c>
      <c r="M531" t="str">
        <f>IF(_xlfn.XLOOKUP(D531,product!$A:$A,product!G:G,,0)=0,"",_xlfn.XLOOKUP(D531,product!$A:$A,product!G:G,,0))</f>
        <v>Silver</v>
      </c>
      <c r="N531" t="str">
        <f>IF(_xlfn.XLOOKUP(D531,product!$A:$A,product!$B:$B,,0)=0,"",_xlfn.XLOOKUP(D531,product!$A:$A,product!$B:$B,,0))</f>
        <v>Secrets Data</v>
      </c>
    </row>
    <row r="532" spans="1:14" x14ac:dyDescent="0.35">
      <c r="A532" t="s">
        <v>258</v>
      </c>
      <c r="B532" s="3">
        <v>45001</v>
      </c>
      <c r="C532" t="s">
        <v>1923</v>
      </c>
      <c r="D532" t="s">
        <v>5889</v>
      </c>
      <c r="E532">
        <v>2</v>
      </c>
      <c r="F532" t="str">
        <f>_xlfn.XLOOKUP(C532,customers!$A$1:$A$983,customers!$B$1:$B$983,,0)</f>
        <v>Steven Martin</v>
      </c>
      <c r="G532" t="str">
        <f>_xlfn.XLOOKUP(C532,customers!$A:$A,customers!$C:$C,,0)</f>
        <v>steven.martin236@yahoo.com</v>
      </c>
      <c r="H532" t="str">
        <f>IF(_xlfn.XLOOKUP(C532,customers!$A:$A,customers!$G:$G,,0)=0,"",_xlfn.XLOOKUP(C532,customers!$A:$A,customers!$G:$G,,0))</f>
        <v>Pakistan</v>
      </c>
      <c r="I532" t="str">
        <f>IF(_xlfn.XLOOKUP(D532,product!$A:$A,product!$E:$E,,0)=0,"",_xlfn.XLOOKUP(D532,product!$A:$A,product!$E:$E,,0))</f>
        <v>BUSINESS</v>
      </c>
      <c r="J532" s="5">
        <f>IF(_xlfn.XLOOKUP(D532,product!$A:$A,product!$D:$D,,0)=0,"",_xlfn.XLOOKUP(D532,product!$A:$A,product!$D:$D,,0))</f>
        <v>26.79</v>
      </c>
      <c r="K532" s="7">
        <f t="shared" si="8"/>
        <v>53.58</v>
      </c>
      <c r="L532" s="10" t="str">
        <f>IF(_xlfn.XLOOKUP(D532,product!$A:$A,product!$F:$F,,0)=0,"",_xlfn.XLOOKUP(D532,product!$A:$A,product!$F:$F,,0))</f>
        <v>Yes</v>
      </c>
      <c r="M532" t="str">
        <f>IF(_xlfn.XLOOKUP(D532,product!$A:$A,product!G:G,,0)=0,"",_xlfn.XLOOKUP(D532,product!$A:$A,product!G:G,,0))</f>
        <v>Silver</v>
      </c>
      <c r="N532" t="str">
        <f>IF(_xlfn.XLOOKUP(D532,product!$A:$A,product!$B:$B,,0)=0,"",_xlfn.XLOOKUP(D532,product!$A:$A,product!$B:$B,,0))</f>
        <v>Secrets Mind</v>
      </c>
    </row>
    <row r="533" spans="1:14" x14ac:dyDescent="0.35">
      <c r="A533" t="s">
        <v>275</v>
      </c>
      <c r="B533" s="3">
        <v>45332</v>
      </c>
      <c r="C533" t="s">
        <v>2155</v>
      </c>
      <c r="D533" t="s">
        <v>5890</v>
      </c>
      <c r="E533">
        <v>2</v>
      </c>
      <c r="F533" t="str">
        <f>_xlfn.XLOOKUP(C533,customers!$A$1:$A$983,customers!$B$1:$B$983,,0)</f>
        <v>Kevin Hall</v>
      </c>
      <c r="G533" t="str">
        <f>_xlfn.XLOOKUP(C533,customers!$A:$A,customers!$C:$C,,0)</f>
        <v>kevin.hall317@gmail.com</v>
      </c>
      <c r="H533" t="str">
        <f>IF(_xlfn.XLOOKUP(C533,customers!$A:$A,customers!$G:$G,,0)=0,"",_xlfn.XLOOKUP(C533,customers!$A:$A,customers!$G:$G,,0))</f>
        <v>Pakistan</v>
      </c>
      <c r="I533" t="str">
        <f>IF(_xlfn.XLOOKUP(D533,product!$A:$A,product!$E:$E,,0)=0,"",_xlfn.XLOOKUP(D533,product!$A:$A,product!$E:$E,,0))</f>
        <v>FICTION</v>
      </c>
      <c r="J533" s="5">
        <f>IF(_xlfn.XLOOKUP(D533,product!$A:$A,product!$D:$D,,0)=0,"",_xlfn.XLOOKUP(D533,product!$A:$A,product!$D:$D,,0))</f>
        <v>15.54</v>
      </c>
      <c r="K533" s="7">
        <f t="shared" si="8"/>
        <v>31.08</v>
      </c>
      <c r="L533" s="10" t="str">
        <f>IF(_xlfn.XLOOKUP(D533,product!$A:$A,product!$F:$F,,0)=0,"",_xlfn.XLOOKUP(D533,product!$A:$A,product!$F:$F,,0))</f>
        <v>Yes</v>
      </c>
      <c r="M533" t="str">
        <f>IF(_xlfn.XLOOKUP(D533,product!$A:$A,product!G:G,,0)=0,"",_xlfn.XLOOKUP(D533,product!$A:$A,product!G:G,,0))</f>
        <v>Gold</v>
      </c>
      <c r="N533" t="str">
        <f>IF(_xlfn.XLOOKUP(D533,product!$A:$A,product!$B:$B,,0)=0,"",_xlfn.XLOOKUP(D533,product!$A:$A,product!$B:$B,,0))</f>
        <v>Secrets Forest</v>
      </c>
    </row>
    <row r="534" spans="1:14" x14ac:dyDescent="0.35">
      <c r="A534" t="s">
        <v>292</v>
      </c>
      <c r="B534" s="3">
        <v>45161</v>
      </c>
      <c r="C534" t="s">
        <v>1874</v>
      </c>
      <c r="D534" t="s">
        <v>5891</v>
      </c>
      <c r="E534">
        <v>2</v>
      </c>
      <c r="F534" t="str">
        <f>_xlfn.XLOOKUP(C534,customers!$A$1:$A$983,customers!$B$1:$B$983,,0)</f>
        <v>Anthony Thomas</v>
      </c>
      <c r="G534" t="str">
        <f>_xlfn.XLOOKUP(C534,customers!$A:$A,customers!$C:$C,,0)</f>
        <v>anthony.thomas221@gmail.com</v>
      </c>
      <c r="H534" t="str">
        <f>IF(_xlfn.XLOOKUP(C534,customers!$A:$A,customers!$G:$G,,0)=0,"",_xlfn.XLOOKUP(C534,customers!$A:$A,customers!$G:$G,,0))</f>
        <v>Egypt</v>
      </c>
      <c r="I534" t="str">
        <f>IF(_xlfn.XLOOKUP(D534,product!$A:$A,product!$E:$E,,0)=0,"",_xlfn.XLOOKUP(D534,product!$A:$A,product!$E:$E,,0))</f>
        <v>TECH</v>
      </c>
      <c r="J534" s="5">
        <f>IF(_xlfn.XLOOKUP(D534,product!$A:$A,product!$D:$D,,0)=0,"",_xlfn.XLOOKUP(D534,product!$A:$A,product!$D:$D,,0))</f>
        <v>27.07</v>
      </c>
      <c r="K534" s="7">
        <f t="shared" si="8"/>
        <v>54.14</v>
      </c>
      <c r="L534" s="10" t="str">
        <f>IF(_xlfn.XLOOKUP(D534,product!$A:$A,product!$F:$F,,0)=0,"",_xlfn.XLOOKUP(D534,product!$A:$A,product!$F:$F,,0))</f>
        <v>No</v>
      </c>
      <c r="M534" t="str">
        <f>IF(_xlfn.XLOOKUP(D534,product!$A:$A,product!G:G,,0)=0,"",_xlfn.XLOOKUP(D534,product!$A:$A,product!G:G,,0))</f>
        <v>None</v>
      </c>
      <c r="N534" t="str">
        <f>IF(_xlfn.XLOOKUP(D534,product!$A:$A,product!$B:$B,,0)=0,"",_xlfn.XLOOKUP(D534,product!$A:$A,product!$B:$B,,0))</f>
        <v>Science Forest</v>
      </c>
    </row>
    <row r="535" spans="1:14" x14ac:dyDescent="0.35">
      <c r="A535" t="s">
        <v>309</v>
      </c>
      <c r="B535" s="3">
        <v>45432</v>
      </c>
      <c r="C535" t="s">
        <v>1858</v>
      </c>
      <c r="D535" t="s">
        <v>5892</v>
      </c>
      <c r="E535">
        <v>2</v>
      </c>
      <c r="F535" t="str">
        <f>_xlfn.XLOOKUP(C535,customers!$A$1:$A$983,customers!$B$1:$B$983,,0)</f>
        <v>Grace Harris</v>
      </c>
      <c r="G535" t="str">
        <f>_xlfn.XLOOKUP(C535,customers!$A:$A,customers!$C:$C,,0)</f>
        <v>grace.harris216@outlook.com</v>
      </c>
      <c r="H535" t="str">
        <f>IF(_xlfn.XLOOKUP(C535,customers!$A:$A,customers!$G:$G,,0)=0,"",_xlfn.XLOOKUP(C535,customers!$A:$A,customers!$G:$G,,0))</f>
        <v>Germany</v>
      </c>
      <c r="I535" t="str">
        <f>IF(_xlfn.XLOOKUP(D535,product!$A:$A,product!$E:$E,,0)=0,"",_xlfn.XLOOKUP(D535,product!$A:$A,product!$E:$E,,0))</f>
        <v>BUSINESS</v>
      </c>
      <c r="J535" s="5">
        <f>IF(_xlfn.XLOOKUP(D535,product!$A:$A,product!$D:$D,,0)=0,"",_xlfn.XLOOKUP(D535,product!$A:$A,product!$D:$D,,0))</f>
        <v>34.94</v>
      </c>
      <c r="K535" s="7">
        <f t="shared" si="8"/>
        <v>69.88</v>
      </c>
      <c r="L535" s="10" t="str">
        <f>IF(_xlfn.XLOOKUP(D535,product!$A:$A,product!$F:$F,,0)=0,"",_xlfn.XLOOKUP(D535,product!$A:$A,product!$F:$F,,0))</f>
        <v>Yes</v>
      </c>
      <c r="M535" t="str">
        <f>IF(_xlfn.XLOOKUP(D535,product!$A:$A,product!G:G,,0)=0,"",_xlfn.XLOOKUP(D535,product!$A:$A,product!G:G,,0))</f>
        <v>Gold</v>
      </c>
      <c r="N535" t="str">
        <f>IF(_xlfn.XLOOKUP(D535,product!$A:$A,product!$B:$B,,0)=0,"",_xlfn.XLOOKUP(D535,product!$A:$A,product!$B:$B,,0))</f>
        <v>Journey Quantum</v>
      </c>
    </row>
    <row r="536" spans="1:14" x14ac:dyDescent="0.35">
      <c r="A536" t="s">
        <v>326</v>
      </c>
      <c r="B536" s="3">
        <v>45251</v>
      </c>
      <c r="C536" t="s">
        <v>2165</v>
      </c>
      <c r="D536" t="s">
        <v>5893</v>
      </c>
      <c r="E536">
        <v>2</v>
      </c>
      <c r="F536" t="str">
        <f>_xlfn.XLOOKUP(C536,customers!$A$1:$A$983,customers!$B$1:$B$983,,0)</f>
        <v>Laura Garcia</v>
      </c>
      <c r="G536" t="str">
        <f>_xlfn.XLOOKUP(C536,customers!$A:$A,customers!$C:$C,,0)</f>
        <v>laura.garcia322@hotmail.com</v>
      </c>
      <c r="H536" t="str">
        <f>IF(_xlfn.XLOOKUP(C536,customers!$A:$A,customers!$G:$G,,0)=0,"",_xlfn.XLOOKUP(C536,customers!$A:$A,customers!$G:$G,,0))</f>
        <v>Japan</v>
      </c>
      <c r="I536" t="str">
        <f>IF(_xlfn.XLOOKUP(D536,product!$A:$A,product!$E:$E,,0)=0,"",_xlfn.XLOOKUP(D536,product!$A:$A,product!$E:$E,,0))</f>
        <v>TECH</v>
      </c>
      <c r="J536" s="5">
        <f>IF(_xlfn.XLOOKUP(D536,product!$A:$A,product!$D:$D,,0)=0,"",_xlfn.XLOOKUP(D536,product!$A:$A,product!$D:$D,,0))</f>
        <v>10.26</v>
      </c>
      <c r="K536" s="7">
        <f t="shared" si="8"/>
        <v>20.52</v>
      </c>
      <c r="L536" s="10" t="str">
        <f>IF(_xlfn.XLOOKUP(D536,product!$A:$A,product!$F:$F,,0)=0,"",_xlfn.XLOOKUP(D536,product!$A:$A,product!$F:$F,,0))</f>
        <v>No</v>
      </c>
      <c r="M536" t="str">
        <f>IF(_xlfn.XLOOKUP(D536,product!$A:$A,product!G:G,,0)=0,"",_xlfn.XLOOKUP(D536,product!$A:$A,product!G:G,,0))</f>
        <v>Gold</v>
      </c>
      <c r="N536" t="str">
        <f>IF(_xlfn.XLOOKUP(D536,product!$A:$A,product!$B:$B,,0)=0,"",_xlfn.XLOOKUP(D536,product!$A:$A,product!$B:$B,,0))</f>
        <v>Power Forest</v>
      </c>
    </row>
    <row r="537" spans="1:14" x14ac:dyDescent="0.35">
      <c r="A537" t="s">
        <v>343</v>
      </c>
      <c r="B537" s="3">
        <v>45478</v>
      </c>
      <c r="C537" t="s">
        <v>3238</v>
      </c>
      <c r="D537" t="s">
        <v>5894</v>
      </c>
      <c r="E537">
        <v>2</v>
      </c>
      <c r="F537" t="str">
        <f>_xlfn.XLOOKUP(C537,customers!$A$1:$A$983,customers!$B$1:$B$983,,0)</f>
        <v>Brian Hall</v>
      </c>
      <c r="G537" t="str">
        <f>_xlfn.XLOOKUP(C537,customers!$A:$A,customers!$C:$C,,0)</f>
        <v>brian.hall832@hotmail.com</v>
      </c>
      <c r="H537" t="str">
        <f>IF(_xlfn.XLOOKUP(C537,customers!$A:$A,customers!$G:$G,,0)=0,"",_xlfn.XLOOKUP(C537,customers!$A:$A,customers!$G:$G,,0))</f>
        <v>Finland</v>
      </c>
      <c r="I537" t="str">
        <f>IF(_xlfn.XLOOKUP(D537,product!$A:$A,product!$E:$E,,0)=0,"",_xlfn.XLOOKUP(D537,product!$A:$A,product!$E:$E,,0))</f>
        <v>FICTION</v>
      </c>
      <c r="J537" s="5">
        <f>IF(_xlfn.XLOOKUP(D537,product!$A:$A,product!$D:$D,,0)=0,"",_xlfn.XLOOKUP(D537,product!$A:$A,product!$D:$D,,0))</f>
        <v>35.409999999999997</v>
      </c>
      <c r="K537" s="7">
        <f t="shared" si="8"/>
        <v>70.819999999999993</v>
      </c>
      <c r="L537" s="10" t="str">
        <f>IF(_xlfn.XLOOKUP(D537,product!$A:$A,product!$F:$F,,0)=0,"",_xlfn.XLOOKUP(D537,product!$A:$A,product!$F:$F,,0))</f>
        <v>Yes</v>
      </c>
      <c r="M537" t="str">
        <f>IF(_xlfn.XLOOKUP(D537,product!$A:$A,product!G:G,,0)=0,"",_xlfn.XLOOKUP(D537,product!$A:$A,product!G:G,,0))</f>
        <v>None</v>
      </c>
      <c r="N537" t="str">
        <f>IF(_xlfn.XLOOKUP(D537,product!$A:$A,product!$B:$B,,0)=0,"",_xlfn.XLOOKUP(D537,product!$A:$A,product!$B:$B,,0))</f>
        <v>Silent Power</v>
      </c>
    </row>
    <row r="538" spans="1:14" x14ac:dyDescent="0.35">
      <c r="A538" t="s">
        <v>360</v>
      </c>
      <c r="B538" s="3">
        <v>45107</v>
      </c>
      <c r="C538" t="s">
        <v>3263</v>
      </c>
      <c r="D538" t="s">
        <v>5895</v>
      </c>
      <c r="E538">
        <v>2</v>
      </c>
      <c r="F538" t="str">
        <f>_xlfn.XLOOKUP(C538,customers!$A$1:$A$983,customers!$B$1:$B$983,,0)</f>
        <v>James Wright</v>
      </c>
      <c r="G538" t="str">
        <f>_xlfn.XLOOKUP(C538,customers!$A:$A,customers!$C:$C,,0)</f>
        <v>james.wright845@gmail.com</v>
      </c>
      <c r="H538" t="str">
        <f>IF(_xlfn.XLOOKUP(C538,customers!$A:$A,customers!$G:$G,,0)=0,"",_xlfn.XLOOKUP(C538,customers!$A:$A,customers!$G:$G,,0))</f>
        <v>Pakistan</v>
      </c>
      <c r="I538" t="str">
        <f>IF(_xlfn.XLOOKUP(D538,product!$A:$A,product!$E:$E,,0)=0,"",_xlfn.XLOOKUP(D538,product!$A:$A,product!$E:$E,,0))</f>
        <v>TECH</v>
      </c>
      <c r="J538" s="5">
        <f>IF(_xlfn.XLOOKUP(D538,product!$A:$A,product!$D:$D,,0)=0,"",_xlfn.XLOOKUP(D538,product!$A:$A,product!$D:$D,,0))</f>
        <v>34.64</v>
      </c>
      <c r="K538" s="7">
        <f t="shared" si="8"/>
        <v>69.28</v>
      </c>
      <c r="L538" s="10" t="str">
        <f>IF(_xlfn.XLOOKUP(D538,product!$A:$A,product!$F:$F,,0)=0,"",_xlfn.XLOOKUP(D538,product!$A:$A,product!$F:$F,,0))</f>
        <v>No</v>
      </c>
      <c r="M538" t="str">
        <f>IF(_xlfn.XLOOKUP(D538,product!$A:$A,product!G:G,,0)=0,"",_xlfn.XLOOKUP(D538,product!$A:$A,product!G:G,,0))</f>
        <v>None</v>
      </c>
      <c r="N538" t="str">
        <f>IF(_xlfn.XLOOKUP(D538,product!$A:$A,product!$B:$B,,0)=0,"",_xlfn.XLOOKUP(D538,product!$A:$A,product!$B:$B,,0))</f>
        <v>Secrets Silent</v>
      </c>
    </row>
    <row r="539" spans="1:14" x14ac:dyDescent="0.35">
      <c r="A539" t="s">
        <v>377</v>
      </c>
      <c r="B539" s="3">
        <v>45561</v>
      </c>
      <c r="C539" t="s">
        <v>2106</v>
      </c>
      <c r="D539" t="s">
        <v>5896</v>
      </c>
      <c r="E539">
        <v>2</v>
      </c>
      <c r="F539" t="str">
        <f>_xlfn.XLOOKUP(C539,customers!$A$1:$A$983,customers!$B$1:$B$983,,0)</f>
        <v>David Anderson</v>
      </c>
      <c r="G539" t="str">
        <f>_xlfn.XLOOKUP(C539,customers!$A:$A,customers!$C:$C,,0)</f>
        <v>david.anderson298@outlook.com</v>
      </c>
      <c r="H539" t="str">
        <f>IF(_xlfn.XLOOKUP(C539,customers!$A:$A,customers!$G:$G,,0)=0,"",_xlfn.XLOOKUP(C539,customers!$A:$A,customers!$G:$G,,0))</f>
        <v>USA</v>
      </c>
      <c r="I539" t="str">
        <f>IF(_xlfn.XLOOKUP(D539,product!$A:$A,product!$E:$E,,0)=0,"",_xlfn.XLOOKUP(D539,product!$A:$A,product!$E:$E,,0))</f>
        <v>FICTION</v>
      </c>
      <c r="J539" s="5">
        <f>IF(_xlfn.XLOOKUP(D539,product!$A:$A,product!$D:$D,,0)=0,"",_xlfn.XLOOKUP(D539,product!$A:$A,product!$D:$D,,0))</f>
        <v>39.33</v>
      </c>
      <c r="K539" s="7">
        <f t="shared" si="8"/>
        <v>78.66</v>
      </c>
      <c r="L539" s="10" t="str">
        <f>IF(_xlfn.XLOOKUP(D539,product!$A:$A,product!$F:$F,,0)=0,"",_xlfn.XLOOKUP(D539,product!$A:$A,product!$F:$F,,0))</f>
        <v>Yes</v>
      </c>
      <c r="M539" t="str">
        <f>IF(_xlfn.XLOOKUP(D539,product!$A:$A,product!G:G,,0)=0,"",_xlfn.XLOOKUP(D539,product!$A:$A,product!G:G,,0))</f>
        <v>Silver</v>
      </c>
      <c r="N539" t="str">
        <f>IF(_xlfn.XLOOKUP(D539,product!$A:$A,product!$B:$B,,0)=0,"",_xlfn.XLOOKUP(D539,product!$A:$A,product!$B:$B,,0))</f>
        <v>Science Power</v>
      </c>
    </row>
    <row r="540" spans="1:14" x14ac:dyDescent="0.35">
      <c r="A540" t="s">
        <v>394</v>
      </c>
      <c r="B540" s="3">
        <v>45042</v>
      </c>
      <c r="C540" t="s">
        <v>3117</v>
      </c>
      <c r="D540" t="s">
        <v>5897</v>
      </c>
      <c r="E540">
        <v>2</v>
      </c>
      <c r="F540" t="str">
        <f>_xlfn.XLOOKUP(C540,customers!$A$1:$A$983,customers!$B$1:$B$983,,0)</f>
        <v>Olivia King</v>
      </c>
      <c r="G540" t="str">
        <f>_xlfn.XLOOKUP(C540,customers!$A:$A,customers!$C:$C,,0)</f>
        <v>olivia.king771@gmail.com</v>
      </c>
      <c r="H540" t="str">
        <f>IF(_xlfn.XLOOKUP(C540,customers!$A:$A,customers!$G:$G,,0)=0,"",_xlfn.XLOOKUP(C540,customers!$A:$A,customers!$G:$G,,0))</f>
        <v>Spain</v>
      </c>
      <c r="I540" t="str">
        <f>IF(_xlfn.XLOOKUP(D540,product!$A:$A,product!$E:$E,,0)=0,"",_xlfn.XLOOKUP(D540,product!$A:$A,product!$E:$E,,0))</f>
        <v>BUSINESS</v>
      </c>
      <c r="J540" s="5">
        <f>IF(_xlfn.XLOOKUP(D540,product!$A:$A,product!$D:$D,,0)=0,"",_xlfn.XLOOKUP(D540,product!$A:$A,product!$D:$D,,0))</f>
        <v>33.93</v>
      </c>
      <c r="K540" s="7">
        <f t="shared" si="8"/>
        <v>67.86</v>
      </c>
      <c r="L540" s="10" t="str">
        <f>IF(_xlfn.XLOOKUP(D540,product!$A:$A,product!$F:$F,,0)=0,"",_xlfn.XLOOKUP(D540,product!$A:$A,product!$F:$F,,0))</f>
        <v>Yes</v>
      </c>
      <c r="M540" t="str">
        <f>IF(_xlfn.XLOOKUP(D540,product!$A:$A,product!G:G,,0)=0,"",_xlfn.XLOOKUP(D540,product!$A:$A,product!G:G,,0))</f>
        <v>Gold</v>
      </c>
      <c r="N540" t="str">
        <f>IF(_xlfn.XLOOKUP(D540,product!$A:$A,product!$B:$B,,0)=0,"",_xlfn.XLOOKUP(D540,product!$A:$A,product!$B:$B,,0))</f>
        <v>Quantum Secrets</v>
      </c>
    </row>
    <row r="541" spans="1:14" x14ac:dyDescent="0.35">
      <c r="A541" t="s">
        <v>411</v>
      </c>
      <c r="B541" s="3">
        <v>45309</v>
      </c>
      <c r="C541" t="s">
        <v>2078</v>
      </c>
      <c r="D541" t="s">
        <v>5898</v>
      </c>
      <c r="E541">
        <v>2</v>
      </c>
      <c r="F541" t="str">
        <f>_xlfn.XLOOKUP(C541,customers!$A$1:$A$983,customers!$B$1:$B$983,,0)</f>
        <v>Ava Hill</v>
      </c>
      <c r="G541" t="str">
        <f>_xlfn.XLOOKUP(C541,customers!$A:$A,customers!$C:$C,,0)</f>
        <v>ava.hill288@gmail.com</v>
      </c>
      <c r="H541" t="str">
        <f>IF(_xlfn.XLOOKUP(C541,customers!$A:$A,customers!$G:$G,,0)=0,"",_xlfn.XLOOKUP(C541,customers!$A:$A,customers!$G:$G,,0))</f>
        <v>Germany</v>
      </c>
      <c r="I541" t="str">
        <f>IF(_xlfn.XLOOKUP(D541,product!$A:$A,product!$E:$E,,0)=0,"",_xlfn.XLOOKUP(D541,product!$A:$A,product!$E:$E,,0))</f>
        <v>FICTION</v>
      </c>
      <c r="J541" s="5">
        <f>IF(_xlfn.XLOOKUP(D541,product!$A:$A,product!$D:$D,,0)=0,"",_xlfn.XLOOKUP(D541,product!$A:$A,product!$D:$D,,0))</f>
        <v>38.29</v>
      </c>
      <c r="K541" s="7">
        <f t="shared" si="8"/>
        <v>76.58</v>
      </c>
      <c r="L541" s="10" t="str">
        <f>IF(_xlfn.XLOOKUP(D541,product!$A:$A,product!$F:$F,,0)=0,"",_xlfn.XLOOKUP(D541,product!$A:$A,product!$F:$F,,0))</f>
        <v>Yes</v>
      </c>
      <c r="M541" t="str">
        <f>IF(_xlfn.XLOOKUP(D541,product!$A:$A,product!G:G,,0)=0,"",_xlfn.XLOOKUP(D541,product!$A:$A,product!G:G,,0))</f>
        <v>Silver</v>
      </c>
      <c r="N541" t="str">
        <f>IF(_xlfn.XLOOKUP(D541,product!$A:$A,product!$B:$B,,0)=0,"",_xlfn.XLOOKUP(D541,product!$A:$A,product!$B:$B,,0))</f>
        <v>Quantum Future</v>
      </c>
    </row>
    <row r="542" spans="1:14" x14ac:dyDescent="0.35">
      <c r="A542" t="s">
        <v>428</v>
      </c>
      <c r="B542" s="3">
        <v>45211</v>
      </c>
      <c r="C542" t="s">
        <v>3000</v>
      </c>
      <c r="D542" t="s">
        <v>5899</v>
      </c>
      <c r="E542">
        <v>2</v>
      </c>
      <c r="F542" t="str">
        <f>_xlfn.XLOOKUP(C542,customers!$A$1:$A$983,customers!$B$1:$B$983,,0)</f>
        <v>Ryan Martinez</v>
      </c>
      <c r="G542" t="str">
        <f>_xlfn.XLOOKUP(C542,customers!$A:$A,customers!$C:$C,,0)</f>
        <v>ryan.martinez713@gmail.com</v>
      </c>
      <c r="H542" t="str">
        <f>IF(_xlfn.XLOOKUP(C542,customers!$A:$A,customers!$G:$G,,0)=0,"",_xlfn.XLOOKUP(C542,customers!$A:$A,customers!$G:$G,,0))</f>
        <v>Pakistan</v>
      </c>
      <c r="I542" t="str">
        <f>IF(_xlfn.XLOOKUP(D542,product!$A:$A,product!$E:$E,,0)=0,"",_xlfn.XLOOKUP(D542,product!$A:$A,product!$E:$E,,0))</f>
        <v>FICTION</v>
      </c>
      <c r="J542" s="5">
        <f>IF(_xlfn.XLOOKUP(D542,product!$A:$A,product!$D:$D,,0)=0,"",_xlfn.XLOOKUP(D542,product!$A:$A,product!$D:$D,,0))</f>
        <v>35.020000000000003</v>
      </c>
      <c r="K542" s="7">
        <f t="shared" si="8"/>
        <v>70.040000000000006</v>
      </c>
      <c r="L542" s="10" t="str">
        <f>IF(_xlfn.XLOOKUP(D542,product!$A:$A,product!$F:$F,,0)=0,"",_xlfn.XLOOKUP(D542,product!$A:$A,product!$F:$F,,0))</f>
        <v>Yes</v>
      </c>
      <c r="M542" t="str">
        <f>IF(_xlfn.XLOOKUP(D542,product!$A:$A,product!G:G,,0)=0,"",_xlfn.XLOOKUP(D542,product!$A:$A,product!G:G,,0))</f>
        <v>Silver</v>
      </c>
      <c r="N542" t="str">
        <f>IF(_xlfn.XLOOKUP(D542,product!$A:$A,product!$B:$B,,0)=0,"",_xlfn.XLOOKUP(D542,product!$A:$A,product!$B:$B,,0))</f>
        <v>Forest Quantum</v>
      </c>
    </row>
    <row r="543" spans="1:14" x14ac:dyDescent="0.35">
      <c r="A543" t="s">
        <v>445</v>
      </c>
      <c r="B543" s="3">
        <v>45607</v>
      </c>
      <c r="C543" t="s">
        <v>2844</v>
      </c>
      <c r="D543" t="s">
        <v>5900</v>
      </c>
      <c r="E543">
        <v>2</v>
      </c>
      <c r="F543" t="str">
        <f>_xlfn.XLOOKUP(C543,customers!$A$1:$A$983,customers!$B$1:$B$983,,0)</f>
        <v>Joshua Green</v>
      </c>
      <c r="G543" t="str">
        <f>_xlfn.XLOOKUP(C543,customers!$A:$A,customers!$C:$C,,0)</f>
        <v>joshua.green637@yahoo.com</v>
      </c>
      <c r="H543" t="str">
        <f>IF(_xlfn.XLOOKUP(C543,customers!$A:$A,customers!$G:$G,,0)=0,"",_xlfn.XLOOKUP(C543,customers!$A:$A,customers!$G:$G,,0))</f>
        <v>Japan</v>
      </c>
      <c r="I543" t="str">
        <f>IF(_xlfn.XLOOKUP(D543,product!$A:$A,product!$E:$E,,0)=0,"",_xlfn.XLOOKUP(D543,product!$A:$A,product!$E:$E,,0))</f>
        <v>SCIENCE</v>
      </c>
      <c r="J543" s="5">
        <f>IF(_xlfn.XLOOKUP(D543,product!$A:$A,product!$D:$D,,0)=0,"",_xlfn.XLOOKUP(D543,product!$A:$A,product!$D:$D,,0))</f>
        <v>22.07</v>
      </c>
      <c r="K543" s="7">
        <f t="shared" si="8"/>
        <v>44.14</v>
      </c>
      <c r="L543" s="10" t="str">
        <f>IF(_xlfn.XLOOKUP(D543,product!$A:$A,product!$F:$F,,0)=0,"",_xlfn.XLOOKUP(D543,product!$A:$A,product!$F:$F,,0))</f>
        <v>Yes</v>
      </c>
      <c r="M543" t="str">
        <f>IF(_xlfn.XLOOKUP(D543,product!$A:$A,product!G:G,,0)=0,"",_xlfn.XLOOKUP(D543,product!$A:$A,product!G:G,,0))</f>
        <v>None</v>
      </c>
      <c r="N543" t="str">
        <f>IF(_xlfn.XLOOKUP(D543,product!$A:$A,product!$B:$B,,0)=0,"",_xlfn.XLOOKUP(D543,product!$A:$A,product!$B:$B,,0))</f>
        <v>Quantum Forest</v>
      </c>
    </row>
    <row r="544" spans="1:14" x14ac:dyDescent="0.35">
      <c r="A544" t="s">
        <v>462</v>
      </c>
      <c r="B544" s="3">
        <v>45269</v>
      </c>
      <c r="C544" t="s">
        <v>2639</v>
      </c>
      <c r="D544" t="s">
        <v>5901</v>
      </c>
      <c r="E544">
        <v>2</v>
      </c>
      <c r="F544" t="str">
        <f>_xlfn.XLOOKUP(C544,customers!$A$1:$A$983,customers!$B$1:$B$983,,0)</f>
        <v>Amelia Lopez</v>
      </c>
      <c r="G544" t="str">
        <f>_xlfn.XLOOKUP(C544,customers!$A:$A,customers!$C:$C,,0)</f>
        <v>amelia.lopez539@outlook.com</v>
      </c>
      <c r="H544" t="str">
        <f>IF(_xlfn.XLOOKUP(C544,customers!$A:$A,customers!$G:$G,,0)=0,"",_xlfn.XLOOKUP(C544,customers!$A:$A,customers!$G:$G,,0))</f>
        <v>Spain</v>
      </c>
      <c r="I544" t="str">
        <f>IF(_xlfn.XLOOKUP(D544,product!$A:$A,product!$E:$E,,0)=0,"",_xlfn.XLOOKUP(D544,product!$A:$A,product!$E:$E,,0))</f>
        <v>HISTORY</v>
      </c>
      <c r="J544" s="5">
        <f>IF(_xlfn.XLOOKUP(D544,product!$A:$A,product!$D:$D,,0)=0,"",_xlfn.XLOOKUP(D544,product!$A:$A,product!$D:$D,,0))</f>
        <v>38.6</v>
      </c>
      <c r="K544" s="7">
        <f t="shared" si="8"/>
        <v>77.2</v>
      </c>
      <c r="L544" s="10" t="str">
        <f>IF(_xlfn.XLOOKUP(D544,product!$A:$A,product!$F:$F,,0)=0,"",_xlfn.XLOOKUP(D544,product!$A:$A,product!$F:$F,,0))</f>
        <v>No</v>
      </c>
      <c r="M544" t="str">
        <f>IF(_xlfn.XLOOKUP(D544,product!$A:$A,product!G:G,,0)=0,"",_xlfn.XLOOKUP(D544,product!$A:$A,product!G:G,,0))</f>
        <v>None</v>
      </c>
      <c r="N544" t="str">
        <f>IF(_xlfn.XLOOKUP(D544,product!$A:$A,product!$B:$B,,0)=0,"",_xlfn.XLOOKUP(D544,product!$A:$A,product!$B:$B,,0))</f>
        <v>Power Data</v>
      </c>
    </row>
    <row r="545" spans="1:14" x14ac:dyDescent="0.35">
      <c r="A545" t="s">
        <v>479</v>
      </c>
      <c r="B545" s="3">
        <v>45378</v>
      </c>
      <c r="C545" t="s">
        <v>1848</v>
      </c>
      <c r="D545" t="s">
        <v>5902</v>
      </c>
      <c r="E545">
        <v>2</v>
      </c>
      <c r="F545" t="str">
        <f>_xlfn.XLOOKUP(C545,customers!$A$1:$A$983,customers!$B$1:$B$983,,0)</f>
        <v>William Anderson</v>
      </c>
      <c r="G545" t="str">
        <f>_xlfn.XLOOKUP(C545,customers!$A:$A,customers!$C:$C,,0)</f>
        <v>william.anderson213@hotmail.com</v>
      </c>
      <c r="H545" t="str">
        <f>IF(_xlfn.XLOOKUP(C545,customers!$A:$A,customers!$G:$G,,0)=0,"",_xlfn.XLOOKUP(C545,customers!$A:$A,customers!$G:$G,,0))</f>
        <v>Spain</v>
      </c>
      <c r="I545" t="str">
        <f>IF(_xlfn.XLOOKUP(D545,product!$A:$A,product!$E:$E,,0)=0,"",_xlfn.XLOOKUP(D545,product!$A:$A,product!$E:$E,,0))</f>
        <v>FICTION</v>
      </c>
      <c r="J545" s="5">
        <f>IF(_xlfn.XLOOKUP(D545,product!$A:$A,product!$D:$D,,0)=0,"",_xlfn.XLOOKUP(D545,product!$A:$A,product!$D:$D,,0))</f>
        <v>39.64</v>
      </c>
      <c r="K545" s="7">
        <f t="shared" si="8"/>
        <v>79.28</v>
      </c>
      <c r="L545" s="10" t="str">
        <f>IF(_xlfn.XLOOKUP(D545,product!$A:$A,product!$F:$F,,0)=0,"",_xlfn.XLOOKUP(D545,product!$A:$A,product!$F:$F,,0))</f>
        <v>Yes</v>
      </c>
      <c r="M545" t="str">
        <f>IF(_xlfn.XLOOKUP(D545,product!$A:$A,product!G:G,,0)=0,"",_xlfn.XLOOKUP(D545,product!$A:$A,product!G:G,,0))</f>
        <v>None</v>
      </c>
      <c r="N545" t="str">
        <f>IF(_xlfn.XLOOKUP(D545,product!$A:$A,product!$B:$B,,0)=0,"",_xlfn.XLOOKUP(D545,product!$A:$A,product!$B:$B,,0))</f>
        <v>Journey Mind</v>
      </c>
    </row>
    <row r="546" spans="1:14" x14ac:dyDescent="0.35">
      <c r="A546" t="s">
        <v>496</v>
      </c>
      <c r="B546" s="3">
        <v>44977</v>
      </c>
      <c r="C546" t="s">
        <v>2139</v>
      </c>
      <c r="D546" t="s">
        <v>5903</v>
      </c>
      <c r="E546">
        <v>2</v>
      </c>
      <c r="F546" t="str">
        <f>_xlfn.XLOOKUP(C546,customers!$A$1:$A$983,customers!$B$1:$B$983,,0)</f>
        <v>Emily Harris</v>
      </c>
      <c r="G546" t="str">
        <f>_xlfn.XLOOKUP(C546,customers!$A:$A,customers!$C:$C,,0)</f>
        <v>emily.harris311@hotmail.com</v>
      </c>
      <c r="H546" t="str">
        <f>IF(_xlfn.XLOOKUP(C546,customers!$A:$A,customers!$G:$G,,0)=0,"",_xlfn.XLOOKUP(C546,customers!$A:$A,customers!$G:$G,,0))</f>
        <v>Egypt</v>
      </c>
      <c r="I546" t="str">
        <f>IF(_xlfn.XLOOKUP(D546,product!$A:$A,product!$E:$E,,0)=0,"",_xlfn.XLOOKUP(D546,product!$A:$A,product!$E:$E,,0))</f>
        <v>FICTION</v>
      </c>
      <c r="J546" s="5">
        <f>IF(_xlfn.XLOOKUP(D546,product!$A:$A,product!$D:$D,,0)=0,"",_xlfn.XLOOKUP(D546,product!$A:$A,product!$D:$D,,0))</f>
        <v>18.760000000000002</v>
      </c>
      <c r="K546" s="7">
        <f t="shared" si="8"/>
        <v>37.520000000000003</v>
      </c>
      <c r="L546" s="10" t="str">
        <f>IF(_xlfn.XLOOKUP(D546,product!$A:$A,product!$F:$F,,0)=0,"",_xlfn.XLOOKUP(D546,product!$A:$A,product!$F:$F,,0))</f>
        <v>No</v>
      </c>
      <c r="M546" t="str">
        <f>IF(_xlfn.XLOOKUP(D546,product!$A:$A,product!G:G,,0)=0,"",_xlfn.XLOOKUP(D546,product!$A:$A,product!G:G,,0))</f>
        <v>Platinum</v>
      </c>
      <c r="N546" t="str">
        <f>IF(_xlfn.XLOOKUP(D546,product!$A:$A,product!$B:$B,,0)=0,"",_xlfn.XLOOKUP(D546,product!$A:$A,product!$B:$B,,0))</f>
        <v>Power Silent</v>
      </c>
    </row>
    <row r="547" spans="1:14" x14ac:dyDescent="0.35">
      <c r="A547" t="s">
        <v>513</v>
      </c>
      <c r="B547" s="3">
        <v>45472</v>
      </c>
      <c r="C547" t="s">
        <v>1654</v>
      </c>
      <c r="D547" t="s">
        <v>5904</v>
      </c>
      <c r="E547">
        <v>2</v>
      </c>
      <c r="F547" t="str">
        <f>_xlfn.XLOOKUP(C547,customers!$A$1:$A$983,customers!$B$1:$B$983,,0)</f>
        <v>Emily Lee</v>
      </c>
      <c r="G547" t="str">
        <f>_xlfn.XLOOKUP(C547,customers!$A:$A,customers!$C:$C,,0)</f>
        <v>emily.lee161@gmail.com</v>
      </c>
      <c r="H547" t="str">
        <f>IF(_xlfn.XLOOKUP(C547,customers!$A:$A,customers!$G:$G,,0)=0,"",_xlfn.XLOOKUP(C547,customers!$A:$A,customers!$G:$G,,0))</f>
        <v>Spain</v>
      </c>
      <c r="I547" t="str">
        <f>IF(_xlfn.XLOOKUP(D547,product!$A:$A,product!$E:$E,,0)=0,"",_xlfn.XLOOKUP(D547,product!$A:$A,product!$E:$E,,0))</f>
        <v>HISTORY</v>
      </c>
      <c r="J547" s="5">
        <f>IF(_xlfn.XLOOKUP(D547,product!$A:$A,product!$D:$D,,0)=0,"",_xlfn.XLOOKUP(D547,product!$A:$A,product!$D:$D,,0))</f>
        <v>15.77</v>
      </c>
      <c r="K547" s="7">
        <f t="shared" si="8"/>
        <v>31.54</v>
      </c>
      <c r="L547" s="10" t="str">
        <f>IF(_xlfn.XLOOKUP(D547,product!$A:$A,product!$F:$F,,0)=0,"",_xlfn.XLOOKUP(D547,product!$A:$A,product!$F:$F,,0))</f>
        <v>Yes</v>
      </c>
      <c r="M547" t="str">
        <f>IF(_xlfn.XLOOKUP(D547,product!$A:$A,product!G:G,,0)=0,"",_xlfn.XLOOKUP(D547,product!$A:$A,product!G:G,,0))</f>
        <v>None</v>
      </c>
      <c r="N547" t="str">
        <f>IF(_xlfn.XLOOKUP(D547,product!$A:$A,product!$B:$B,,0)=0,"",_xlfn.XLOOKUP(D547,product!$A:$A,product!$B:$B,,0))</f>
        <v>Data Future</v>
      </c>
    </row>
    <row r="548" spans="1:14" x14ac:dyDescent="0.35">
      <c r="A548" t="s">
        <v>530</v>
      </c>
      <c r="B548" s="3">
        <v>45052</v>
      </c>
      <c r="C548" t="s">
        <v>1884</v>
      </c>
      <c r="D548" t="s">
        <v>5905</v>
      </c>
      <c r="E548">
        <v>2</v>
      </c>
      <c r="F548" t="str">
        <f>_xlfn.XLOOKUP(C548,customers!$A$1:$A$983,customers!$B$1:$B$983,,0)</f>
        <v>Thomas Martin</v>
      </c>
      <c r="G548" t="str">
        <f>_xlfn.XLOOKUP(C548,customers!$A:$A,customers!$C:$C,,0)</f>
        <v>thomas.martin224@yahoo.com</v>
      </c>
      <c r="H548" t="str">
        <f>IF(_xlfn.XLOOKUP(C548,customers!$A:$A,customers!$G:$G,,0)=0,"",_xlfn.XLOOKUP(C548,customers!$A:$A,customers!$G:$G,,0))</f>
        <v>Spain</v>
      </c>
      <c r="I548" t="str">
        <f>IF(_xlfn.XLOOKUP(D548,product!$A:$A,product!$E:$E,,0)=0,"",_xlfn.XLOOKUP(D548,product!$A:$A,product!$E:$E,,0))</f>
        <v>FICTION</v>
      </c>
      <c r="J548" s="5">
        <f>IF(_xlfn.XLOOKUP(D548,product!$A:$A,product!$D:$D,,0)=0,"",_xlfn.XLOOKUP(D548,product!$A:$A,product!$D:$D,,0))</f>
        <v>13.99</v>
      </c>
      <c r="K548" s="7">
        <f t="shared" si="8"/>
        <v>27.98</v>
      </c>
      <c r="L548" s="10" t="str">
        <f>IF(_xlfn.XLOOKUP(D548,product!$A:$A,product!$F:$F,,0)=0,"",_xlfn.XLOOKUP(D548,product!$A:$A,product!$F:$F,,0))</f>
        <v>Yes</v>
      </c>
      <c r="M548" t="str">
        <f>IF(_xlfn.XLOOKUP(D548,product!$A:$A,product!G:G,,0)=0,"",_xlfn.XLOOKUP(D548,product!$A:$A,product!G:G,,0))</f>
        <v>Silver</v>
      </c>
      <c r="N548" t="str">
        <f>IF(_xlfn.XLOOKUP(D548,product!$A:$A,product!$B:$B,,0)=0,"",_xlfn.XLOOKUP(D548,product!$A:$A,product!$B:$B,,0))</f>
        <v>Quantum Science</v>
      </c>
    </row>
    <row r="549" spans="1:14" x14ac:dyDescent="0.35">
      <c r="A549" t="s">
        <v>547</v>
      </c>
      <c r="B549" s="3">
        <v>45568</v>
      </c>
      <c r="C549" t="s">
        <v>3095</v>
      </c>
      <c r="D549" t="s">
        <v>5906</v>
      </c>
      <c r="E549">
        <v>2</v>
      </c>
      <c r="F549" t="str">
        <f>_xlfn.XLOOKUP(C549,customers!$A$1:$A$983,customers!$B$1:$B$983,,0)</f>
        <v>Charlotte Adams</v>
      </c>
      <c r="G549" t="str">
        <f>_xlfn.XLOOKUP(C549,customers!$A:$A,customers!$C:$C,,0)</f>
        <v>charlotte.adams760@outlook.com</v>
      </c>
      <c r="H549" t="str">
        <f>IF(_xlfn.XLOOKUP(C549,customers!$A:$A,customers!$G:$G,,0)=0,"",_xlfn.XLOOKUP(C549,customers!$A:$A,customers!$G:$G,,0))</f>
        <v>Sweden</v>
      </c>
      <c r="I549" t="str">
        <f>IF(_xlfn.XLOOKUP(D549,product!$A:$A,product!$E:$E,,0)=0,"",_xlfn.XLOOKUP(D549,product!$A:$A,product!$E:$E,,0))</f>
        <v>TECH</v>
      </c>
      <c r="J549" s="5">
        <f>IF(_xlfn.XLOOKUP(D549,product!$A:$A,product!$D:$D,,0)=0,"",_xlfn.XLOOKUP(D549,product!$A:$A,product!$D:$D,,0))</f>
        <v>15.83</v>
      </c>
      <c r="K549" s="7">
        <f t="shared" si="8"/>
        <v>31.66</v>
      </c>
      <c r="L549" s="10" t="str">
        <f>IF(_xlfn.XLOOKUP(D549,product!$A:$A,product!$F:$F,,0)=0,"",_xlfn.XLOOKUP(D549,product!$A:$A,product!$F:$F,,0))</f>
        <v>No</v>
      </c>
      <c r="M549" t="str">
        <f>IF(_xlfn.XLOOKUP(D549,product!$A:$A,product!G:G,,0)=0,"",_xlfn.XLOOKUP(D549,product!$A:$A,product!G:G,,0))</f>
        <v>Silver</v>
      </c>
      <c r="N549" t="str">
        <f>IF(_xlfn.XLOOKUP(D549,product!$A:$A,product!$B:$B,,0)=0,"",_xlfn.XLOOKUP(D549,product!$A:$A,product!$B:$B,,0))</f>
        <v>Journey Silent</v>
      </c>
    </row>
    <row r="550" spans="1:14" x14ac:dyDescent="0.35">
      <c r="A550" t="s">
        <v>564</v>
      </c>
      <c r="B550" s="3">
        <v>45132</v>
      </c>
      <c r="C550" t="s">
        <v>1842</v>
      </c>
      <c r="D550" t="s">
        <v>5907</v>
      </c>
      <c r="E550">
        <v>2</v>
      </c>
      <c r="F550" t="str">
        <f>_xlfn.XLOOKUP(C550,customers!$A$1:$A$983,customers!$B$1:$B$983,,0)</f>
        <v>Joshua White</v>
      </c>
      <c r="G550" t="str">
        <f>_xlfn.XLOOKUP(C550,customers!$A:$A,customers!$C:$C,,0)</f>
        <v>joshua.white211@gmail.com</v>
      </c>
      <c r="H550" t="str">
        <f>IF(_xlfn.XLOOKUP(C550,customers!$A:$A,customers!$G:$G,,0)=0,"",_xlfn.XLOOKUP(C550,customers!$A:$A,customers!$G:$G,,0))</f>
        <v>Sweden</v>
      </c>
      <c r="I550" t="str">
        <f>IF(_xlfn.XLOOKUP(D550,product!$A:$A,product!$E:$E,,0)=0,"",_xlfn.XLOOKUP(D550,product!$A:$A,product!$E:$E,,0))</f>
        <v>BUSINESS</v>
      </c>
      <c r="J550" s="5">
        <f>IF(_xlfn.XLOOKUP(D550,product!$A:$A,product!$D:$D,,0)=0,"",_xlfn.XLOOKUP(D550,product!$A:$A,product!$D:$D,,0))</f>
        <v>39.76</v>
      </c>
      <c r="K550" s="7">
        <f t="shared" si="8"/>
        <v>79.52</v>
      </c>
      <c r="L550" s="10" t="str">
        <f>IF(_xlfn.XLOOKUP(D550,product!$A:$A,product!$F:$F,,0)=0,"",_xlfn.XLOOKUP(D550,product!$A:$A,product!$F:$F,,0))</f>
        <v>Yes</v>
      </c>
      <c r="M550" t="str">
        <f>IF(_xlfn.XLOOKUP(D550,product!$A:$A,product!G:G,,0)=0,"",_xlfn.XLOOKUP(D550,product!$A:$A,product!G:G,,0))</f>
        <v>Silver</v>
      </c>
      <c r="N550" t="str">
        <f>IF(_xlfn.XLOOKUP(D550,product!$A:$A,product!$B:$B,,0)=0,"",_xlfn.XLOOKUP(D550,product!$A:$A,product!$B:$B,,0))</f>
        <v>Mind Forest</v>
      </c>
    </row>
    <row r="551" spans="1:14" x14ac:dyDescent="0.35">
      <c r="A551" t="s">
        <v>581</v>
      </c>
      <c r="B551" s="3">
        <v>45531</v>
      </c>
      <c r="C551" t="s">
        <v>1508</v>
      </c>
      <c r="D551" t="s">
        <v>5908</v>
      </c>
      <c r="E551">
        <v>2</v>
      </c>
      <c r="F551" t="str">
        <f>_xlfn.XLOOKUP(C551,customers!$A$1:$A$983,customers!$B$1:$B$983,,0)</f>
        <v>Peter Rodriguez</v>
      </c>
      <c r="G551" t="str">
        <f>_xlfn.XLOOKUP(C551,customers!$A:$A,customers!$C:$C,,0)</f>
        <v>peter.rodriguez125@yahoo.com</v>
      </c>
      <c r="H551" t="str">
        <f>IF(_xlfn.XLOOKUP(C551,customers!$A:$A,customers!$G:$G,,0)=0,"",_xlfn.XLOOKUP(C551,customers!$A:$A,customers!$G:$G,,0))</f>
        <v>Spain</v>
      </c>
      <c r="I551" t="str">
        <f>IF(_xlfn.XLOOKUP(D551,product!$A:$A,product!$E:$E,,0)=0,"",_xlfn.XLOOKUP(D551,product!$A:$A,product!$E:$E,,0))</f>
        <v>SCIENCE</v>
      </c>
      <c r="J551" s="5">
        <f>IF(_xlfn.XLOOKUP(D551,product!$A:$A,product!$D:$D,,0)=0,"",_xlfn.XLOOKUP(D551,product!$A:$A,product!$D:$D,,0))</f>
        <v>23.75</v>
      </c>
      <c r="K551" s="7">
        <f t="shared" si="8"/>
        <v>47.5</v>
      </c>
      <c r="L551" s="10" t="str">
        <f>IF(_xlfn.XLOOKUP(D551,product!$A:$A,product!$F:$F,,0)=0,"",_xlfn.XLOOKUP(D551,product!$A:$A,product!$F:$F,,0))</f>
        <v>No</v>
      </c>
      <c r="M551" t="str">
        <f>IF(_xlfn.XLOOKUP(D551,product!$A:$A,product!G:G,,0)=0,"",_xlfn.XLOOKUP(D551,product!$A:$A,product!G:G,,0))</f>
        <v>Silver</v>
      </c>
      <c r="N551" t="str">
        <f>IF(_xlfn.XLOOKUP(D551,product!$A:$A,product!$B:$B,,0)=0,"",_xlfn.XLOOKUP(D551,product!$A:$A,product!$B:$B,,0))</f>
        <v>Mind Power</v>
      </c>
    </row>
    <row r="552" spans="1:14" x14ac:dyDescent="0.35">
      <c r="A552" t="s">
        <v>598</v>
      </c>
      <c r="B552" s="3">
        <v>44937</v>
      </c>
      <c r="C552" t="s">
        <v>2001</v>
      </c>
      <c r="D552" t="s">
        <v>5909</v>
      </c>
      <c r="E552">
        <v>2</v>
      </c>
      <c r="F552" t="str">
        <f>_xlfn.XLOOKUP(C552,customers!$A$1:$A$983,customers!$B$1:$B$983,,0)</f>
        <v>James Green</v>
      </c>
      <c r="G552" t="str">
        <f>_xlfn.XLOOKUP(C552,customers!$A:$A,customers!$C:$C,,0)</f>
        <v>james.green261@gmail.com</v>
      </c>
      <c r="H552" t="str">
        <f>IF(_xlfn.XLOOKUP(C552,customers!$A:$A,customers!$G:$G,,0)=0,"",_xlfn.XLOOKUP(C552,customers!$A:$A,customers!$G:$G,,0))</f>
        <v>Germany</v>
      </c>
      <c r="I552" t="str">
        <f>IF(_xlfn.XLOOKUP(D552,product!$A:$A,product!$E:$E,,0)=0,"",_xlfn.XLOOKUP(D552,product!$A:$A,product!$E:$E,,0))</f>
        <v>TECH</v>
      </c>
      <c r="J552" s="5">
        <f>IF(_xlfn.XLOOKUP(D552,product!$A:$A,product!$D:$D,,0)=0,"",_xlfn.XLOOKUP(D552,product!$A:$A,product!$D:$D,,0))</f>
        <v>14.7</v>
      </c>
      <c r="K552" s="7">
        <f t="shared" si="8"/>
        <v>29.4</v>
      </c>
      <c r="L552" s="10" t="str">
        <f>IF(_xlfn.XLOOKUP(D552,product!$A:$A,product!$F:$F,,0)=0,"",_xlfn.XLOOKUP(D552,product!$A:$A,product!$F:$F,,0))</f>
        <v>Yes</v>
      </c>
      <c r="M552" t="str">
        <f>IF(_xlfn.XLOOKUP(D552,product!$A:$A,product!G:G,,0)=0,"",_xlfn.XLOOKUP(D552,product!$A:$A,product!G:G,,0))</f>
        <v>Gold</v>
      </c>
      <c r="N552" t="str">
        <f>IF(_xlfn.XLOOKUP(D552,product!$A:$A,product!$B:$B,,0)=0,"",_xlfn.XLOOKUP(D552,product!$A:$A,product!$B:$B,,0))</f>
        <v>Quantum Science</v>
      </c>
    </row>
    <row r="553" spans="1:14" x14ac:dyDescent="0.35">
      <c r="A553" t="s">
        <v>615</v>
      </c>
      <c r="B553" s="3">
        <v>45384</v>
      </c>
      <c r="C553" t="s">
        <v>2460</v>
      </c>
      <c r="D553" t="s">
        <v>5910</v>
      </c>
      <c r="E553">
        <v>2</v>
      </c>
      <c r="F553" t="str">
        <f>_xlfn.XLOOKUP(C553,customers!$A$1:$A$983,customers!$B$1:$B$983,,0)</f>
        <v>Emily King</v>
      </c>
      <c r="G553" t="str">
        <f>_xlfn.XLOOKUP(C553,customers!$A:$A,customers!$C:$C,,0)</f>
        <v>emily.king452@gmail.com</v>
      </c>
      <c r="H553" t="str">
        <f>IF(_xlfn.XLOOKUP(C553,customers!$A:$A,customers!$G:$G,,0)=0,"",_xlfn.XLOOKUP(C553,customers!$A:$A,customers!$G:$G,,0))</f>
        <v>Pakistan</v>
      </c>
      <c r="I553" t="str">
        <f>IF(_xlfn.XLOOKUP(D553,product!$A:$A,product!$E:$E,,0)=0,"",_xlfn.XLOOKUP(D553,product!$A:$A,product!$E:$E,,0))</f>
        <v>FICTION</v>
      </c>
      <c r="J553" s="5">
        <f>IF(_xlfn.XLOOKUP(D553,product!$A:$A,product!$D:$D,,0)=0,"",_xlfn.XLOOKUP(D553,product!$A:$A,product!$D:$D,,0))</f>
        <v>24.74</v>
      </c>
      <c r="K553" s="7">
        <f t="shared" si="8"/>
        <v>49.48</v>
      </c>
      <c r="L553" s="10" t="str">
        <f>IF(_xlfn.XLOOKUP(D553,product!$A:$A,product!$F:$F,,0)=0,"",_xlfn.XLOOKUP(D553,product!$A:$A,product!$F:$F,,0))</f>
        <v>No</v>
      </c>
      <c r="M553" t="str">
        <f>IF(_xlfn.XLOOKUP(D553,product!$A:$A,product!G:G,,0)=0,"",_xlfn.XLOOKUP(D553,product!$A:$A,product!G:G,,0))</f>
        <v>None</v>
      </c>
      <c r="N553" t="str">
        <f>IF(_xlfn.XLOOKUP(D553,product!$A:$A,product!$B:$B,,0)=0,"",_xlfn.XLOOKUP(D553,product!$A:$A,product!$B:$B,,0))</f>
        <v>Power Silent</v>
      </c>
    </row>
    <row r="554" spans="1:14" x14ac:dyDescent="0.35">
      <c r="A554" t="s">
        <v>632</v>
      </c>
      <c r="B554" s="3">
        <v>45189</v>
      </c>
      <c r="C554" t="s">
        <v>3115</v>
      </c>
      <c r="D554" t="s">
        <v>5911</v>
      </c>
      <c r="E554">
        <v>2</v>
      </c>
      <c r="F554" t="str">
        <f>_xlfn.XLOOKUP(C554,customers!$A$1:$A$983,customers!$B$1:$B$983,,0)</f>
        <v>Robert Lopez</v>
      </c>
      <c r="G554" t="str">
        <f>_xlfn.XLOOKUP(C554,customers!$A:$A,customers!$C:$C,,0)</f>
        <v>robert.lopez770@yahoo.com</v>
      </c>
      <c r="H554" t="str">
        <f>IF(_xlfn.XLOOKUP(C554,customers!$A:$A,customers!$G:$G,,0)=0,"",_xlfn.XLOOKUP(C554,customers!$A:$A,customers!$G:$G,,0))</f>
        <v>Egypt</v>
      </c>
      <c r="I554" t="str">
        <f>IF(_xlfn.XLOOKUP(D554,product!$A:$A,product!$E:$E,,0)=0,"",_xlfn.XLOOKUP(D554,product!$A:$A,product!$E:$E,,0))</f>
        <v>HISTORY</v>
      </c>
      <c r="J554" s="5">
        <f>IF(_xlfn.XLOOKUP(D554,product!$A:$A,product!$D:$D,,0)=0,"",_xlfn.XLOOKUP(D554,product!$A:$A,product!$D:$D,,0))</f>
        <v>28.75</v>
      </c>
      <c r="K554" s="7">
        <f t="shared" si="8"/>
        <v>57.5</v>
      </c>
      <c r="L554" s="10" t="str">
        <f>IF(_xlfn.XLOOKUP(D554,product!$A:$A,product!$F:$F,,0)=0,"",_xlfn.XLOOKUP(D554,product!$A:$A,product!$F:$F,,0))</f>
        <v>Yes</v>
      </c>
      <c r="M554" t="str">
        <f>IF(_xlfn.XLOOKUP(D554,product!$A:$A,product!G:G,,0)=0,"",_xlfn.XLOOKUP(D554,product!$A:$A,product!G:G,,0))</f>
        <v>None</v>
      </c>
      <c r="N554" t="str">
        <f>IF(_xlfn.XLOOKUP(D554,product!$A:$A,product!$B:$B,,0)=0,"",_xlfn.XLOOKUP(D554,product!$A:$A,product!$B:$B,,0))</f>
        <v>Power Future</v>
      </c>
    </row>
    <row r="555" spans="1:14" x14ac:dyDescent="0.35">
      <c r="A555" t="s">
        <v>649</v>
      </c>
      <c r="B555" s="3">
        <v>45648</v>
      </c>
      <c r="C555" t="s">
        <v>2989</v>
      </c>
      <c r="D555" t="s">
        <v>5912</v>
      </c>
      <c r="E555">
        <v>2</v>
      </c>
      <c r="F555" t="str">
        <f>_xlfn.XLOOKUP(C555,customers!$A$1:$A$983,customers!$B$1:$B$983,,0)</f>
        <v>Joshua Robinson</v>
      </c>
      <c r="G555" t="str">
        <f>_xlfn.XLOOKUP(C555,customers!$A:$A,customers!$C:$C,,0)</f>
        <v>joshua.robinson708@gmail.com</v>
      </c>
      <c r="H555" t="str">
        <f>IF(_xlfn.XLOOKUP(C555,customers!$A:$A,customers!$G:$G,,0)=0,"",_xlfn.XLOOKUP(C555,customers!$A:$A,customers!$G:$G,,0))</f>
        <v>Spain</v>
      </c>
      <c r="I555" t="str">
        <f>IF(_xlfn.XLOOKUP(D555,product!$A:$A,product!$E:$E,,0)=0,"",_xlfn.XLOOKUP(D555,product!$A:$A,product!$E:$E,,0))</f>
        <v>FICTION</v>
      </c>
      <c r="J555" s="5">
        <f>IF(_xlfn.XLOOKUP(D555,product!$A:$A,product!$D:$D,,0)=0,"",_xlfn.XLOOKUP(D555,product!$A:$A,product!$D:$D,,0))</f>
        <v>27.66</v>
      </c>
      <c r="K555" s="7">
        <f t="shared" si="8"/>
        <v>55.32</v>
      </c>
      <c r="L555" s="10" t="str">
        <f>IF(_xlfn.XLOOKUP(D555,product!$A:$A,product!$F:$F,,0)=0,"",_xlfn.XLOOKUP(D555,product!$A:$A,product!$F:$F,,0))</f>
        <v>Yes</v>
      </c>
      <c r="M555" t="str">
        <f>IF(_xlfn.XLOOKUP(D555,product!$A:$A,product!G:G,,0)=0,"",_xlfn.XLOOKUP(D555,product!$A:$A,product!G:G,,0))</f>
        <v>Silver</v>
      </c>
      <c r="N555" t="str">
        <f>IF(_xlfn.XLOOKUP(D555,product!$A:$A,product!$B:$B,,0)=0,"",_xlfn.XLOOKUP(D555,product!$A:$A,product!$B:$B,,0))</f>
        <v>Future Secrets</v>
      </c>
    </row>
    <row r="556" spans="1:14" x14ac:dyDescent="0.35">
      <c r="A556" t="s">
        <v>666</v>
      </c>
      <c r="B556" s="3">
        <v>44989</v>
      </c>
      <c r="C556" t="s">
        <v>3010</v>
      </c>
      <c r="D556" t="s">
        <v>5913</v>
      </c>
      <c r="E556">
        <v>2</v>
      </c>
      <c r="F556" t="str">
        <f>_xlfn.XLOOKUP(C556,customers!$A$1:$A$983,customers!$B$1:$B$983,,0)</f>
        <v>Anthony Scott</v>
      </c>
      <c r="G556" t="str">
        <f>_xlfn.XLOOKUP(C556,customers!$A:$A,customers!$C:$C,,0)</f>
        <v>anthony.scott718@hotmail.com</v>
      </c>
      <c r="H556" t="str">
        <f>IF(_xlfn.XLOOKUP(C556,customers!$A:$A,customers!$G:$G,,0)=0,"",_xlfn.XLOOKUP(C556,customers!$A:$A,customers!$G:$G,,0))</f>
        <v>Japan</v>
      </c>
      <c r="I556" t="str">
        <f>IF(_xlfn.XLOOKUP(D556,product!$A:$A,product!$E:$E,,0)=0,"",_xlfn.XLOOKUP(D556,product!$A:$A,product!$E:$E,,0))</f>
        <v>SCIENCE</v>
      </c>
      <c r="J556" s="5">
        <f>IF(_xlfn.XLOOKUP(D556,product!$A:$A,product!$D:$D,,0)=0,"",_xlfn.XLOOKUP(D556,product!$A:$A,product!$D:$D,,0))</f>
        <v>30.74</v>
      </c>
      <c r="K556" s="7">
        <f t="shared" si="8"/>
        <v>61.48</v>
      </c>
      <c r="L556" s="10" t="str">
        <f>IF(_xlfn.XLOOKUP(D556,product!$A:$A,product!$F:$F,,0)=0,"",_xlfn.XLOOKUP(D556,product!$A:$A,product!$F:$F,,0))</f>
        <v>No</v>
      </c>
      <c r="M556" t="str">
        <f>IF(_xlfn.XLOOKUP(D556,product!$A:$A,product!G:G,,0)=0,"",_xlfn.XLOOKUP(D556,product!$A:$A,product!G:G,,0))</f>
        <v>None</v>
      </c>
      <c r="N556" t="str">
        <f>IF(_xlfn.XLOOKUP(D556,product!$A:$A,product!$B:$B,,0)=0,"",_xlfn.XLOOKUP(D556,product!$A:$A,product!$B:$B,,0))</f>
        <v>Data Journey</v>
      </c>
    </row>
    <row r="557" spans="1:14" x14ac:dyDescent="0.35">
      <c r="A557" t="s">
        <v>683</v>
      </c>
      <c r="B557" s="3">
        <v>45328</v>
      </c>
      <c r="C557" t="s">
        <v>2920</v>
      </c>
      <c r="D557" t="s">
        <v>5914</v>
      </c>
      <c r="E557">
        <v>2</v>
      </c>
      <c r="F557" t="str">
        <f>_xlfn.XLOOKUP(C557,customers!$A$1:$A$983,customers!$B$1:$B$983,,0)</f>
        <v>Michael Martin</v>
      </c>
      <c r="G557" t="str">
        <f>_xlfn.XLOOKUP(C557,customers!$A:$A,customers!$C:$C,,0)</f>
        <v>michael.martin675@yahoo.com</v>
      </c>
      <c r="H557" t="str">
        <f>IF(_xlfn.XLOOKUP(C557,customers!$A:$A,customers!$G:$G,,0)=0,"",_xlfn.XLOOKUP(C557,customers!$A:$A,customers!$G:$G,,0))</f>
        <v>Germany</v>
      </c>
      <c r="I557" t="str">
        <f>IF(_xlfn.XLOOKUP(D557,product!$A:$A,product!$E:$E,,0)=0,"",_xlfn.XLOOKUP(D557,product!$A:$A,product!$E:$E,,0))</f>
        <v>BUSINESS</v>
      </c>
      <c r="J557" s="5">
        <f>IF(_xlfn.XLOOKUP(D557,product!$A:$A,product!$D:$D,,0)=0,"",_xlfn.XLOOKUP(D557,product!$A:$A,product!$D:$D,,0))</f>
        <v>10.62</v>
      </c>
      <c r="K557" s="7">
        <f t="shared" si="8"/>
        <v>21.24</v>
      </c>
      <c r="L557" s="10" t="str">
        <f>IF(_xlfn.XLOOKUP(D557,product!$A:$A,product!$F:$F,,0)=0,"",_xlfn.XLOOKUP(D557,product!$A:$A,product!$F:$F,,0))</f>
        <v>No</v>
      </c>
      <c r="M557" t="str">
        <f>IF(_xlfn.XLOOKUP(D557,product!$A:$A,product!G:G,,0)=0,"",_xlfn.XLOOKUP(D557,product!$A:$A,product!G:G,,0))</f>
        <v>None</v>
      </c>
      <c r="N557" t="str">
        <f>IF(_xlfn.XLOOKUP(D557,product!$A:$A,product!$B:$B,,0)=0,"",_xlfn.XLOOKUP(D557,product!$A:$A,product!$B:$B,,0))</f>
        <v>Quantum Future</v>
      </c>
    </row>
    <row r="558" spans="1:14" x14ac:dyDescent="0.35">
      <c r="A558" t="s">
        <v>700</v>
      </c>
      <c r="B558" s="3">
        <v>45168</v>
      </c>
      <c r="C558" t="s">
        <v>1066</v>
      </c>
      <c r="D558" t="s">
        <v>5915</v>
      </c>
      <c r="E558">
        <v>2</v>
      </c>
      <c r="F558" t="str">
        <f>_xlfn.XLOOKUP(C558,customers!$A$1:$A$983,customers!$B$1:$B$983,,0)</f>
        <v>Daniel Lewis</v>
      </c>
      <c r="G558" t="str">
        <f>_xlfn.XLOOKUP(C558,customers!$A:$A,customers!$C:$C,,0)</f>
        <v>daniel.lewis9@hotmail.com</v>
      </c>
      <c r="H558" t="str">
        <f>IF(_xlfn.XLOOKUP(C558,customers!$A:$A,customers!$G:$G,,0)=0,"",_xlfn.XLOOKUP(C558,customers!$A:$A,customers!$G:$G,,0))</f>
        <v>Germany</v>
      </c>
      <c r="I558" t="str">
        <f>IF(_xlfn.XLOOKUP(D558,product!$A:$A,product!$E:$E,,0)=0,"",_xlfn.XLOOKUP(D558,product!$A:$A,product!$E:$E,,0))</f>
        <v>BUSINESS</v>
      </c>
      <c r="J558" s="5">
        <f>IF(_xlfn.XLOOKUP(D558,product!$A:$A,product!$D:$D,,0)=0,"",_xlfn.XLOOKUP(D558,product!$A:$A,product!$D:$D,,0))</f>
        <v>29.84</v>
      </c>
      <c r="K558" s="7">
        <f t="shared" si="8"/>
        <v>59.68</v>
      </c>
      <c r="L558" s="10" t="str">
        <f>IF(_xlfn.XLOOKUP(D558,product!$A:$A,product!$F:$F,,0)=0,"",_xlfn.XLOOKUP(D558,product!$A:$A,product!$F:$F,,0))</f>
        <v>No</v>
      </c>
      <c r="M558" t="str">
        <f>IF(_xlfn.XLOOKUP(D558,product!$A:$A,product!G:G,,0)=0,"",_xlfn.XLOOKUP(D558,product!$A:$A,product!G:G,,0))</f>
        <v>None</v>
      </c>
      <c r="N558" t="str">
        <f>IF(_xlfn.XLOOKUP(D558,product!$A:$A,product!$B:$B,,0)=0,"",_xlfn.XLOOKUP(D558,product!$A:$A,product!$B:$B,,0))</f>
        <v>Silent Forest</v>
      </c>
    </row>
    <row r="559" spans="1:14" x14ac:dyDescent="0.35">
      <c r="A559" t="s">
        <v>717</v>
      </c>
      <c r="B559" s="3">
        <v>45439</v>
      </c>
      <c r="C559" t="s">
        <v>2328</v>
      </c>
      <c r="D559" t="s">
        <v>5916</v>
      </c>
      <c r="E559">
        <v>2</v>
      </c>
      <c r="F559" t="str">
        <f>_xlfn.XLOOKUP(C559,customers!$A$1:$A$983,customers!$B$1:$B$983,,0)</f>
        <v>Mia Wright</v>
      </c>
      <c r="G559" t="str">
        <f>_xlfn.XLOOKUP(C559,customers!$A:$A,customers!$C:$C,,0)</f>
        <v>mia.wright392@outlook.com</v>
      </c>
      <c r="H559" t="str">
        <f>IF(_xlfn.XLOOKUP(C559,customers!$A:$A,customers!$G:$G,,0)=0,"",_xlfn.XLOOKUP(C559,customers!$A:$A,customers!$G:$G,,0))</f>
        <v>Egypt</v>
      </c>
      <c r="I559" t="str">
        <f>IF(_xlfn.XLOOKUP(D559,product!$A:$A,product!$E:$E,,0)=0,"",_xlfn.XLOOKUP(D559,product!$A:$A,product!$E:$E,,0))</f>
        <v>SCIENCE</v>
      </c>
      <c r="J559" s="5">
        <f>IF(_xlfn.XLOOKUP(D559,product!$A:$A,product!$D:$D,,0)=0,"",_xlfn.XLOOKUP(D559,product!$A:$A,product!$D:$D,,0))</f>
        <v>13.51</v>
      </c>
      <c r="K559" s="7">
        <f t="shared" si="8"/>
        <v>27.02</v>
      </c>
      <c r="L559" s="10" t="str">
        <f>IF(_xlfn.XLOOKUP(D559,product!$A:$A,product!$F:$F,,0)=0,"",_xlfn.XLOOKUP(D559,product!$A:$A,product!$F:$F,,0))</f>
        <v>Yes</v>
      </c>
      <c r="M559" t="str">
        <f>IF(_xlfn.XLOOKUP(D559,product!$A:$A,product!G:G,,0)=0,"",_xlfn.XLOOKUP(D559,product!$A:$A,product!G:G,,0))</f>
        <v>None</v>
      </c>
      <c r="N559" t="str">
        <f>IF(_xlfn.XLOOKUP(D559,product!$A:$A,product!$B:$B,,0)=0,"",_xlfn.XLOOKUP(D559,product!$A:$A,product!$B:$B,,0))</f>
        <v>Forest Secrets</v>
      </c>
    </row>
    <row r="560" spans="1:14" x14ac:dyDescent="0.35">
      <c r="A560" t="s">
        <v>734</v>
      </c>
      <c r="B560" s="3">
        <v>45240</v>
      </c>
      <c r="C560" t="s">
        <v>3053</v>
      </c>
      <c r="D560" t="s">
        <v>5917</v>
      </c>
      <c r="E560">
        <v>2</v>
      </c>
      <c r="F560" t="str">
        <f>_xlfn.XLOOKUP(C560,customers!$A$1:$A$983,customers!$B$1:$B$983,,0)</f>
        <v>Zoe Johnson</v>
      </c>
      <c r="G560" t="str">
        <f>_xlfn.XLOOKUP(C560,customers!$A:$A,customers!$C:$C,,0)</f>
        <v>zoe.johnson739@gmail.com</v>
      </c>
      <c r="H560" t="str">
        <f>IF(_xlfn.XLOOKUP(C560,customers!$A:$A,customers!$G:$G,,0)=0,"",_xlfn.XLOOKUP(C560,customers!$A:$A,customers!$G:$G,,0))</f>
        <v>USA</v>
      </c>
      <c r="I560" t="str">
        <f>IF(_xlfn.XLOOKUP(D560,product!$A:$A,product!$E:$E,,0)=0,"",_xlfn.XLOOKUP(D560,product!$A:$A,product!$E:$E,,0))</f>
        <v>HISTORY</v>
      </c>
      <c r="J560" s="5">
        <f>IF(_xlfn.XLOOKUP(D560,product!$A:$A,product!$D:$D,,0)=0,"",_xlfn.XLOOKUP(D560,product!$A:$A,product!$D:$D,,0))</f>
        <v>25.66</v>
      </c>
      <c r="K560" s="7">
        <f t="shared" si="8"/>
        <v>51.32</v>
      </c>
      <c r="L560" s="10" t="str">
        <f>IF(_xlfn.XLOOKUP(D560,product!$A:$A,product!$F:$F,,0)=0,"",_xlfn.XLOOKUP(D560,product!$A:$A,product!$F:$F,,0))</f>
        <v>Yes</v>
      </c>
      <c r="M560" t="str">
        <f>IF(_xlfn.XLOOKUP(D560,product!$A:$A,product!G:G,,0)=0,"",_xlfn.XLOOKUP(D560,product!$A:$A,product!G:G,,0))</f>
        <v>Silver</v>
      </c>
      <c r="N560" t="str">
        <f>IF(_xlfn.XLOOKUP(D560,product!$A:$A,product!$B:$B,,0)=0,"",_xlfn.XLOOKUP(D560,product!$A:$A,product!$B:$B,,0))</f>
        <v>Secrets Mind</v>
      </c>
    </row>
    <row r="561" spans="1:14" x14ac:dyDescent="0.35">
      <c r="A561" t="s">
        <v>751</v>
      </c>
      <c r="B561" s="3">
        <v>45494</v>
      </c>
      <c r="C561" t="s">
        <v>2438</v>
      </c>
      <c r="D561" t="s">
        <v>5918</v>
      </c>
      <c r="E561">
        <v>2</v>
      </c>
      <c r="F561" t="str">
        <f>_xlfn.XLOOKUP(C561,customers!$A$1:$A$983,customers!$B$1:$B$983,,0)</f>
        <v>Zoe King</v>
      </c>
      <c r="G561" t="str">
        <f>_xlfn.XLOOKUP(C561,customers!$A:$A,customers!$C:$C,,0)</f>
        <v>zoe.king442@gmail.com</v>
      </c>
      <c r="H561" t="str">
        <f>IF(_xlfn.XLOOKUP(C561,customers!$A:$A,customers!$G:$G,,0)=0,"",_xlfn.XLOOKUP(C561,customers!$A:$A,customers!$G:$G,,0))</f>
        <v>USA</v>
      </c>
      <c r="I561" t="str">
        <f>IF(_xlfn.XLOOKUP(D561,product!$A:$A,product!$E:$E,,0)=0,"",_xlfn.XLOOKUP(D561,product!$A:$A,product!$E:$E,,0))</f>
        <v>SCIENCE</v>
      </c>
      <c r="J561" s="5">
        <f>IF(_xlfn.XLOOKUP(D561,product!$A:$A,product!$D:$D,,0)=0,"",_xlfn.XLOOKUP(D561,product!$A:$A,product!$D:$D,,0))</f>
        <v>10.62</v>
      </c>
      <c r="K561" s="7">
        <f t="shared" si="8"/>
        <v>21.24</v>
      </c>
      <c r="L561" s="10" t="str">
        <f>IF(_xlfn.XLOOKUP(D561,product!$A:$A,product!$F:$F,,0)=0,"",_xlfn.XLOOKUP(D561,product!$A:$A,product!$F:$F,,0))</f>
        <v>Yes</v>
      </c>
      <c r="M561" t="str">
        <f>IF(_xlfn.XLOOKUP(D561,product!$A:$A,product!G:G,,0)=0,"",_xlfn.XLOOKUP(D561,product!$A:$A,product!G:G,,0))</f>
        <v>Silver</v>
      </c>
      <c r="N561" t="str">
        <f>IF(_xlfn.XLOOKUP(D561,product!$A:$A,product!$B:$B,,0)=0,"",_xlfn.XLOOKUP(D561,product!$A:$A,product!$B:$B,,0))</f>
        <v>Journey Future</v>
      </c>
    </row>
    <row r="562" spans="1:14" x14ac:dyDescent="0.35">
      <c r="A562" t="s">
        <v>768</v>
      </c>
      <c r="B562" s="3">
        <v>45082</v>
      </c>
      <c r="C562" t="s">
        <v>2036</v>
      </c>
      <c r="D562" t="s">
        <v>5919</v>
      </c>
      <c r="E562">
        <v>2</v>
      </c>
      <c r="F562" t="str">
        <f>_xlfn.XLOOKUP(C562,customers!$A$1:$A$983,customers!$B$1:$B$983,,0)</f>
        <v>Grace Garcia</v>
      </c>
      <c r="G562" t="str">
        <f>_xlfn.XLOOKUP(C562,customers!$A:$A,customers!$C:$C,,0)</f>
        <v>grace.garcia273@hotmail.com</v>
      </c>
      <c r="H562" t="str">
        <f>IF(_xlfn.XLOOKUP(C562,customers!$A:$A,customers!$G:$G,,0)=0,"",_xlfn.XLOOKUP(C562,customers!$A:$A,customers!$G:$G,,0))</f>
        <v>Japan</v>
      </c>
      <c r="I562" t="str">
        <f>IF(_xlfn.XLOOKUP(D562,product!$A:$A,product!$E:$E,,0)=0,"",_xlfn.XLOOKUP(D562,product!$A:$A,product!$E:$E,,0))</f>
        <v>TECH</v>
      </c>
      <c r="J562" s="5">
        <f>IF(_xlfn.XLOOKUP(D562,product!$A:$A,product!$D:$D,,0)=0,"",_xlfn.XLOOKUP(D562,product!$A:$A,product!$D:$D,,0))</f>
        <v>27.35</v>
      </c>
      <c r="K562" s="7">
        <f t="shared" si="8"/>
        <v>54.7</v>
      </c>
      <c r="L562" s="10" t="str">
        <f>IF(_xlfn.XLOOKUP(D562,product!$A:$A,product!$F:$F,,0)=0,"",_xlfn.XLOOKUP(D562,product!$A:$A,product!$F:$F,,0))</f>
        <v>Yes</v>
      </c>
      <c r="M562" t="str">
        <f>IF(_xlfn.XLOOKUP(D562,product!$A:$A,product!G:G,,0)=0,"",_xlfn.XLOOKUP(D562,product!$A:$A,product!G:G,,0))</f>
        <v>Gold</v>
      </c>
      <c r="N562" t="str">
        <f>IF(_xlfn.XLOOKUP(D562,product!$A:$A,product!$B:$B,,0)=0,"",_xlfn.XLOOKUP(D562,product!$A:$A,product!$B:$B,,0))</f>
        <v>Forest Journey</v>
      </c>
    </row>
    <row r="563" spans="1:14" x14ac:dyDescent="0.35">
      <c r="A563" t="s">
        <v>785</v>
      </c>
      <c r="B563" s="3">
        <v>45548</v>
      </c>
      <c r="C563" t="s">
        <v>1390</v>
      </c>
      <c r="D563" t="s">
        <v>5920</v>
      </c>
      <c r="E563">
        <v>2</v>
      </c>
      <c r="F563" t="str">
        <f>_xlfn.XLOOKUP(C563,customers!$A$1:$A$983,customers!$B$1:$B$983,,0)</f>
        <v>Mark Green</v>
      </c>
      <c r="G563" t="str">
        <f>_xlfn.XLOOKUP(C563,customers!$A:$A,customers!$C:$C,,0)</f>
        <v>mark.green89@hotmail.com</v>
      </c>
      <c r="H563" t="str">
        <f>IF(_xlfn.XLOOKUP(C563,customers!$A:$A,customers!$G:$G,,0)=0,"",_xlfn.XLOOKUP(C563,customers!$A:$A,customers!$G:$G,,0))</f>
        <v>Spain</v>
      </c>
      <c r="I563" t="str">
        <f>IF(_xlfn.XLOOKUP(D563,product!$A:$A,product!$E:$E,,0)=0,"",_xlfn.XLOOKUP(D563,product!$A:$A,product!$E:$E,,0))</f>
        <v>FICTION</v>
      </c>
      <c r="J563" s="5">
        <f>IF(_xlfn.XLOOKUP(D563,product!$A:$A,product!$D:$D,,0)=0,"",_xlfn.XLOOKUP(D563,product!$A:$A,product!$D:$D,,0))</f>
        <v>13.17</v>
      </c>
      <c r="K563" s="7">
        <f t="shared" si="8"/>
        <v>26.34</v>
      </c>
      <c r="L563" s="10" t="str">
        <f>IF(_xlfn.XLOOKUP(D563,product!$A:$A,product!$F:$F,,0)=0,"",_xlfn.XLOOKUP(D563,product!$A:$A,product!$F:$F,,0))</f>
        <v>No</v>
      </c>
      <c r="M563" t="str">
        <f>IF(_xlfn.XLOOKUP(D563,product!$A:$A,product!G:G,,0)=0,"",_xlfn.XLOOKUP(D563,product!$A:$A,product!G:G,,0))</f>
        <v>None</v>
      </c>
      <c r="N563" t="str">
        <f>IF(_xlfn.XLOOKUP(D563,product!$A:$A,product!$B:$B,,0)=0,"",_xlfn.XLOOKUP(D563,product!$A:$A,product!$B:$B,,0))</f>
        <v>Quantum Mind</v>
      </c>
    </row>
    <row r="564" spans="1:14" x14ac:dyDescent="0.35">
      <c r="A564" t="s">
        <v>802</v>
      </c>
      <c r="B564" s="3">
        <v>45029</v>
      </c>
      <c r="C564" t="s">
        <v>2262</v>
      </c>
      <c r="D564" t="s">
        <v>5921</v>
      </c>
      <c r="E564">
        <v>2</v>
      </c>
      <c r="F564" t="str">
        <f>_xlfn.XLOOKUP(C564,customers!$A$1:$A$983,customers!$B$1:$B$983,,0)</f>
        <v>Steven Johnson</v>
      </c>
      <c r="G564" t="str">
        <f>_xlfn.XLOOKUP(C564,customers!$A:$A,customers!$C:$C,,0)</f>
        <v>steven.johnson363@hotmail.com</v>
      </c>
      <c r="H564" t="str">
        <f>IF(_xlfn.XLOOKUP(C564,customers!$A:$A,customers!$G:$G,,0)=0,"",_xlfn.XLOOKUP(C564,customers!$A:$A,customers!$G:$G,,0))</f>
        <v>Japan</v>
      </c>
      <c r="I564" t="str">
        <f>IF(_xlfn.XLOOKUP(D564,product!$A:$A,product!$E:$E,,0)=0,"",_xlfn.XLOOKUP(D564,product!$A:$A,product!$E:$E,,0))</f>
        <v>FICTION</v>
      </c>
      <c r="J564" s="5">
        <f>IF(_xlfn.XLOOKUP(D564,product!$A:$A,product!$D:$D,,0)=0,"",_xlfn.XLOOKUP(D564,product!$A:$A,product!$D:$D,,0))</f>
        <v>35.14</v>
      </c>
      <c r="K564" s="7">
        <f t="shared" si="8"/>
        <v>70.28</v>
      </c>
      <c r="L564" s="10" t="str">
        <f>IF(_xlfn.XLOOKUP(D564,product!$A:$A,product!$F:$F,,0)=0,"",_xlfn.XLOOKUP(D564,product!$A:$A,product!$F:$F,,0))</f>
        <v>Yes</v>
      </c>
      <c r="M564" t="str">
        <f>IF(_xlfn.XLOOKUP(D564,product!$A:$A,product!G:G,,0)=0,"",_xlfn.XLOOKUP(D564,product!$A:$A,product!G:G,,0))</f>
        <v>None</v>
      </c>
      <c r="N564" t="str">
        <f>IF(_xlfn.XLOOKUP(D564,product!$A:$A,product!$B:$B,,0)=0,"",_xlfn.XLOOKUP(D564,product!$A:$A,product!$B:$B,,0))</f>
        <v>Future Silent</v>
      </c>
    </row>
    <row r="565" spans="1:14" x14ac:dyDescent="0.35">
      <c r="A565" t="s">
        <v>819</v>
      </c>
      <c r="B565" s="3">
        <v>45319</v>
      </c>
      <c r="C565" t="s">
        <v>1980</v>
      </c>
      <c r="D565" t="s">
        <v>5922</v>
      </c>
      <c r="E565">
        <v>2</v>
      </c>
      <c r="F565" t="str">
        <f>_xlfn.XLOOKUP(C565,customers!$A$1:$A$983,customers!$B$1:$B$983,,0)</f>
        <v>John Baker</v>
      </c>
      <c r="G565" t="str">
        <f>_xlfn.XLOOKUP(C565,customers!$A:$A,customers!$C:$C,,0)</f>
        <v>john.baker254@hotmail.com</v>
      </c>
      <c r="H565" t="str">
        <f>IF(_xlfn.XLOOKUP(C565,customers!$A:$A,customers!$G:$G,,0)=0,"",_xlfn.XLOOKUP(C565,customers!$A:$A,customers!$G:$G,,0))</f>
        <v>Pakistan</v>
      </c>
      <c r="I565" t="str">
        <f>IF(_xlfn.XLOOKUP(D565,product!$A:$A,product!$E:$E,,0)=0,"",_xlfn.XLOOKUP(D565,product!$A:$A,product!$E:$E,,0))</f>
        <v>SCIENCE</v>
      </c>
      <c r="J565" s="5">
        <f>IF(_xlfn.XLOOKUP(D565,product!$A:$A,product!$D:$D,,0)=0,"",_xlfn.XLOOKUP(D565,product!$A:$A,product!$D:$D,,0))</f>
        <v>36.08</v>
      </c>
      <c r="K565" s="7">
        <f t="shared" si="8"/>
        <v>72.16</v>
      </c>
      <c r="L565" s="10" t="str">
        <f>IF(_xlfn.XLOOKUP(D565,product!$A:$A,product!$F:$F,,0)=0,"",_xlfn.XLOOKUP(D565,product!$A:$A,product!$F:$F,,0))</f>
        <v>No</v>
      </c>
      <c r="M565" t="str">
        <f>IF(_xlfn.XLOOKUP(D565,product!$A:$A,product!G:G,,0)=0,"",_xlfn.XLOOKUP(D565,product!$A:$A,product!G:G,,0))</f>
        <v>Silver</v>
      </c>
      <c r="N565" t="str">
        <f>IF(_xlfn.XLOOKUP(D565,product!$A:$A,product!$B:$B,,0)=0,"",_xlfn.XLOOKUP(D565,product!$A:$A,product!$B:$B,,0))</f>
        <v>Secrets Silent</v>
      </c>
    </row>
    <row r="566" spans="1:14" x14ac:dyDescent="0.35">
      <c r="A566" t="s">
        <v>836</v>
      </c>
      <c r="B566" s="3">
        <v>45220</v>
      </c>
      <c r="C566" t="s">
        <v>3045</v>
      </c>
      <c r="D566" t="s">
        <v>5923</v>
      </c>
      <c r="E566">
        <v>2</v>
      </c>
      <c r="F566" t="str">
        <f>_xlfn.XLOOKUP(C566,customers!$A$1:$A$983,customers!$B$1:$B$983,,0)</f>
        <v>Emma Wright</v>
      </c>
      <c r="G566" t="str">
        <f>_xlfn.XLOOKUP(C566,customers!$A:$A,customers!$C:$C,,0)</f>
        <v>emma.wright735@outlook.com</v>
      </c>
      <c r="H566" t="str">
        <f>IF(_xlfn.XLOOKUP(C566,customers!$A:$A,customers!$G:$G,,0)=0,"",_xlfn.XLOOKUP(C566,customers!$A:$A,customers!$G:$G,,0))</f>
        <v>Spain</v>
      </c>
      <c r="I566" t="str">
        <f>IF(_xlfn.XLOOKUP(D566,product!$A:$A,product!$E:$E,,0)=0,"",_xlfn.XLOOKUP(D566,product!$A:$A,product!$E:$E,,0))</f>
        <v>SCIENCE</v>
      </c>
      <c r="J566" s="5">
        <f>IF(_xlfn.XLOOKUP(D566,product!$A:$A,product!$D:$D,,0)=0,"",_xlfn.XLOOKUP(D566,product!$A:$A,product!$D:$D,,0))</f>
        <v>37.79</v>
      </c>
      <c r="K566" s="7">
        <f t="shared" si="8"/>
        <v>75.58</v>
      </c>
      <c r="L566" s="10" t="str">
        <f>IF(_xlfn.XLOOKUP(D566,product!$A:$A,product!$F:$F,,0)=0,"",_xlfn.XLOOKUP(D566,product!$A:$A,product!$F:$F,,0))</f>
        <v>No</v>
      </c>
      <c r="M566" t="str">
        <f>IF(_xlfn.XLOOKUP(D566,product!$A:$A,product!G:G,,0)=0,"",_xlfn.XLOOKUP(D566,product!$A:$A,product!G:G,,0))</f>
        <v>Platinum</v>
      </c>
      <c r="N566" t="str">
        <f>IF(_xlfn.XLOOKUP(D566,product!$A:$A,product!$B:$B,,0)=0,"",_xlfn.XLOOKUP(D566,product!$A:$A,product!$B:$B,,0))</f>
        <v>Quantum Data</v>
      </c>
    </row>
    <row r="567" spans="1:14" x14ac:dyDescent="0.35">
      <c r="A567" t="s">
        <v>853</v>
      </c>
      <c r="B567" s="3">
        <v>45626</v>
      </c>
      <c r="C567" t="s">
        <v>2748</v>
      </c>
      <c r="D567" t="s">
        <v>5924</v>
      </c>
      <c r="E567">
        <v>2</v>
      </c>
      <c r="F567" t="str">
        <f>_xlfn.XLOOKUP(C567,customers!$A$1:$A$983,customers!$B$1:$B$983,,0)</f>
        <v>Jessica Young</v>
      </c>
      <c r="G567" t="str">
        <f>_xlfn.XLOOKUP(C567,customers!$A:$A,customers!$C:$C,,0)</f>
        <v>jessica.young591@hotmail.com</v>
      </c>
      <c r="H567" t="str">
        <f>IF(_xlfn.XLOOKUP(C567,customers!$A:$A,customers!$G:$G,,0)=0,"",_xlfn.XLOOKUP(C567,customers!$A:$A,customers!$G:$G,,0))</f>
        <v>Spain</v>
      </c>
      <c r="I567" t="str">
        <f>IF(_xlfn.XLOOKUP(D567,product!$A:$A,product!$E:$E,,0)=0,"",_xlfn.XLOOKUP(D567,product!$A:$A,product!$E:$E,,0))</f>
        <v>SCIENCE</v>
      </c>
      <c r="J567" s="5">
        <f>IF(_xlfn.XLOOKUP(D567,product!$A:$A,product!$D:$D,,0)=0,"",_xlfn.XLOOKUP(D567,product!$A:$A,product!$D:$D,,0))</f>
        <v>38.67</v>
      </c>
      <c r="K567" s="7">
        <f t="shared" si="8"/>
        <v>77.34</v>
      </c>
      <c r="L567" s="10" t="str">
        <f>IF(_xlfn.XLOOKUP(D567,product!$A:$A,product!$F:$F,,0)=0,"",_xlfn.XLOOKUP(D567,product!$A:$A,product!$F:$F,,0))</f>
        <v>Yes</v>
      </c>
      <c r="M567" t="str">
        <f>IF(_xlfn.XLOOKUP(D567,product!$A:$A,product!G:G,,0)=0,"",_xlfn.XLOOKUP(D567,product!$A:$A,product!G:G,,0))</f>
        <v>None</v>
      </c>
      <c r="N567" t="str">
        <f>IF(_xlfn.XLOOKUP(D567,product!$A:$A,product!$B:$B,,0)=0,"",_xlfn.XLOOKUP(D567,product!$A:$A,product!$B:$B,,0))</f>
        <v>Secrets Science</v>
      </c>
    </row>
    <row r="568" spans="1:14" x14ac:dyDescent="0.35">
      <c r="A568" t="s">
        <v>870</v>
      </c>
      <c r="B568" s="3">
        <v>45285</v>
      </c>
      <c r="C568" t="s">
        <v>2727</v>
      </c>
      <c r="D568" t="s">
        <v>5925</v>
      </c>
      <c r="E568">
        <v>2</v>
      </c>
      <c r="F568" t="str">
        <f>_xlfn.XLOOKUP(C568,customers!$A$1:$A$983,customers!$B$1:$B$983,,0)</f>
        <v>Ella Rodriguez</v>
      </c>
      <c r="G568" t="str">
        <f>_xlfn.XLOOKUP(C568,customers!$A:$A,customers!$C:$C,,0)</f>
        <v>ella.rodriguez581@yahoo.com</v>
      </c>
      <c r="H568" t="str">
        <f>IF(_xlfn.XLOOKUP(C568,customers!$A:$A,customers!$G:$G,,0)=0,"",_xlfn.XLOOKUP(C568,customers!$A:$A,customers!$G:$G,,0))</f>
        <v>Egypt</v>
      </c>
      <c r="I568" t="str">
        <f>IF(_xlfn.XLOOKUP(D568,product!$A:$A,product!$E:$E,,0)=0,"",_xlfn.XLOOKUP(D568,product!$A:$A,product!$E:$E,,0))</f>
        <v>FICTION</v>
      </c>
      <c r="J568" s="5">
        <f>IF(_xlfn.XLOOKUP(D568,product!$A:$A,product!$D:$D,,0)=0,"",_xlfn.XLOOKUP(D568,product!$A:$A,product!$D:$D,,0))</f>
        <v>31.9</v>
      </c>
      <c r="K568" s="7">
        <f t="shared" si="8"/>
        <v>63.8</v>
      </c>
      <c r="L568" s="10" t="str">
        <f>IF(_xlfn.XLOOKUP(D568,product!$A:$A,product!$F:$F,,0)=0,"",_xlfn.XLOOKUP(D568,product!$A:$A,product!$F:$F,,0))</f>
        <v>Yes</v>
      </c>
      <c r="M568" t="str">
        <f>IF(_xlfn.XLOOKUP(D568,product!$A:$A,product!G:G,,0)=0,"",_xlfn.XLOOKUP(D568,product!$A:$A,product!G:G,,0))</f>
        <v>None</v>
      </c>
      <c r="N568" t="str">
        <f>IF(_xlfn.XLOOKUP(D568,product!$A:$A,product!$B:$B,,0)=0,"",_xlfn.XLOOKUP(D568,product!$A:$A,product!$B:$B,,0))</f>
        <v>Forest Mind</v>
      </c>
    </row>
    <row r="569" spans="1:14" x14ac:dyDescent="0.35">
      <c r="A569" t="s">
        <v>887</v>
      </c>
      <c r="B569" s="3">
        <v>45357</v>
      </c>
      <c r="C569" t="s">
        <v>1443</v>
      </c>
      <c r="D569" t="s">
        <v>5926</v>
      </c>
      <c r="E569">
        <v>2</v>
      </c>
      <c r="F569" t="str">
        <f>_xlfn.XLOOKUP(C569,customers!$A$1:$A$983,customers!$B$1:$B$983,,0)</f>
        <v>Emily Lee</v>
      </c>
      <c r="G569" t="str">
        <f>_xlfn.XLOOKUP(C569,customers!$A:$A,customers!$C:$C,,0)</f>
        <v>emily.lee105@outlook.com</v>
      </c>
      <c r="H569" t="str">
        <f>IF(_xlfn.XLOOKUP(C569,customers!$A:$A,customers!$G:$G,,0)=0,"",_xlfn.XLOOKUP(C569,customers!$A:$A,customers!$G:$G,,0))</f>
        <v>Spain</v>
      </c>
      <c r="I569" t="str">
        <f>IF(_xlfn.XLOOKUP(D569,product!$A:$A,product!$E:$E,,0)=0,"",_xlfn.XLOOKUP(D569,product!$A:$A,product!$E:$E,,0))</f>
        <v>BUSINESS</v>
      </c>
      <c r="J569" s="5">
        <f>IF(_xlfn.XLOOKUP(D569,product!$A:$A,product!$D:$D,,0)=0,"",_xlfn.XLOOKUP(D569,product!$A:$A,product!$D:$D,,0))</f>
        <v>26.02</v>
      </c>
      <c r="K569" s="7">
        <f t="shared" si="8"/>
        <v>52.04</v>
      </c>
      <c r="L569" s="10" t="str">
        <f>IF(_xlfn.XLOOKUP(D569,product!$A:$A,product!$F:$F,,0)=0,"",_xlfn.XLOOKUP(D569,product!$A:$A,product!$F:$F,,0))</f>
        <v>Yes</v>
      </c>
      <c r="M569" t="str">
        <f>IF(_xlfn.XLOOKUP(D569,product!$A:$A,product!G:G,,0)=0,"",_xlfn.XLOOKUP(D569,product!$A:$A,product!G:G,,0))</f>
        <v>Platinum</v>
      </c>
      <c r="N569" t="str">
        <f>IF(_xlfn.XLOOKUP(D569,product!$A:$A,product!$B:$B,,0)=0,"",_xlfn.XLOOKUP(D569,product!$A:$A,product!$B:$B,,0))</f>
        <v>Silent Secrets</v>
      </c>
    </row>
    <row r="570" spans="1:14" x14ac:dyDescent="0.35">
      <c r="A570" t="s">
        <v>904</v>
      </c>
      <c r="B570" s="3">
        <v>44970</v>
      </c>
      <c r="C570" t="s">
        <v>2466</v>
      </c>
      <c r="D570" t="s">
        <v>5927</v>
      </c>
      <c r="E570">
        <v>2</v>
      </c>
      <c r="F570" t="str">
        <f>_xlfn.XLOOKUP(C570,customers!$A$1:$A$983,customers!$B$1:$B$983,,0)</f>
        <v>Emma Smith</v>
      </c>
      <c r="G570" t="str">
        <f>_xlfn.XLOOKUP(C570,customers!$A:$A,customers!$C:$C,,0)</f>
        <v>emma.smith455@yahoo.com</v>
      </c>
      <c r="H570" t="str">
        <f>IF(_xlfn.XLOOKUP(C570,customers!$A:$A,customers!$G:$G,,0)=0,"",_xlfn.XLOOKUP(C570,customers!$A:$A,customers!$G:$G,,0))</f>
        <v>Egypt</v>
      </c>
      <c r="I570" t="str">
        <f>IF(_xlfn.XLOOKUP(D570,product!$A:$A,product!$E:$E,,0)=0,"",_xlfn.XLOOKUP(D570,product!$A:$A,product!$E:$E,,0))</f>
        <v>BUSINESS</v>
      </c>
      <c r="J570" s="5">
        <f>IF(_xlfn.XLOOKUP(D570,product!$A:$A,product!$D:$D,,0)=0,"",_xlfn.XLOOKUP(D570,product!$A:$A,product!$D:$D,,0))</f>
        <v>23.16</v>
      </c>
      <c r="K570" s="7">
        <f t="shared" si="8"/>
        <v>46.32</v>
      </c>
      <c r="L570" s="10" t="str">
        <f>IF(_xlfn.XLOOKUP(D570,product!$A:$A,product!$F:$F,,0)=0,"",_xlfn.XLOOKUP(D570,product!$A:$A,product!$F:$F,,0))</f>
        <v>No</v>
      </c>
      <c r="M570" t="str">
        <f>IF(_xlfn.XLOOKUP(D570,product!$A:$A,product!G:G,,0)=0,"",_xlfn.XLOOKUP(D570,product!$A:$A,product!G:G,,0))</f>
        <v>Silver</v>
      </c>
      <c r="N570" t="str">
        <f>IF(_xlfn.XLOOKUP(D570,product!$A:$A,product!$B:$B,,0)=0,"",_xlfn.XLOOKUP(D570,product!$A:$A,product!$B:$B,,0))</f>
        <v>Power Journey</v>
      </c>
    </row>
    <row r="571" spans="1:14" x14ac:dyDescent="0.35">
      <c r="A571" t="s">
        <v>921</v>
      </c>
      <c r="B571" s="3">
        <v>45451</v>
      </c>
      <c r="C571" t="s">
        <v>2266</v>
      </c>
      <c r="D571" t="s">
        <v>5928</v>
      </c>
      <c r="E571">
        <v>2</v>
      </c>
      <c r="F571" t="str">
        <f>_xlfn.XLOOKUP(C571,customers!$A$1:$A$983,customers!$B$1:$B$983,,0)</f>
        <v>George Johnson</v>
      </c>
      <c r="G571" t="str">
        <f>_xlfn.XLOOKUP(C571,customers!$A:$A,customers!$C:$C,,0)</f>
        <v>george.johnson365@hotmail.com</v>
      </c>
      <c r="H571" t="str">
        <f>IF(_xlfn.XLOOKUP(C571,customers!$A:$A,customers!$G:$G,,0)=0,"",_xlfn.XLOOKUP(C571,customers!$A:$A,customers!$G:$G,,0))</f>
        <v>Egypt</v>
      </c>
      <c r="I571" t="str">
        <f>IF(_xlfn.XLOOKUP(D571,product!$A:$A,product!$E:$E,,0)=0,"",_xlfn.XLOOKUP(D571,product!$A:$A,product!$E:$E,,0))</f>
        <v>BUSINESS</v>
      </c>
      <c r="J571" s="5">
        <f>IF(_xlfn.XLOOKUP(D571,product!$A:$A,product!$D:$D,,0)=0,"",_xlfn.XLOOKUP(D571,product!$A:$A,product!$D:$D,,0))</f>
        <v>20.18</v>
      </c>
      <c r="K571" s="7">
        <f t="shared" si="8"/>
        <v>40.36</v>
      </c>
      <c r="L571" s="10" t="str">
        <f>IF(_xlfn.XLOOKUP(D571,product!$A:$A,product!$F:$F,,0)=0,"",_xlfn.XLOOKUP(D571,product!$A:$A,product!$F:$F,,0))</f>
        <v>No</v>
      </c>
      <c r="M571" t="str">
        <f>IF(_xlfn.XLOOKUP(D571,product!$A:$A,product!G:G,,0)=0,"",_xlfn.XLOOKUP(D571,product!$A:$A,product!G:G,,0))</f>
        <v>None</v>
      </c>
      <c r="N571" t="str">
        <f>IF(_xlfn.XLOOKUP(D571,product!$A:$A,product!$B:$B,,0)=0,"",_xlfn.XLOOKUP(D571,product!$A:$A,product!$B:$B,,0))</f>
        <v>Quantum Forest</v>
      </c>
    </row>
    <row r="572" spans="1:14" x14ac:dyDescent="0.35">
      <c r="A572" t="s">
        <v>938</v>
      </c>
      <c r="B572" s="3">
        <v>45077</v>
      </c>
      <c r="C572" t="s">
        <v>2859</v>
      </c>
      <c r="D572" t="s">
        <v>5929</v>
      </c>
      <c r="E572">
        <v>2</v>
      </c>
      <c r="F572" t="str">
        <f>_xlfn.XLOOKUP(C572,customers!$A$1:$A$983,customers!$B$1:$B$983,,0)</f>
        <v>Kevin Rodriguez</v>
      </c>
      <c r="G572" t="str">
        <f>_xlfn.XLOOKUP(C572,customers!$A:$A,customers!$C:$C,,0)</f>
        <v>kevin.rodriguez645@outlook.com</v>
      </c>
      <c r="H572" t="str">
        <f>IF(_xlfn.XLOOKUP(C572,customers!$A:$A,customers!$G:$G,,0)=0,"",_xlfn.XLOOKUP(C572,customers!$A:$A,customers!$G:$G,,0))</f>
        <v>Spain</v>
      </c>
      <c r="I572" t="str">
        <f>IF(_xlfn.XLOOKUP(D572,product!$A:$A,product!$E:$E,,0)=0,"",_xlfn.XLOOKUP(D572,product!$A:$A,product!$E:$E,,0))</f>
        <v>FICTION</v>
      </c>
      <c r="J572" s="5">
        <f>IF(_xlfn.XLOOKUP(D572,product!$A:$A,product!$D:$D,,0)=0,"",_xlfn.XLOOKUP(D572,product!$A:$A,product!$D:$D,,0))</f>
        <v>26.27</v>
      </c>
      <c r="K572" s="7">
        <f t="shared" si="8"/>
        <v>52.54</v>
      </c>
      <c r="L572" s="10" t="str">
        <f>IF(_xlfn.XLOOKUP(D572,product!$A:$A,product!$F:$F,,0)=0,"",_xlfn.XLOOKUP(D572,product!$A:$A,product!$F:$F,,0))</f>
        <v>Yes</v>
      </c>
      <c r="M572" t="str">
        <f>IF(_xlfn.XLOOKUP(D572,product!$A:$A,product!G:G,,0)=0,"",_xlfn.XLOOKUP(D572,product!$A:$A,product!G:G,,0))</f>
        <v>Silver</v>
      </c>
      <c r="N572" t="str">
        <f>IF(_xlfn.XLOOKUP(D572,product!$A:$A,product!$B:$B,,0)=0,"",_xlfn.XLOOKUP(D572,product!$A:$A,product!$B:$B,,0))</f>
        <v>Power Quantum</v>
      </c>
    </row>
    <row r="573" spans="1:14" x14ac:dyDescent="0.35">
      <c r="A573" t="s">
        <v>955</v>
      </c>
      <c r="B573" s="3">
        <v>45585</v>
      </c>
      <c r="C573" t="s">
        <v>2594</v>
      </c>
      <c r="D573" t="s">
        <v>5930</v>
      </c>
      <c r="E573">
        <v>2</v>
      </c>
      <c r="F573" t="str">
        <f>_xlfn.XLOOKUP(C573,customers!$A$1:$A$983,customers!$B$1:$B$983,,0)</f>
        <v>Anthony Rodriguez</v>
      </c>
      <c r="G573" t="str">
        <f>_xlfn.XLOOKUP(C573,customers!$A:$A,customers!$C:$C,,0)</f>
        <v>anthony.rodriguez517@gmail.com</v>
      </c>
      <c r="H573" t="str">
        <f>IF(_xlfn.XLOOKUP(C573,customers!$A:$A,customers!$G:$G,,0)=0,"",_xlfn.XLOOKUP(C573,customers!$A:$A,customers!$G:$G,,0))</f>
        <v>Sweden</v>
      </c>
      <c r="I573" t="str">
        <f>IF(_xlfn.XLOOKUP(D573,product!$A:$A,product!$E:$E,,0)=0,"",_xlfn.XLOOKUP(D573,product!$A:$A,product!$E:$E,,0))</f>
        <v>HISTORY</v>
      </c>
      <c r="J573" s="5">
        <f>IF(_xlfn.XLOOKUP(D573,product!$A:$A,product!$D:$D,,0)=0,"",_xlfn.XLOOKUP(D573,product!$A:$A,product!$D:$D,,0))</f>
        <v>32.799999999999997</v>
      </c>
      <c r="K573" s="7">
        <f t="shared" si="8"/>
        <v>65.599999999999994</v>
      </c>
      <c r="L573" s="10" t="str">
        <f>IF(_xlfn.XLOOKUP(D573,product!$A:$A,product!$F:$F,,0)=0,"",_xlfn.XLOOKUP(D573,product!$A:$A,product!$F:$F,,0))</f>
        <v>Yes</v>
      </c>
      <c r="M573" t="str">
        <f>IF(_xlfn.XLOOKUP(D573,product!$A:$A,product!G:G,,0)=0,"",_xlfn.XLOOKUP(D573,product!$A:$A,product!G:G,,0))</f>
        <v>None</v>
      </c>
      <c r="N573" t="str">
        <f>IF(_xlfn.XLOOKUP(D573,product!$A:$A,product!$B:$B,,0)=0,"",_xlfn.XLOOKUP(D573,product!$A:$A,product!$B:$B,,0))</f>
        <v>Power Mind</v>
      </c>
    </row>
    <row r="574" spans="1:14" x14ac:dyDescent="0.35">
      <c r="A574" t="s">
        <v>972</v>
      </c>
      <c r="B574" s="3">
        <v>45125</v>
      </c>
      <c r="C574" t="s">
        <v>1350</v>
      </c>
      <c r="D574" t="s">
        <v>5931</v>
      </c>
      <c r="E574">
        <v>2</v>
      </c>
      <c r="F574" t="str">
        <f>_xlfn.XLOOKUP(C574,customers!$A$1:$A$983,customers!$B$1:$B$983,,0)</f>
        <v>Mia Lewis</v>
      </c>
      <c r="G574" t="str">
        <f>_xlfn.XLOOKUP(C574,customers!$A:$A,customers!$C:$C,,0)</f>
        <v>mia.lewis77@yahoo.com</v>
      </c>
      <c r="H574" t="str">
        <f>IF(_xlfn.XLOOKUP(C574,customers!$A:$A,customers!$G:$G,,0)=0,"",_xlfn.XLOOKUP(C574,customers!$A:$A,customers!$G:$G,,0))</f>
        <v>Egypt</v>
      </c>
      <c r="I574" t="str">
        <f>IF(_xlfn.XLOOKUP(D574,product!$A:$A,product!$E:$E,,0)=0,"",_xlfn.XLOOKUP(D574,product!$A:$A,product!$E:$E,,0))</f>
        <v>SCIENCE</v>
      </c>
      <c r="J574" s="5">
        <f>IF(_xlfn.XLOOKUP(D574,product!$A:$A,product!$D:$D,,0)=0,"",_xlfn.XLOOKUP(D574,product!$A:$A,product!$D:$D,,0))</f>
        <v>14.16</v>
      </c>
      <c r="K574" s="7">
        <f t="shared" si="8"/>
        <v>28.32</v>
      </c>
      <c r="L574" s="10" t="str">
        <f>IF(_xlfn.XLOOKUP(D574,product!$A:$A,product!$F:$F,,0)=0,"",_xlfn.XLOOKUP(D574,product!$A:$A,product!$F:$F,,0))</f>
        <v>Yes</v>
      </c>
      <c r="M574" t="str">
        <f>IF(_xlfn.XLOOKUP(D574,product!$A:$A,product!G:G,,0)=0,"",_xlfn.XLOOKUP(D574,product!$A:$A,product!G:G,,0))</f>
        <v>None</v>
      </c>
      <c r="N574" t="str">
        <f>IF(_xlfn.XLOOKUP(D574,product!$A:$A,product!$B:$B,,0)=0,"",_xlfn.XLOOKUP(D574,product!$A:$A,product!$B:$B,,0))</f>
        <v>Forest Future</v>
      </c>
    </row>
    <row r="575" spans="1:14" x14ac:dyDescent="0.35">
      <c r="A575" t="s">
        <v>989</v>
      </c>
      <c r="B575" s="3">
        <v>45514</v>
      </c>
      <c r="C575" t="s">
        <v>2964</v>
      </c>
      <c r="D575" t="s">
        <v>5932</v>
      </c>
      <c r="E575">
        <v>2</v>
      </c>
      <c r="F575" t="str">
        <f>_xlfn.XLOOKUP(C575,customers!$A$1:$A$983,customers!$B$1:$B$983,,0)</f>
        <v>Brian White</v>
      </c>
      <c r="G575" t="str">
        <f>_xlfn.XLOOKUP(C575,customers!$A:$A,customers!$C:$C,,0)</f>
        <v>brian.white696@yahoo.com</v>
      </c>
      <c r="H575" t="str">
        <f>IF(_xlfn.XLOOKUP(C575,customers!$A:$A,customers!$G:$G,,0)=0,"",_xlfn.XLOOKUP(C575,customers!$A:$A,customers!$G:$G,,0))</f>
        <v>Japan</v>
      </c>
      <c r="I575" t="str">
        <f>IF(_xlfn.XLOOKUP(D575,product!$A:$A,product!$E:$E,,0)=0,"",_xlfn.XLOOKUP(D575,product!$A:$A,product!$E:$E,,0))</f>
        <v>TECH</v>
      </c>
      <c r="J575" s="5">
        <f>IF(_xlfn.XLOOKUP(D575,product!$A:$A,product!$D:$D,,0)=0,"",_xlfn.XLOOKUP(D575,product!$A:$A,product!$D:$D,,0))</f>
        <v>13.94</v>
      </c>
      <c r="K575" s="7">
        <f t="shared" si="8"/>
        <v>27.88</v>
      </c>
      <c r="L575" s="10" t="str">
        <f>IF(_xlfn.XLOOKUP(D575,product!$A:$A,product!$F:$F,,0)=0,"",_xlfn.XLOOKUP(D575,product!$A:$A,product!$F:$F,,0))</f>
        <v>No</v>
      </c>
      <c r="M575" t="str">
        <f>IF(_xlfn.XLOOKUP(D575,product!$A:$A,product!G:G,,0)=0,"",_xlfn.XLOOKUP(D575,product!$A:$A,product!G:G,,0))</f>
        <v>None</v>
      </c>
      <c r="N575" t="str">
        <f>IF(_xlfn.XLOOKUP(D575,product!$A:$A,product!$B:$B,,0)=0,"",_xlfn.XLOOKUP(D575,product!$A:$A,product!$B:$B,,0))</f>
        <v>Journey Science</v>
      </c>
    </row>
    <row r="576" spans="1:14" x14ac:dyDescent="0.35">
      <c r="A576" t="s">
        <v>1006</v>
      </c>
      <c r="B576" s="3">
        <v>44956</v>
      </c>
      <c r="C576" t="s">
        <v>2585</v>
      </c>
      <c r="D576" t="s">
        <v>5933</v>
      </c>
      <c r="E576">
        <v>2</v>
      </c>
      <c r="F576" t="str">
        <f>_xlfn.XLOOKUP(C576,customers!$A$1:$A$983,customers!$B$1:$B$983,,0)</f>
        <v>Kevin White</v>
      </c>
      <c r="G576" t="str">
        <f>_xlfn.XLOOKUP(C576,customers!$A:$A,customers!$C:$C,,0)</f>
        <v>kevin.white513@gmail.com</v>
      </c>
      <c r="H576" t="str">
        <f>IF(_xlfn.XLOOKUP(C576,customers!$A:$A,customers!$G:$G,,0)=0,"",_xlfn.XLOOKUP(C576,customers!$A:$A,customers!$G:$G,,0))</f>
        <v>Germany</v>
      </c>
      <c r="I576" t="str">
        <f>IF(_xlfn.XLOOKUP(D576,product!$A:$A,product!$E:$E,,0)=0,"",_xlfn.XLOOKUP(D576,product!$A:$A,product!$E:$E,,0))</f>
        <v>SCIENCE</v>
      </c>
      <c r="J576" s="5">
        <f>IF(_xlfn.XLOOKUP(D576,product!$A:$A,product!$D:$D,,0)=0,"",_xlfn.XLOOKUP(D576,product!$A:$A,product!$D:$D,,0))</f>
        <v>14.33</v>
      </c>
      <c r="K576" s="7">
        <f t="shared" si="8"/>
        <v>28.66</v>
      </c>
      <c r="L576" s="10" t="str">
        <f>IF(_xlfn.XLOOKUP(D576,product!$A:$A,product!$F:$F,,0)=0,"",_xlfn.XLOOKUP(D576,product!$A:$A,product!$F:$F,,0))</f>
        <v>Yes</v>
      </c>
      <c r="M576" t="str">
        <f>IF(_xlfn.XLOOKUP(D576,product!$A:$A,product!G:G,,0)=0,"",_xlfn.XLOOKUP(D576,product!$A:$A,product!G:G,,0))</f>
        <v>None</v>
      </c>
      <c r="N576" t="str">
        <f>IF(_xlfn.XLOOKUP(D576,product!$A:$A,product!$B:$B,,0)=0,"",_xlfn.XLOOKUP(D576,product!$A:$A,product!$B:$B,,0))</f>
        <v>Data Future</v>
      </c>
    </row>
    <row r="577" spans="1:14" x14ac:dyDescent="0.35">
      <c r="A577" t="s">
        <v>1023</v>
      </c>
      <c r="B577" s="3">
        <v>45397</v>
      </c>
      <c r="C577" t="s">
        <v>3415</v>
      </c>
      <c r="D577" t="s">
        <v>5934</v>
      </c>
      <c r="E577">
        <v>2</v>
      </c>
      <c r="F577" t="str">
        <f>_xlfn.XLOOKUP(C577,customers!$A$1:$A$983,customers!$B$1:$B$983,,0)</f>
        <v>Mia Smith</v>
      </c>
      <c r="G577" t="str">
        <f>_xlfn.XLOOKUP(C577,customers!$A:$A,customers!$C:$C,,0)</f>
        <v>mia.smith922@yahoo.com</v>
      </c>
      <c r="H577" t="str">
        <f>IF(_xlfn.XLOOKUP(C577,customers!$A:$A,customers!$G:$G,,0)=0,"",_xlfn.XLOOKUP(C577,customers!$A:$A,customers!$G:$G,,0))</f>
        <v>USA</v>
      </c>
      <c r="I577" t="str">
        <f>IF(_xlfn.XLOOKUP(D577,product!$A:$A,product!$E:$E,,0)=0,"",_xlfn.XLOOKUP(D577,product!$A:$A,product!$E:$E,,0))</f>
        <v>SCIENCE</v>
      </c>
      <c r="J577" s="5">
        <f>IF(_xlfn.XLOOKUP(D577,product!$A:$A,product!$D:$D,,0)=0,"",_xlfn.XLOOKUP(D577,product!$A:$A,product!$D:$D,,0))</f>
        <v>38.19</v>
      </c>
      <c r="K577" s="7">
        <f t="shared" si="8"/>
        <v>76.38</v>
      </c>
      <c r="L577" s="10" t="str">
        <f>IF(_xlfn.XLOOKUP(D577,product!$A:$A,product!$F:$F,,0)=0,"",_xlfn.XLOOKUP(D577,product!$A:$A,product!$F:$F,,0))</f>
        <v>Yes</v>
      </c>
      <c r="M577" t="str">
        <f>IF(_xlfn.XLOOKUP(D577,product!$A:$A,product!G:G,,0)=0,"",_xlfn.XLOOKUP(D577,product!$A:$A,product!G:G,,0))</f>
        <v>None</v>
      </c>
      <c r="N577" t="str">
        <f>IF(_xlfn.XLOOKUP(D577,product!$A:$A,product!$B:$B,,0)=0,"",_xlfn.XLOOKUP(D577,product!$A:$A,product!$B:$B,,0))</f>
        <v>Silent Future</v>
      </c>
    </row>
    <row r="578" spans="1:14" x14ac:dyDescent="0.35">
      <c r="A578" t="s">
        <v>1040</v>
      </c>
      <c r="B578" s="3">
        <v>45180</v>
      </c>
      <c r="C578" t="s">
        <v>2291</v>
      </c>
      <c r="D578" t="s">
        <v>5935</v>
      </c>
      <c r="E578">
        <v>2</v>
      </c>
      <c r="F578" t="str">
        <f>_xlfn.XLOOKUP(C578,customers!$A$1:$A$983,customers!$B$1:$B$983,,0)</f>
        <v>Chloe Young</v>
      </c>
      <c r="G578" t="str">
        <f>_xlfn.XLOOKUP(C578,customers!$A:$A,customers!$C:$C,,0)</f>
        <v>chloe.young376@hotmail.com</v>
      </c>
      <c r="H578" t="str">
        <f>IF(_xlfn.XLOOKUP(C578,customers!$A:$A,customers!$G:$G,,0)=0,"",_xlfn.XLOOKUP(C578,customers!$A:$A,customers!$G:$G,,0))</f>
        <v>Japan</v>
      </c>
      <c r="I578" t="str">
        <f>IF(_xlfn.XLOOKUP(D578,product!$A:$A,product!$E:$E,,0)=0,"",_xlfn.XLOOKUP(D578,product!$A:$A,product!$E:$E,,0))</f>
        <v>SCIENCE</v>
      </c>
      <c r="J578" s="5">
        <f>IF(_xlfn.XLOOKUP(D578,product!$A:$A,product!$D:$D,,0)=0,"",_xlfn.XLOOKUP(D578,product!$A:$A,product!$D:$D,,0))</f>
        <v>25.72</v>
      </c>
      <c r="K578" s="7">
        <f t="shared" si="8"/>
        <v>51.44</v>
      </c>
      <c r="L578" s="10" t="str">
        <f>IF(_xlfn.XLOOKUP(D578,product!$A:$A,product!$F:$F,,0)=0,"",_xlfn.XLOOKUP(D578,product!$A:$A,product!$F:$F,,0))</f>
        <v>No</v>
      </c>
      <c r="M578" t="str">
        <f>IF(_xlfn.XLOOKUP(D578,product!$A:$A,product!G:G,,0)=0,"",_xlfn.XLOOKUP(D578,product!$A:$A,product!G:G,,0))</f>
        <v>Silver</v>
      </c>
      <c r="N578" t="str">
        <f>IF(_xlfn.XLOOKUP(D578,product!$A:$A,product!$B:$B,,0)=0,"",_xlfn.XLOOKUP(D578,product!$A:$A,product!$B:$B,,0))</f>
        <v>Data Silent</v>
      </c>
    </row>
    <row r="579" spans="1:14" x14ac:dyDescent="0.35">
      <c r="A579" t="s">
        <v>1057</v>
      </c>
      <c r="B579" s="3">
        <v>45640</v>
      </c>
      <c r="C579" t="s">
        <v>1513</v>
      </c>
      <c r="D579" t="s">
        <v>5936</v>
      </c>
      <c r="E579">
        <v>2</v>
      </c>
      <c r="F579" t="str">
        <f>_xlfn.XLOOKUP(C579,customers!$A$1:$A$983,customers!$B$1:$B$983,,0)</f>
        <v>Anthony Hill</v>
      </c>
      <c r="G579" t="str">
        <f>_xlfn.XLOOKUP(C579,customers!$A:$A,customers!$C:$C,,0)</f>
        <v>anthony.hill126@gmail.com</v>
      </c>
      <c r="H579" t="str">
        <f>IF(_xlfn.XLOOKUP(C579,customers!$A:$A,customers!$G:$G,,0)=0,"",_xlfn.XLOOKUP(C579,customers!$A:$A,customers!$G:$G,,0))</f>
        <v>Germany</v>
      </c>
      <c r="I579" t="str">
        <f>IF(_xlfn.XLOOKUP(D579,product!$A:$A,product!$E:$E,,0)=0,"",_xlfn.XLOOKUP(D579,product!$A:$A,product!$E:$E,,0))</f>
        <v>TECH</v>
      </c>
      <c r="J579" s="5">
        <f>IF(_xlfn.XLOOKUP(D579,product!$A:$A,product!$D:$D,,0)=0,"",_xlfn.XLOOKUP(D579,product!$A:$A,product!$D:$D,,0))</f>
        <v>27.13</v>
      </c>
      <c r="K579" s="7">
        <f t="shared" ref="K579:K642" si="9">J579*E579</f>
        <v>54.26</v>
      </c>
      <c r="L579" s="10" t="str">
        <f>IF(_xlfn.XLOOKUP(D579,product!$A:$A,product!$F:$F,,0)=0,"",_xlfn.XLOOKUP(D579,product!$A:$A,product!$F:$F,,0))</f>
        <v>Yes</v>
      </c>
      <c r="M579" t="str">
        <f>IF(_xlfn.XLOOKUP(D579,product!$A:$A,product!G:G,,0)=0,"",_xlfn.XLOOKUP(D579,product!$A:$A,product!G:G,,0))</f>
        <v>None</v>
      </c>
      <c r="N579" t="str">
        <f>IF(_xlfn.XLOOKUP(D579,product!$A:$A,product!$B:$B,,0)=0,"",_xlfn.XLOOKUP(D579,product!$A:$A,product!$B:$B,,0))</f>
        <v>Silent Future</v>
      </c>
    </row>
    <row r="580" spans="1:14" x14ac:dyDescent="0.35">
      <c r="A580" t="s">
        <v>25</v>
      </c>
      <c r="B580" s="3">
        <v>45012</v>
      </c>
      <c r="C580" t="s">
        <v>2865</v>
      </c>
      <c r="D580" t="s">
        <v>5937</v>
      </c>
      <c r="E580">
        <v>3</v>
      </c>
      <c r="F580" t="str">
        <f>_xlfn.XLOOKUP(C580,customers!$A$1:$A$983,customers!$B$1:$B$983,,0)</f>
        <v>Emma Walker</v>
      </c>
      <c r="G580" t="str">
        <f>_xlfn.XLOOKUP(C580,customers!$A:$A,customers!$C:$C,,0)</f>
        <v>emma.walker648@outlook.com</v>
      </c>
      <c r="H580" t="str">
        <f>IF(_xlfn.XLOOKUP(C580,customers!$A:$A,customers!$G:$G,,0)=0,"",_xlfn.XLOOKUP(C580,customers!$A:$A,customers!$G:$G,,0))</f>
        <v>Germany</v>
      </c>
      <c r="I580" t="str">
        <f>IF(_xlfn.XLOOKUP(D580,product!$A:$A,product!$E:$E,,0)=0,"",_xlfn.XLOOKUP(D580,product!$A:$A,product!$E:$E,,0))</f>
        <v>HISTORY</v>
      </c>
      <c r="J580" s="5">
        <f>IF(_xlfn.XLOOKUP(D580,product!$A:$A,product!$D:$D,,0)=0,"",_xlfn.XLOOKUP(D580,product!$A:$A,product!$D:$D,,0))</f>
        <v>39.19</v>
      </c>
      <c r="K580" s="7">
        <f t="shared" si="9"/>
        <v>117.57</v>
      </c>
      <c r="L580" s="10" t="str">
        <f>IF(_xlfn.XLOOKUP(D580,product!$A:$A,product!$F:$F,,0)=0,"",_xlfn.XLOOKUP(D580,product!$A:$A,product!$F:$F,,0))</f>
        <v>No</v>
      </c>
      <c r="M580" t="str">
        <f>IF(_xlfn.XLOOKUP(D580,product!$A:$A,product!G:G,,0)=0,"",_xlfn.XLOOKUP(D580,product!$A:$A,product!G:G,,0))</f>
        <v>None</v>
      </c>
      <c r="N580" t="str">
        <f>IF(_xlfn.XLOOKUP(D580,product!$A:$A,product!$B:$B,,0)=0,"",_xlfn.XLOOKUP(D580,product!$A:$A,product!$B:$B,,0))</f>
        <v>Science Secrets</v>
      </c>
    </row>
    <row r="581" spans="1:14" x14ac:dyDescent="0.35">
      <c r="A581" t="s">
        <v>42</v>
      </c>
      <c r="B581" s="3">
        <v>45334</v>
      </c>
      <c r="C581" t="s">
        <v>2821</v>
      </c>
      <c r="D581" t="s">
        <v>5938</v>
      </c>
      <c r="E581">
        <v>1</v>
      </c>
      <c r="F581" t="str">
        <f>_xlfn.XLOOKUP(C581,customers!$A$1:$A$983,customers!$B$1:$B$983,,0)</f>
        <v>Amelia Adams</v>
      </c>
      <c r="G581" t="str">
        <f>_xlfn.XLOOKUP(C581,customers!$A:$A,customers!$C:$C,,0)</f>
        <v>amelia.adams626@outlook.com</v>
      </c>
      <c r="H581" t="str">
        <f>IF(_xlfn.XLOOKUP(C581,customers!$A:$A,customers!$G:$G,,0)=0,"",_xlfn.XLOOKUP(C581,customers!$A:$A,customers!$G:$G,,0))</f>
        <v>Egypt</v>
      </c>
      <c r="I581" t="str">
        <f>IF(_xlfn.XLOOKUP(D581,product!$A:$A,product!$E:$E,,0)=0,"",_xlfn.XLOOKUP(D581,product!$A:$A,product!$E:$E,,0))</f>
        <v>SCIENCE</v>
      </c>
      <c r="J581" s="5">
        <f>IF(_xlfn.XLOOKUP(D581,product!$A:$A,product!$D:$D,,0)=0,"",_xlfn.XLOOKUP(D581,product!$A:$A,product!$D:$D,,0))</f>
        <v>21.09</v>
      </c>
      <c r="K581" s="7">
        <f t="shared" si="9"/>
        <v>21.09</v>
      </c>
      <c r="L581" s="10" t="str">
        <f>IF(_xlfn.XLOOKUP(D581,product!$A:$A,product!$F:$F,,0)=0,"",_xlfn.XLOOKUP(D581,product!$A:$A,product!$F:$F,,0))</f>
        <v>Yes</v>
      </c>
      <c r="M581" t="str">
        <f>IF(_xlfn.XLOOKUP(D581,product!$A:$A,product!G:G,,0)=0,"",_xlfn.XLOOKUP(D581,product!$A:$A,product!G:G,,0))</f>
        <v>Gold</v>
      </c>
      <c r="N581" t="str">
        <f>IF(_xlfn.XLOOKUP(D581,product!$A:$A,product!$B:$B,,0)=0,"",_xlfn.XLOOKUP(D581,product!$A:$A,product!$B:$B,,0))</f>
        <v>Future Power</v>
      </c>
    </row>
    <row r="582" spans="1:14" x14ac:dyDescent="0.35">
      <c r="A582" t="s">
        <v>59</v>
      </c>
      <c r="B582" s="3">
        <v>45144</v>
      </c>
      <c r="C582" t="s">
        <v>2721</v>
      </c>
      <c r="D582" t="s">
        <v>5939</v>
      </c>
      <c r="E582">
        <v>4</v>
      </c>
      <c r="F582" t="str">
        <f>_xlfn.XLOOKUP(C582,customers!$A$1:$A$983,customers!$B$1:$B$983,,0)</f>
        <v>Laura Taylor</v>
      </c>
      <c r="G582" t="str">
        <f>_xlfn.XLOOKUP(C582,customers!$A:$A,customers!$C:$C,,0)</f>
        <v>laura.taylor578@hotmail.com</v>
      </c>
      <c r="H582" t="str">
        <f>IF(_xlfn.XLOOKUP(C582,customers!$A:$A,customers!$G:$G,,0)=0,"",_xlfn.XLOOKUP(C582,customers!$A:$A,customers!$G:$G,,0))</f>
        <v>Pakistan</v>
      </c>
      <c r="I582" t="str">
        <f>IF(_xlfn.XLOOKUP(D582,product!$A:$A,product!$E:$E,,0)=0,"",_xlfn.XLOOKUP(D582,product!$A:$A,product!$E:$E,,0))</f>
        <v>TECH</v>
      </c>
      <c r="J582" s="5">
        <f>IF(_xlfn.XLOOKUP(D582,product!$A:$A,product!$D:$D,,0)=0,"",_xlfn.XLOOKUP(D582,product!$A:$A,product!$D:$D,,0))</f>
        <v>22.83</v>
      </c>
      <c r="K582" s="7">
        <f t="shared" si="9"/>
        <v>91.32</v>
      </c>
      <c r="L582" s="10" t="str">
        <f>IF(_xlfn.XLOOKUP(D582,product!$A:$A,product!$F:$F,,0)=0,"",_xlfn.XLOOKUP(D582,product!$A:$A,product!$F:$F,,0))</f>
        <v>Yes</v>
      </c>
      <c r="M582" t="str">
        <f>IF(_xlfn.XLOOKUP(D582,product!$A:$A,product!G:G,,0)=0,"",_xlfn.XLOOKUP(D582,product!$A:$A,product!G:G,,0))</f>
        <v>Silver</v>
      </c>
      <c r="N582" t="str">
        <f>IF(_xlfn.XLOOKUP(D582,product!$A:$A,product!$B:$B,,0)=0,"",_xlfn.XLOOKUP(D582,product!$A:$A,product!$B:$B,,0))</f>
        <v>Data Quantum</v>
      </c>
    </row>
    <row r="583" spans="1:14" x14ac:dyDescent="0.35">
      <c r="A583" t="s">
        <v>146</v>
      </c>
      <c r="B583" s="3">
        <v>45414</v>
      </c>
      <c r="C583" t="s">
        <v>3157</v>
      </c>
      <c r="D583" t="s">
        <v>5940</v>
      </c>
      <c r="E583">
        <v>4</v>
      </c>
      <c r="F583" t="str">
        <f>_xlfn.XLOOKUP(C583,customers!$A$1:$A$983,customers!$B$1:$B$983,,0)</f>
        <v>Peter Lee</v>
      </c>
      <c r="G583" t="str">
        <f>_xlfn.XLOOKUP(C583,customers!$A:$A,customers!$C:$C,,0)</f>
        <v>peter.lee791@yahoo.com</v>
      </c>
      <c r="H583" t="str">
        <f>IF(_xlfn.XLOOKUP(C583,customers!$A:$A,customers!$G:$G,,0)=0,"",_xlfn.XLOOKUP(C583,customers!$A:$A,customers!$G:$G,,0))</f>
        <v>Peru</v>
      </c>
      <c r="I583" t="str">
        <f>IF(_xlfn.XLOOKUP(D583,product!$A:$A,product!$E:$E,,0)=0,"",_xlfn.XLOOKUP(D583,product!$A:$A,product!$E:$E,,0))</f>
        <v>FICTION</v>
      </c>
      <c r="J583" s="5">
        <f>IF(_xlfn.XLOOKUP(D583,product!$A:$A,product!$D:$D,,0)=0,"",_xlfn.XLOOKUP(D583,product!$A:$A,product!$D:$D,,0))</f>
        <v>14.06</v>
      </c>
      <c r="K583" s="7">
        <f t="shared" si="9"/>
        <v>56.24</v>
      </c>
      <c r="L583" s="10" t="str">
        <f>IF(_xlfn.XLOOKUP(D583,product!$A:$A,product!$F:$F,,0)=0,"",_xlfn.XLOOKUP(D583,product!$A:$A,product!$F:$F,,0))</f>
        <v>Yes</v>
      </c>
      <c r="M583" t="str">
        <f>IF(_xlfn.XLOOKUP(D583,product!$A:$A,product!G:G,,0)=0,"",_xlfn.XLOOKUP(D583,product!$A:$A,product!G:G,,0))</f>
        <v>None</v>
      </c>
      <c r="N583" t="str">
        <f>IF(_xlfn.XLOOKUP(D583,product!$A:$A,product!$B:$B,,0)=0,"",_xlfn.XLOOKUP(D583,product!$A:$A,product!$B:$B,,0))</f>
        <v>Power Data</v>
      </c>
    </row>
    <row r="584" spans="1:14" x14ac:dyDescent="0.35">
      <c r="A584" t="s">
        <v>163</v>
      </c>
      <c r="B584" s="3">
        <v>45260</v>
      </c>
      <c r="C584" t="s">
        <v>2962</v>
      </c>
      <c r="D584" t="s">
        <v>5941</v>
      </c>
      <c r="E584">
        <v>2</v>
      </c>
      <c r="F584" t="str">
        <f>_xlfn.XLOOKUP(C584,customers!$A$1:$A$983,customers!$B$1:$B$983,,0)</f>
        <v>Anna Martin</v>
      </c>
      <c r="G584" t="str">
        <f>_xlfn.XLOOKUP(C584,customers!$A:$A,customers!$C:$C,,0)</f>
        <v>anna.martin695@gmail.com</v>
      </c>
      <c r="H584" t="str">
        <f>IF(_xlfn.XLOOKUP(C584,customers!$A:$A,customers!$G:$G,,0)=0,"",_xlfn.XLOOKUP(C584,customers!$A:$A,customers!$G:$G,,0))</f>
        <v>Pakistan</v>
      </c>
      <c r="I584" t="str">
        <f>IF(_xlfn.XLOOKUP(D584,product!$A:$A,product!$E:$E,,0)=0,"",_xlfn.XLOOKUP(D584,product!$A:$A,product!$E:$E,,0))</f>
        <v>BUSINESS</v>
      </c>
      <c r="J584" s="5">
        <f>IF(_xlfn.XLOOKUP(D584,product!$A:$A,product!$D:$D,,0)=0,"",_xlfn.XLOOKUP(D584,product!$A:$A,product!$D:$D,,0))</f>
        <v>21.4</v>
      </c>
      <c r="K584" s="7">
        <f t="shared" si="9"/>
        <v>42.8</v>
      </c>
      <c r="L584" s="10" t="str">
        <f>IF(_xlfn.XLOOKUP(D584,product!$A:$A,product!$F:$F,,0)=0,"",_xlfn.XLOOKUP(D584,product!$A:$A,product!$F:$F,,0))</f>
        <v>Yes</v>
      </c>
      <c r="M584" t="str">
        <f>IF(_xlfn.XLOOKUP(D584,product!$A:$A,product!G:G,,0)=0,"",_xlfn.XLOOKUP(D584,product!$A:$A,product!G:G,,0))</f>
        <v>Silver</v>
      </c>
      <c r="N584" t="str">
        <f>IF(_xlfn.XLOOKUP(D584,product!$A:$A,product!$B:$B,,0)=0,"",_xlfn.XLOOKUP(D584,product!$A:$A,product!$B:$B,,0))</f>
        <v>Journey Science</v>
      </c>
    </row>
    <row r="585" spans="1:14" x14ac:dyDescent="0.35">
      <c r="A585" t="s">
        <v>180</v>
      </c>
      <c r="B585" s="3">
        <v>45491</v>
      </c>
      <c r="C585" t="s">
        <v>1690</v>
      </c>
      <c r="D585" t="s">
        <v>5942</v>
      </c>
      <c r="E585">
        <v>2</v>
      </c>
      <c r="F585" t="str">
        <f>_xlfn.XLOOKUP(C585,customers!$A$1:$A$983,customers!$B$1:$B$983,,0)</f>
        <v>Mia Lewis</v>
      </c>
      <c r="G585" t="str">
        <f>_xlfn.XLOOKUP(C585,customers!$A:$A,customers!$C:$C,,0)</f>
        <v>mia.lewis169@outlook.com</v>
      </c>
      <c r="H585" t="str">
        <f>IF(_xlfn.XLOOKUP(C585,customers!$A:$A,customers!$G:$G,,0)=0,"",_xlfn.XLOOKUP(C585,customers!$A:$A,customers!$G:$G,,0))</f>
        <v>Japan</v>
      </c>
      <c r="I585" t="str">
        <f>IF(_xlfn.XLOOKUP(D585,product!$A:$A,product!$E:$E,,0)=0,"",_xlfn.XLOOKUP(D585,product!$A:$A,product!$E:$E,,0))</f>
        <v>TECH</v>
      </c>
      <c r="J585" s="5">
        <f>IF(_xlfn.XLOOKUP(D585,product!$A:$A,product!$D:$D,,0)=0,"",_xlfn.XLOOKUP(D585,product!$A:$A,product!$D:$D,,0))</f>
        <v>11.47</v>
      </c>
      <c r="K585" s="7">
        <f t="shared" si="9"/>
        <v>22.94</v>
      </c>
      <c r="L585" s="10" t="str">
        <f>IF(_xlfn.XLOOKUP(D585,product!$A:$A,product!$F:$F,,0)=0,"",_xlfn.XLOOKUP(D585,product!$A:$A,product!$F:$F,,0))</f>
        <v>No</v>
      </c>
      <c r="M585" t="str">
        <f>IF(_xlfn.XLOOKUP(D585,product!$A:$A,product!G:G,,0)=0,"",_xlfn.XLOOKUP(D585,product!$A:$A,product!G:G,,0))</f>
        <v>None</v>
      </c>
      <c r="N585" t="str">
        <f>IF(_xlfn.XLOOKUP(D585,product!$A:$A,product!$B:$B,,0)=0,"",_xlfn.XLOOKUP(D585,product!$A:$A,product!$B:$B,,0))</f>
        <v>Silent Future</v>
      </c>
    </row>
    <row r="586" spans="1:14" x14ac:dyDescent="0.35">
      <c r="A586" t="s">
        <v>197</v>
      </c>
      <c r="B586" s="3">
        <v>45090</v>
      </c>
      <c r="C586" t="s">
        <v>3051</v>
      </c>
      <c r="D586" t="s">
        <v>5943</v>
      </c>
      <c r="E586">
        <v>2</v>
      </c>
      <c r="F586" t="str">
        <f>_xlfn.XLOOKUP(C586,customers!$A$1:$A$983,customers!$B$1:$B$983,,0)</f>
        <v>Grace Lewis</v>
      </c>
      <c r="G586" t="str">
        <f>_xlfn.XLOOKUP(C586,customers!$A:$A,customers!$C:$C,,0)</f>
        <v>grace.lewis738@hotmail.com</v>
      </c>
      <c r="H586" t="str">
        <f>IF(_xlfn.XLOOKUP(C586,customers!$A:$A,customers!$G:$G,,0)=0,"",_xlfn.XLOOKUP(C586,customers!$A:$A,customers!$G:$G,,0))</f>
        <v>Germany</v>
      </c>
      <c r="I586" t="str">
        <f>IF(_xlfn.XLOOKUP(D586,product!$A:$A,product!$E:$E,,0)=0,"",_xlfn.XLOOKUP(D586,product!$A:$A,product!$E:$E,,0))</f>
        <v>SCIENCE</v>
      </c>
      <c r="J586" s="5">
        <f>IF(_xlfn.XLOOKUP(D586,product!$A:$A,product!$D:$D,,0)=0,"",_xlfn.XLOOKUP(D586,product!$A:$A,product!$D:$D,,0))</f>
        <v>17.89</v>
      </c>
      <c r="K586" s="7">
        <f t="shared" si="9"/>
        <v>35.78</v>
      </c>
      <c r="L586" s="10" t="str">
        <f>IF(_xlfn.XLOOKUP(D586,product!$A:$A,product!$F:$F,,0)=0,"",_xlfn.XLOOKUP(D586,product!$A:$A,product!$F:$F,,0))</f>
        <v>Yes</v>
      </c>
      <c r="M586" t="str">
        <f>IF(_xlfn.XLOOKUP(D586,product!$A:$A,product!G:G,,0)=0,"",_xlfn.XLOOKUP(D586,product!$A:$A,product!G:G,,0))</f>
        <v>None</v>
      </c>
      <c r="N586" t="str">
        <f>IF(_xlfn.XLOOKUP(D586,product!$A:$A,product!$B:$B,,0)=0,"",_xlfn.XLOOKUP(D586,product!$A:$A,product!$B:$B,,0))</f>
        <v>Silent Mind</v>
      </c>
    </row>
    <row r="587" spans="1:14" x14ac:dyDescent="0.35">
      <c r="A587" t="s">
        <v>214</v>
      </c>
      <c r="B587" s="3">
        <v>45541</v>
      </c>
      <c r="C587" t="s">
        <v>2033</v>
      </c>
      <c r="D587" t="s">
        <v>5944</v>
      </c>
      <c r="E587">
        <v>2</v>
      </c>
      <c r="F587" t="str">
        <f>_xlfn.XLOOKUP(C587,customers!$A$1:$A$983,customers!$B$1:$B$983,,0)</f>
        <v>William Allen</v>
      </c>
      <c r="G587" t="str">
        <f>_xlfn.XLOOKUP(C587,customers!$A:$A,customers!$C:$C,,0)</f>
        <v>william.allen272@hotmail.com</v>
      </c>
      <c r="H587" t="str">
        <f>IF(_xlfn.XLOOKUP(C587,customers!$A:$A,customers!$G:$G,,0)=0,"",_xlfn.XLOOKUP(C587,customers!$A:$A,customers!$G:$G,,0))</f>
        <v>UAE</v>
      </c>
      <c r="I587" t="str">
        <f>IF(_xlfn.XLOOKUP(D587,product!$A:$A,product!$E:$E,,0)=0,"",_xlfn.XLOOKUP(D587,product!$A:$A,product!$E:$E,,0))</f>
        <v>SCIENCE</v>
      </c>
      <c r="J587" s="5">
        <f>IF(_xlfn.XLOOKUP(D587,product!$A:$A,product!$D:$D,,0)=0,"",_xlfn.XLOOKUP(D587,product!$A:$A,product!$D:$D,,0))</f>
        <v>28.61</v>
      </c>
      <c r="K587" s="7">
        <f t="shared" si="9"/>
        <v>57.22</v>
      </c>
      <c r="L587" s="10" t="str">
        <f>IF(_xlfn.XLOOKUP(D587,product!$A:$A,product!$F:$F,,0)=0,"",_xlfn.XLOOKUP(D587,product!$A:$A,product!$F:$F,,0))</f>
        <v>Yes</v>
      </c>
      <c r="M587" t="str">
        <f>IF(_xlfn.XLOOKUP(D587,product!$A:$A,product!G:G,,0)=0,"",_xlfn.XLOOKUP(D587,product!$A:$A,product!G:G,,0))</f>
        <v>None</v>
      </c>
      <c r="N587" t="str">
        <f>IF(_xlfn.XLOOKUP(D587,product!$A:$A,product!$B:$B,,0)=0,"",_xlfn.XLOOKUP(D587,product!$A:$A,product!$B:$B,,0))</f>
        <v>Silent Quantum</v>
      </c>
    </row>
    <row r="588" spans="1:14" x14ac:dyDescent="0.35">
      <c r="A588" t="s">
        <v>231</v>
      </c>
      <c r="B588" s="3">
        <v>45026</v>
      </c>
      <c r="C588" t="s">
        <v>3524</v>
      </c>
      <c r="D588" t="s">
        <v>5945</v>
      </c>
      <c r="E588">
        <v>2</v>
      </c>
      <c r="F588" t="str">
        <f>_xlfn.XLOOKUP(C588,customers!$A$1:$A$983,customers!$B$1:$B$983,,0)</f>
        <v>Ella Thompson</v>
      </c>
      <c r="G588" t="str">
        <f>_xlfn.XLOOKUP(C588,customers!$A:$A,customers!$C:$C,,0)</f>
        <v>ella.thompson977@hotmail.com</v>
      </c>
      <c r="H588" t="str">
        <f>IF(_xlfn.XLOOKUP(C588,customers!$A:$A,customers!$G:$G,,0)=0,"",_xlfn.XLOOKUP(C588,customers!$A:$A,customers!$G:$G,,0))</f>
        <v>Saudi Arabia</v>
      </c>
      <c r="I588" t="str">
        <f>IF(_xlfn.XLOOKUP(D588,product!$A:$A,product!$E:$E,,0)=0,"",_xlfn.XLOOKUP(D588,product!$A:$A,product!$E:$E,,0))</f>
        <v>TECH</v>
      </c>
      <c r="J588" s="5">
        <f>IF(_xlfn.XLOOKUP(D588,product!$A:$A,product!$D:$D,,0)=0,"",_xlfn.XLOOKUP(D588,product!$A:$A,product!$D:$D,,0))</f>
        <v>23.17</v>
      </c>
      <c r="K588" s="7">
        <f t="shared" si="9"/>
        <v>46.34</v>
      </c>
      <c r="L588" s="10" t="str">
        <f>IF(_xlfn.XLOOKUP(D588,product!$A:$A,product!$F:$F,,0)=0,"",_xlfn.XLOOKUP(D588,product!$A:$A,product!$F:$F,,0))</f>
        <v>Yes</v>
      </c>
      <c r="M588" t="str">
        <f>IF(_xlfn.XLOOKUP(D588,product!$A:$A,product!G:G,,0)=0,"",_xlfn.XLOOKUP(D588,product!$A:$A,product!G:G,,0))</f>
        <v>Silver</v>
      </c>
      <c r="N588" t="str">
        <f>IF(_xlfn.XLOOKUP(D588,product!$A:$A,product!$B:$B,,0)=0,"",_xlfn.XLOOKUP(D588,product!$A:$A,product!$B:$B,,0))</f>
        <v>Secrets Quantum</v>
      </c>
    </row>
    <row r="589" spans="1:14" x14ac:dyDescent="0.35">
      <c r="A589" t="s">
        <v>248</v>
      </c>
      <c r="B589" s="3">
        <v>45298</v>
      </c>
      <c r="C589" t="s">
        <v>2863</v>
      </c>
      <c r="D589" t="s">
        <v>5946</v>
      </c>
      <c r="E589">
        <v>2</v>
      </c>
      <c r="F589" t="str">
        <f>_xlfn.XLOOKUP(C589,customers!$A$1:$A$983,customers!$B$1:$B$983,,0)</f>
        <v>Mia Lee</v>
      </c>
      <c r="G589" t="str">
        <f>_xlfn.XLOOKUP(C589,customers!$A:$A,customers!$C:$C,,0)</f>
        <v>mia.lee647@yahoo.com</v>
      </c>
      <c r="H589" t="str">
        <f>IF(_xlfn.XLOOKUP(C589,customers!$A:$A,customers!$G:$G,,0)=0,"",_xlfn.XLOOKUP(C589,customers!$A:$A,customers!$G:$G,,0))</f>
        <v>Spain</v>
      </c>
      <c r="I589" t="str">
        <f>IF(_xlfn.XLOOKUP(D589,product!$A:$A,product!$E:$E,,0)=0,"",_xlfn.XLOOKUP(D589,product!$A:$A,product!$E:$E,,0))</f>
        <v>SCIENCE</v>
      </c>
      <c r="J589" s="5">
        <f>IF(_xlfn.XLOOKUP(D589,product!$A:$A,product!$D:$D,,0)=0,"",_xlfn.XLOOKUP(D589,product!$A:$A,product!$D:$D,,0))</f>
        <v>17.46</v>
      </c>
      <c r="K589" s="7">
        <f t="shared" si="9"/>
        <v>34.92</v>
      </c>
      <c r="L589" s="10" t="str">
        <f>IF(_xlfn.XLOOKUP(D589,product!$A:$A,product!$F:$F,,0)=0,"",_xlfn.XLOOKUP(D589,product!$A:$A,product!$F:$F,,0))</f>
        <v>Yes</v>
      </c>
      <c r="M589" t="str">
        <f>IF(_xlfn.XLOOKUP(D589,product!$A:$A,product!G:G,,0)=0,"",_xlfn.XLOOKUP(D589,product!$A:$A,product!G:G,,0))</f>
        <v>None</v>
      </c>
      <c r="N589" t="str">
        <f>IF(_xlfn.XLOOKUP(D589,product!$A:$A,product!$B:$B,,0)=0,"",_xlfn.XLOOKUP(D589,product!$A:$A,product!$B:$B,,0))</f>
        <v>Silent Mind</v>
      </c>
    </row>
    <row r="590" spans="1:14" x14ac:dyDescent="0.35">
      <c r="A590" t="s">
        <v>265</v>
      </c>
      <c r="B590" s="3">
        <v>45226</v>
      </c>
      <c r="C590" t="s">
        <v>1208</v>
      </c>
      <c r="D590" t="s">
        <v>5947</v>
      </c>
      <c r="E590">
        <v>2</v>
      </c>
      <c r="F590" t="str">
        <f>_xlfn.XLOOKUP(C590,customers!$A$1:$A$983,customers!$B$1:$B$983,,0)</f>
        <v>Mia White</v>
      </c>
      <c r="G590" t="str">
        <f>_xlfn.XLOOKUP(C590,customers!$A:$A,customers!$C:$C,,0)</f>
        <v>mia.white41@yahoo.com</v>
      </c>
      <c r="H590" t="str">
        <f>IF(_xlfn.XLOOKUP(C590,customers!$A:$A,customers!$G:$G,,0)=0,"",_xlfn.XLOOKUP(C590,customers!$A:$A,customers!$G:$G,,0))</f>
        <v>Egypt</v>
      </c>
      <c r="I590" t="str">
        <f>IF(_xlfn.XLOOKUP(D590,product!$A:$A,product!$E:$E,,0)=0,"",_xlfn.XLOOKUP(D590,product!$A:$A,product!$E:$E,,0))</f>
        <v>FICTION</v>
      </c>
      <c r="J590" s="5">
        <f>IF(_xlfn.XLOOKUP(D590,product!$A:$A,product!$D:$D,,0)=0,"",_xlfn.XLOOKUP(D590,product!$A:$A,product!$D:$D,,0))</f>
        <v>28.7</v>
      </c>
      <c r="K590" s="7">
        <f t="shared" si="9"/>
        <v>57.4</v>
      </c>
      <c r="L590" s="10" t="str">
        <f>IF(_xlfn.XLOOKUP(D590,product!$A:$A,product!$F:$F,,0)=0,"",_xlfn.XLOOKUP(D590,product!$A:$A,product!$F:$F,,0))</f>
        <v>No</v>
      </c>
      <c r="M590" t="str">
        <f>IF(_xlfn.XLOOKUP(D590,product!$A:$A,product!G:G,,0)=0,"",_xlfn.XLOOKUP(D590,product!$A:$A,product!G:G,,0))</f>
        <v>None</v>
      </c>
      <c r="N590" t="str">
        <f>IF(_xlfn.XLOOKUP(D590,product!$A:$A,product!$B:$B,,0)=0,"",_xlfn.XLOOKUP(D590,product!$A:$A,product!$B:$B,,0))</f>
        <v>Science Silent</v>
      </c>
    </row>
    <row r="591" spans="1:14" x14ac:dyDescent="0.35">
      <c r="A591" t="s">
        <v>282</v>
      </c>
      <c r="B591" s="3">
        <v>45602</v>
      </c>
      <c r="C591" t="s">
        <v>3384</v>
      </c>
      <c r="D591" t="s">
        <v>5948</v>
      </c>
      <c r="E591">
        <v>2</v>
      </c>
      <c r="F591" t="str">
        <f>_xlfn.XLOOKUP(C591,customers!$A$1:$A$983,customers!$B$1:$B$983,,0)</f>
        <v>Ava Robinson</v>
      </c>
      <c r="G591" t="str">
        <f>_xlfn.XLOOKUP(C591,customers!$A:$A,customers!$C:$C,,0)</f>
        <v>ava.robinson906@yahoo.com</v>
      </c>
      <c r="H591" t="str">
        <f>IF(_xlfn.XLOOKUP(C591,customers!$A:$A,customers!$G:$G,,0)=0,"",_xlfn.XLOOKUP(C591,customers!$A:$A,customers!$G:$G,,0))</f>
        <v>USA</v>
      </c>
      <c r="I591" t="str">
        <f>IF(_xlfn.XLOOKUP(D591,product!$A:$A,product!$E:$E,,0)=0,"",_xlfn.XLOOKUP(D591,product!$A:$A,product!$E:$E,,0))</f>
        <v>FICTION</v>
      </c>
      <c r="J591" s="5">
        <f>IF(_xlfn.XLOOKUP(D591,product!$A:$A,product!$D:$D,,0)=0,"",_xlfn.XLOOKUP(D591,product!$A:$A,product!$D:$D,,0))</f>
        <v>12.96</v>
      </c>
      <c r="K591" s="7">
        <f t="shared" si="9"/>
        <v>25.92</v>
      </c>
      <c r="L591" s="10" t="str">
        <f>IF(_xlfn.XLOOKUP(D591,product!$A:$A,product!$F:$F,,0)=0,"",_xlfn.XLOOKUP(D591,product!$A:$A,product!$F:$F,,0))</f>
        <v>No</v>
      </c>
      <c r="M591" t="str">
        <f>IF(_xlfn.XLOOKUP(D591,product!$A:$A,product!G:G,,0)=0,"",_xlfn.XLOOKUP(D591,product!$A:$A,product!G:G,,0))</f>
        <v>None</v>
      </c>
      <c r="N591" t="str">
        <f>IF(_xlfn.XLOOKUP(D591,product!$A:$A,product!$B:$B,,0)=0,"",_xlfn.XLOOKUP(D591,product!$A:$A,product!$B:$B,,0))</f>
        <v>Journey Mind</v>
      </c>
    </row>
    <row r="592" spans="1:14" x14ac:dyDescent="0.35">
      <c r="A592" t="s">
        <v>299</v>
      </c>
      <c r="B592" s="3">
        <v>45288</v>
      </c>
      <c r="C592" t="s">
        <v>3161</v>
      </c>
      <c r="D592" t="s">
        <v>5949</v>
      </c>
      <c r="E592">
        <v>2</v>
      </c>
      <c r="F592" t="str">
        <f>_xlfn.XLOOKUP(C592,customers!$A$1:$A$983,customers!$B$1:$B$983,,0)</f>
        <v>George Brown</v>
      </c>
      <c r="G592" t="str">
        <f>_xlfn.XLOOKUP(C592,customers!$A:$A,customers!$C:$C,,0)</f>
        <v>george.brown793@yahoo.com</v>
      </c>
      <c r="H592" t="str">
        <f>IF(_xlfn.XLOOKUP(C592,customers!$A:$A,customers!$G:$G,,0)=0,"",_xlfn.XLOOKUP(C592,customers!$A:$A,customers!$G:$G,,0))</f>
        <v>USA</v>
      </c>
      <c r="I592" t="str">
        <f>IF(_xlfn.XLOOKUP(D592,product!$A:$A,product!$E:$E,,0)=0,"",_xlfn.XLOOKUP(D592,product!$A:$A,product!$E:$E,,0))</f>
        <v>BUSINESS</v>
      </c>
      <c r="J592" s="5">
        <f>IF(_xlfn.XLOOKUP(D592,product!$A:$A,product!$D:$D,,0)=0,"",_xlfn.XLOOKUP(D592,product!$A:$A,product!$D:$D,,0))</f>
        <v>16.010000000000002</v>
      </c>
      <c r="K592" s="7">
        <f t="shared" si="9"/>
        <v>32.020000000000003</v>
      </c>
      <c r="L592" s="10" t="str">
        <f>IF(_xlfn.XLOOKUP(D592,product!$A:$A,product!$F:$F,,0)=0,"",_xlfn.XLOOKUP(D592,product!$A:$A,product!$F:$F,,0))</f>
        <v>Yes</v>
      </c>
      <c r="M592" t="str">
        <f>IF(_xlfn.XLOOKUP(D592,product!$A:$A,product!G:G,,0)=0,"",_xlfn.XLOOKUP(D592,product!$A:$A,product!G:G,,0))</f>
        <v>Silver</v>
      </c>
      <c r="N592" t="str">
        <f>IF(_xlfn.XLOOKUP(D592,product!$A:$A,product!$B:$B,,0)=0,"",_xlfn.XLOOKUP(D592,product!$A:$A,product!$B:$B,,0))</f>
        <v>Quantum Journey</v>
      </c>
    </row>
    <row r="593" spans="1:14" x14ac:dyDescent="0.35">
      <c r="A593" t="s">
        <v>316</v>
      </c>
      <c r="B593" s="3">
        <v>45366</v>
      </c>
      <c r="C593" t="s">
        <v>2976</v>
      </c>
      <c r="D593" t="s">
        <v>5950</v>
      </c>
      <c r="E593">
        <v>2</v>
      </c>
      <c r="F593" t="str">
        <f>_xlfn.XLOOKUP(C593,customers!$A$1:$A$983,customers!$B$1:$B$983,,0)</f>
        <v>Brian Hill</v>
      </c>
      <c r="G593" t="str">
        <f>_xlfn.XLOOKUP(C593,customers!$A:$A,customers!$C:$C,,0)</f>
        <v>brian.hill702@hotmail.com</v>
      </c>
      <c r="H593" t="str">
        <f>IF(_xlfn.XLOOKUP(C593,customers!$A:$A,customers!$G:$G,,0)=0,"",_xlfn.XLOOKUP(C593,customers!$A:$A,customers!$G:$G,,0))</f>
        <v>Germany</v>
      </c>
      <c r="I593" t="str">
        <f>IF(_xlfn.XLOOKUP(D593,product!$A:$A,product!$E:$E,,0)=0,"",_xlfn.XLOOKUP(D593,product!$A:$A,product!$E:$E,,0))</f>
        <v>HISTORY</v>
      </c>
      <c r="J593" s="5">
        <f>IF(_xlfn.XLOOKUP(D593,product!$A:$A,product!$D:$D,,0)=0,"",_xlfn.XLOOKUP(D593,product!$A:$A,product!$D:$D,,0))</f>
        <v>14.25</v>
      </c>
      <c r="K593" s="7">
        <f t="shared" si="9"/>
        <v>28.5</v>
      </c>
      <c r="L593" s="10" t="str">
        <f>IF(_xlfn.XLOOKUP(D593,product!$A:$A,product!$F:$F,,0)=0,"",_xlfn.XLOOKUP(D593,product!$A:$A,product!$F:$F,,0))</f>
        <v>No</v>
      </c>
      <c r="M593" t="str">
        <f>IF(_xlfn.XLOOKUP(D593,product!$A:$A,product!G:G,,0)=0,"",_xlfn.XLOOKUP(D593,product!$A:$A,product!G:G,,0))</f>
        <v>None</v>
      </c>
      <c r="N593" t="str">
        <f>IF(_xlfn.XLOOKUP(D593,product!$A:$A,product!$B:$B,,0)=0,"",_xlfn.XLOOKUP(D593,product!$A:$A,product!$B:$B,,0))</f>
        <v>Forest Secrets</v>
      </c>
    </row>
    <row r="594" spans="1:14" x14ac:dyDescent="0.35">
      <c r="A594" t="s">
        <v>333</v>
      </c>
      <c r="B594" s="3">
        <v>44983</v>
      </c>
      <c r="C594" t="s">
        <v>2762</v>
      </c>
      <c r="D594" t="s">
        <v>5951</v>
      </c>
      <c r="E594">
        <v>2</v>
      </c>
      <c r="F594" t="str">
        <f>_xlfn.XLOOKUP(C594,customers!$A$1:$A$983,customers!$B$1:$B$983,,0)</f>
        <v>Ryan Baker</v>
      </c>
      <c r="G594" t="str">
        <f>_xlfn.XLOOKUP(C594,customers!$A:$A,customers!$C:$C,,0)</f>
        <v>ryan.baker598@outlook.com</v>
      </c>
      <c r="H594" t="str">
        <f>IF(_xlfn.XLOOKUP(C594,customers!$A:$A,customers!$G:$G,,0)=0,"",_xlfn.XLOOKUP(C594,customers!$A:$A,customers!$G:$G,,0))</f>
        <v>Sweden</v>
      </c>
      <c r="I594" t="str">
        <f>IF(_xlfn.XLOOKUP(D594,product!$A:$A,product!$E:$E,,0)=0,"",_xlfn.XLOOKUP(D594,product!$A:$A,product!$E:$E,,0))</f>
        <v>BUSINESS</v>
      </c>
      <c r="J594" s="5">
        <f>IF(_xlfn.XLOOKUP(D594,product!$A:$A,product!$D:$D,,0)=0,"",_xlfn.XLOOKUP(D594,product!$A:$A,product!$D:$D,,0))</f>
        <v>22.97</v>
      </c>
      <c r="K594" s="7">
        <f t="shared" si="9"/>
        <v>45.94</v>
      </c>
      <c r="L594" s="10" t="str">
        <f>IF(_xlfn.XLOOKUP(D594,product!$A:$A,product!$F:$F,,0)=0,"",_xlfn.XLOOKUP(D594,product!$A:$A,product!$F:$F,,0))</f>
        <v>Yes</v>
      </c>
      <c r="M594" t="str">
        <f>IF(_xlfn.XLOOKUP(D594,product!$A:$A,product!G:G,,0)=0,"",_xlfn.XLOOKUP(D594,product!$A:$A,product!G:G,,0))</f>
        <v>None</v>
      </c>
      <c r="N594" t="str">
        <f>IF(_xlfn.XLOOKUP(D594,product!$A:$A,product!$B:$B,,0)=0,"",_xlfn.XLOOKUP(D594,product!$A:$A,product!$B:$B,,0))</f>
        <v>Silent Future</v>
      </c>
    </row>
    <row r="595" spans="1:14" x14ac:dyDescent="0.35">
      <c r="A595" t="s">
        <v>350</v>
      </c>
      <c r="B595" s="3">
        <v>45460</v>
      </c>
      <c r="C595" t="s">
        <v>3192</v>
      </c>
      <c r="D595" t="s">
        <v>5952</v>
      </c>
      <c r="E595">
        <v>2</v>
      </c>
      <c r="F595" t="str">
        <f>_xlfn.XLOOKUP(C595,customers!$A$1:$A$983,customers!$B$1:$B$983,,0)</f>
        <v>Thomas Taylor</v>
      </c>
      <c r="G595" t="str">
        <f>_xlfn.XLOOKUP(C595,customers!$A:$A,customers!$C:$C,,0)</f>
        <v>thomas.taylor809@hotmail.com</v>
      </c>
      <c r="H595" t="str">
        <f>IF(_xlfn.XLOOKUP(C595,customers!$A:$A,customers!$G:$G,,0)=0,"",_xlfn.XLOOKUP(C595,customers!$A:$A,customers!$G:$G,,0))</f>
        <v>Panama</v>
      </c>
      <c r="I595" t="str">
        <f>IF(_xlfn.XLOOKUP(D595,product!$A:$A,product!$E:$E,,0)=0,"",_xlfn.XLOOKUP(D595,product!$A:$A,product!$E:$E,,0))</f>
        <v>HISTORY</v>
      </c>
      <c r="J595" s="5">
        <f>IF(_xlfn.XLOOKUP(D595,product!$A:$A,product!$D:$D,,0)=0,"",_xlfn.XLOOKUP(D595,product!$A:$A,product!$D:$D,,0))</f>
        <v>37.07</v>
      </c>
      <c r="K595" s="7">
        <f t="shared" si="9"/>
        <v>74.14</v>
      </c>
      <c r="L595" s="10" t="str">
        <f>IF(_xlfn.XLOOKUP(D595,product!$A:$A,product!$F:$F,,0)=0,"",_xlfn.XLOOKUP(D595,product!$A:$A,product!$F:$F,,0))</f>
        <v>No</v>
      </c>
      <c r="M595" t="str">
        <f>IF(_xlfn.XLOOKUP(D595,product!$A:$A,product!G:G,,0)=0,"",_xlfn.XLOOKUP(D595,product!$A:$A,product!G:G,,0))</f>
        <v>Platinum</v>
      </c>
      <c r="N595" t="str">
        <f>IF(_xlfn.XLOOKUP(D595,product!$A:$A,product!$B:$B,,0)=0,"",_xlfn.XLOOKUP(D595,product!$A:$A,product!$B:$B,,0))</f>
        <v>Mind Power</v>
      </c>
    </row>
    <row r="596" spans="1:14" x14ac:dyDescent="0.35">
      <c r="A596" t="s">
        <v>367</v>
      </c>
      <c r="B596" s="3">
        <v>45056</v>
      </c>
      <c r="C596" t="s">
        <v>2777</v>
      </c>
      <c r="D596" t="s">
        <v>5953</v>
      </c>
      <c r="E596">
        <v>2</v>
      </c>
      <c r="F596" t="str">
        <f>_xlfn.XLOOKUP(C596,customers!$A$1:$A$983,customers!$B$1:$B$983,,0)</f>
        <v>Grace Thompson</v>
      </c>
      <c r="G596" t="str">
        <f>_xlfn.XLOOKUP(C596,customers!$A:$A,customers!$C:$C,,0)</f>
        <v>grace.thompson605@outlook.com</v>
      </c>
      <c r="H596" t="str">
        <f>IF(_xlfn.XLOOKUP(C596,customers!$A:$A,customers!$G:$G,,0)=0,"",_xlfn.XLOOKUP(C596,customers!$A:$A,customers!$G:$G,,0))</f>
        <v>Pakistan</v>
      </c>
      <c r="I596" t="str">
        <f>IF(_xlfn.XLOOKUP(D596,product!$A:$A,product!$E:$E,,0)=0,"",_xlfn.XLOOKUP(D596,product!$A:$A,product!$E:$E,,0))</f>
        <v>TECH</v>
      </c>
      <c r="J596" s="5">
        <f>IF(_xlfn.XLOOKUP(D596,product!$A:$A,product!$D:$D,,0)=0,"",_xlfn.XLOOKUP(D596,product!$A:$A,product!$D:$D,,0))</f>
        <v>39.92</v>
      </c>
      <c r="K596" s="7">
        <f t="shared" si="9"/>
        <v>79.84</v>
      </c>
      <c r="L596" s="10" t="str">
        <f>IF(_xlfn.XLOOKUP(D596,product!$A:$A,product!$F:$F,,0)=0,"",_xlfn.XLOOKUP(D596,product!$A:$A,product!$F:$F,,0))</f>
        <v>No</v>
      </c>
      <c r="M596" t="str">
        <f>IF(_xlfn.XLOOKUP(D596,product!$A:$A,product!G:G,,0)=0,"",_xlfn.XLOOKUP(D596,product!$A:$A,product!G:G,,0))</f>
        <v>Gold</v>
      </c>
      <c r="N596" t="str">
        <f>IF(_xlfn.XLOOKUP(D596,product!$A:$A,product!$B:$B,,0)=0,"",_xlfn.XLOOKUP(D596,product!$A:$A,product!$B:$B,,0))</f>
        <v>Future Science</v>
      </c>
    </row>
    <row r="597" spans="1:14" x14ac:dyDescent="0.35">
      <c r="A597" t="s">
        <v>384</v>
      </c>
      <c r="B597" s="3">
        <v>45577</v>
      </c>
      <c r="C597" t="s">
        <v>3030</v>
      </c>
      <c r="D597" t="s">
        <v>5954</v>
      </c>
      <c r="E597">
        <v>2</v>
      </c>
      <c r="F597" t="str">
        <f>_xlfn.XLOOKUP(C597,customers!$A$1:$A$983,customers!$B$1:$B$983,,0)</f>
        <v>Andrew Garcia</v>
      </c>
      <c r="G597" t="str">
        <f>_xlfn.XLOOKUP(C597,customers!$A:$A,customers!$C:$C,,0)</f>
        <v>andrew.garcia728@outlook.com</v>
      </c>
      <c r="H597" t="str">
        <f>IF(_xlfn.XLOOKUP(C597,customers!$A:$A,customers!$G:$G,,0)=0,"",_xlfn.XLOOKUP(C597,customers!$A:$A,customers!$G:$G,,0))</f>
        <v>Spain</v>
      </c>
      <c r="I597" t="str">
        <f>IF(_xlfn.XLOOKUP(D597,product!$A:$A,product!$E:$E,,0)=0,"",_xlfn.XLOOKUP(D597,product!$A:$A,product!$E:$E,,0))</f>
        <v>BUSINESS</v>
      </c>
      <c r="J597" s="5">
        <f>IF(_xlfn.XLOOKUP(D597,product!$A:$A,product!$D:$D,,0)=0,"",_xlfn.XLOOKUP(D597,product!$A:$A,product!$D:$D,,0))</f>
        <v>33.619999999999997</v>
      </c>
      <c r="K597" s="7">
        <f t="shared" si="9"/>
        <v>67.239999999999995</v>
      </c>
      <c r="L597" s="10" t="str">
        <f>IF(_xlfn.XLOOKUP(D597,product!$A:$A,product!$F:$F,,0)=0,"",_xlfn.XLOOKUP(D597,product!$A:$A,product!$F:$F,,0))</f>
        <v>No</v>
      </c>
      <c r="M597" t="str">
        <f>IF(_xlfn.XLOOKUP(D597,product!$A:$A,product!G:G,,0)=0,"",_xlfn.XLOOKUP(D597,product!$A:$A,product!G:G,,0))</f>
        <v>Platinum</v>
      </c>
      <c r="N597" t="str">
        <f>IF(_xlfn.XLOOKUP(D597,product!$A:$A,product!$B:$B,,0)=0,"",_xlfn.XLOOKUP(D597,product!$A:$A,product!$B:$B,,0))</f>
        <v>Silent Journey</v>
      </c>
    </row>
    <row r="598" spans="1:14" x14ac:dyDescent="0.35">
      <c r="A598" t="s">
        <v>401</v>
      </c>
      <c r="B598" s="3">
        <v>45127</v>
      </c>
      <c r="C598" t="s">
        <v>1539</v>
      </c>
      <c r="D598" t="s">
        <v>5955</v>
      </c>
      <c r="E598">
        <v>2</v>
      </c>
      <c r="F598" t="str">
        <f>_xlfn.XLOOKUP(C598,customers!$A$1:$A$983,customers!$B$1:$B$983,,0)</f>
        <v>Sophia Martinez</v>
      </c>
      <c r="G598" t="str">
        <f>_xlfn.XLOOKUP(C598,customers!$A:$A,customers!$C:$C,,0)</f>
        <v>sophia.martinez134@yahoo.com</v>
      </c>
      <c r="H598" t="str">
        <f>IF(_xlfn.XLOOKUP(C598,customers!$A:$A,customers!$G:$G,,0)=0,"",_xlfn.XLOOKUP(C598,customers!$A:$A,customers!$G:$G,,0))</f>
        <v>Spain</v>
      </c>
      <c r="I598" t="str">
        <f>IF(_xlfn.XLOOKUP(D598,product!$A:$A,product!$E:$E,,0)=0,"",_xlfn.XLOOKUP(D598,product!$A:$A,product!$E:$E,,0))</f>
        <v>FICTION</v>
      </c>
      <c r="J598" s="5">
        <f>IF(_xlfn.XLOOKUP(D598,product!$A:$A,product!$D:$D,,0)=0,"",_xlfn.XLOOKUP(D598,product!$A:$A,product!$D:$D,,0))</f>
        <v>21.49</v>
      </c>
      <c r="K598" s="7">
        <f t="shared" si="9"/>
        <v>42.98</v>
      </c>
      <c r="L598" s="10" t="str">
        <f>IF(_xlfn.XLOOKUP(D598,product!$A:$A,product!$F:$F,,0)=0,"",_xlfn.XLOOKUP(D598,product!$A:$A,product!$F:$F,,0))</f>
        <v>Yes</v>
      </c>
      <c r="M598" t="str">
        <f>IF(_xlfn.XLOOKUP(D598,product!$A:$A,product!G:G,,0)=0,"",_xlfn.XLOOKUP(D598,product!$A:$A,product!G:G,,0))</f>
        <v>None</v>
      </c>
      <c r="N598" t="str">
        <f>IF(_xlfn.XLOOKUP(D598,product!$A:$A,product!$B:$B,,0)=0,"",_xlfn.XLOOKUP(D598,product!$A:$A,product!$B:$B,,0))</f>
        <v>Mind Quantum</v>
      </c>
    </row>
    <row r="599" spans="1:14" x14ac:dyDescent="0.35">
      <c r="A599" t="s">
        <v>418</v>
      </c>
      <c r="B599" s="3">
        <v>45527</v>
      </c>
      <c r="C599" t="s">
        <v>3088</v>
      </c>
      <c r="D599" t="s">
        <v>5956</v>
      </c>
      <c r="E599">
        <v>2</v>
      </c>
      <c r="F599" t="str">
        <f>_xlfn.XLOOKUP(C599,customers!$A$1:$A$983,customers!$B$1:$B$983,,0)</f>
        <v>Chloe Johnson</v>
      </c>
      <c r="G599" t="str">
        <f>_xlfn.XLOOKUP(C599,customers!$A:$A,customers!$C:$C,,0)</f>
        <v>chloe.johnson756@outlook.com</v>
      </c>
      <c r="H599" t="str">
        <f>IF(_xlfn.XLOOKUP(C599,customers!$A:$A,customers!$G:$G,,0)=0,"",_xlfn.XLOOKUP(C599,customers!$A:$A,customers!$G:$G,,0))</f>
        <v>Germany</v>
      </c>
      <c r="I599" t="str">
        <f>IF(_xlfn.XLOOKUP(D599,product!$A:$A,product!$E:$E,,0)=0,"",_xlfn.XLOOKUP(D599,product!$A:$A,product!$E:$E,,0))</f>
        <v>HISTORY</v>
      </c>
      <c r="J599" s="5">
        <f>IF(_xlfn.XLOOKUP(D599,product!$A:$A,product!$D:$D,,0)=0,"",_xlfn.XLOOKUP(D599,product!$A:$A,product!$D:$D,,0))</f>
        <v>37.36</v>
      </c>
      <c r="K599" s="7">
        <f t="shared" si="9"/>
        <v>74.72</v>
      </c>
      <c r="L599" s="10" t="str">
        <f>IF(_xlfn.XLOOKUP(D599,product!$A:$A,product!$F:$F,,0)=0,"",_xlfn.XLOOKUP(D599,product!$A:$A,product!$F:$F,,0))</f>
        <v>No</v>
      </c>
      <c r="M599" t="str">
        <f>IF(_xlfn.XLOOKUP(D599,product!$A:$A,product!G:G,,0)=0,"",_xlfn.XLOOKUP(D599,product!$A:$A,product!G:G,,0))</f>
        <v>Gold</v>
      </c>
      <c r="N599" t="str">
        <f>IF(_xlfn.XLOOKUP(D599,product!$A:$A,product!$B:$B,,0)=0,"",_xlfn.XLOOKUP(D599,product!$A:$A,product!$B:$B,,0))</f>
        <v>Data Journey</v>
      </c>
    </row>
    <row r="600" spans="1:14" x14ac:dyDescent="0.35">
      <c r="A600" t="s">
        <v>435</v>
      </c>
      <c r="B600" s="3">
        <v>44939</v>
      </c>
      <c r="C600" t="s">
        <v>3514</v>
      </c>
      <c r="D600" t="s">
        <v>5957</v>
      </c>
      <c r="E600">
        <v>2</v>
      </c>
      <c r="F600" t="str">
        <f>_xlfn.XLOOKUP(C600,customers!$A$1:$A$983,customers!$B$1:$B$983,,0)</f>
        <v>Mark Jackson</v>
      </c>
      <c r="G600" t="str">
        <f>_xlfn.XLOOKUP(C600,customers!$A:$A,customers!$C:$C,,0)</f>
        <v>mark.jackson972@outlook.com</v>
      </c>
      <c r="H600" t="str">
        <f>IF(_xlfn.XLOOKUP(C600,customers!$A:$A,customers!$G:$G,,0)=0,"",_xlfn.XLOOKUP(C600,customers!$A:$A,customers!$G:$G,,0))</f>
        <v>Germany</v>
      </c>
      <c r="I600" t="str">
        <f>IF(_xlfn.XLOOKUP(D600,product!$A:$A,product!$E:$E,,0)=0,"",_xlfn.XLOOKUP(D600,product!$A:$A,product!$E:$E,,0))</f>
        <v>BUSINESS</v>
      </c>
      <c r="J600" s="5">
        <f>IF(_xlfn.XLOOKUP(D600,product!$A:$A,product!$D:$D,,0)=0,"",_xlfn.XLOOKUP(D600,product!$A:$A,product!$D:$D,,0))</f>
        <v>10.9</v>
      </c>
      <c r="K600" s="7">
        <f t="shared" si="9"/>
        <v>21.8</v>
      </c>
      <c r="L600" s="10" t="str">
        <f>IF(_xlfn.XLOOKUP(D600,product!$A:$A,product!$F:$F,,0)=0,"",_xlfn.XLOOKUP(D600,product!$A:$A,product!$F:$F,,0))</f>
        <v>No</v>
      </c>
      <c r="M600" t="str">
        <f>IF(_xlfn.XLOOKUP(D600,product!$A:$A,product!G:G,,0)=0,"",_xlfn.XLOOKUP(D600,product!$A:$A,product!G:G,,0))</f>
        <v>Gold</v>
      </c>
      <c r="N600" t="str">
        <f>IF(_xlfn.XLOOKUP(D600,product!$A:$A,product!$B:$B,,0)=0,"",_xlfn.XLOOKUP(D600,product!$A:$A,product!$B:$B,,0))</f>
        <v>Mind Data</v>
      </c>
    </row>
    <row r="601" spans="1:14" x14ac:dyDescent="0.35">
      <c r="A601" t="s">
        <v>452</v>
      </c>
      <c r="B601" s="3">
        <v>45408</v>
      </c>
      <c r="C601" t="s">
        <v>3469</v>
      </c>
      <c r="D601" t="s">
        <v>5958</v>
      </c>
      <c r="E601">
        <v>2</v>
      </c>
      <c r="F601" t="str">
        <f>_xlfn.XLOOKUP(C601,customers!$A$1:$A$983,customers!$B$1:$B$983,,0)</f>
        <v>Brian Anderson</v>
      </c>
      <c r="G601" t="str">
        <f>_xlfn.XLOOKUP(C601,customers!$A:$A,customers!$C:$C,,0)</f>
        <v>brian.anderson949@hotmail.com</v>
      </c>
      <c r="H601" t="str">
        <f>IF(_xlfn.XLOOKUP(C601,customers!$A:$A,customers!$G:$G,,0)=0,"",_xlfn.XLOOKUP(C601,customers!$A:$A,customers!$G:$G,,0))</f>
        <v>Czech Republic</v>
      </c>
      <c r="I601" t="str">
        <f>IF(_xlfn.XLOOKUP(D601,product!$A:$A,product!$E:$E,,0)=0,"",_xlfn.XLOOKUP(D601,product!$A:$A,product!$E:$E,,0))</f>
        <v>HISTORY</v>
      </c>
      <c r="J601" s="5">
        <f>IF(_xlfn.XLOOKUP(D601,product!$A:$A,product!$D:$D,,0)=0,"",_xlfn.XLOOKUP(D601,product!$A:$A,product!$D:$D,,0))</f>
        <v>19.36</v>
      </c>
      <c r="K601" s="7">
        <f t="shared" si="9"/>
        <v>38.72</v>
      </c>
      <c r="L601" s="10" t="str">
        <f>IF(_xlfn.XLOOKUP(D601,product!$A:$A,product!$F:$F,,0)=0,"",_xlfn.XLOOKUP(D601,product!$A:$A,product!$F:$F,,0))</f>
        <v>No</v>
      </c>
      <c r="M601" t="str">
        <f>IF(_xlfn.XLOOKUP(D601,product!$A:$A,product!G:G,,0)=0,"",_xlfn.XLOOKUP(D601,product!$A:$A,product!G:G,,0))</f>
        <v>Gold</v>
      </c>
      <c r="N601" t="str">
        <f>IF(_xlfn.XLOOKUP(D601,product!$A:$A,product!$B:$B,,0)=0,"",_xlfn.XLOOKUP(D601,product!$A:$A,product!$B:$B,,0))</f>
        <v>Quantum Journey</v>
      </c>
    </row>
    <row r="602" spans="1:14" x14ac:dyDescent="0.35">
      <c r="A602" t="s">
        <v>469</v>
      </c>
      <c r="B602" s="3">
        <v>45195</v>
      </c>
      <c r="C602" t="s">
        <v>2793</v>
      </c>
      <c r="D602" t="s">
        <v>5959</v>
      </c>
      <c r="E602">
        <v>2</v>
      </c>
      <c r="F602" t="str">
        <f>_xlfn.XLOOKUP(C602,customers!$A$1:$A$983,customers!$B$1:$B$983,,0)</f>
        <v>Ava Lopez</v>
      </c>
      <c r="G602" t="str">
        <f>_xlfn.XLOOKUP(C602,customers!$A:$A,customers!$C:$C,,0)</f>
        <v>ava.lopez613@yahoo.com</v>
      </c>
      <c r="H602" t="str">
        <f>IF(_xlfn.XLOOKUP(C602,customers!$A:$A,customers!$G:$G,,0)=0,"",_xlfn.XLOOKUP(C602,customers!$A:$A,customers!$G:$G,,0))</f>
        <v>USA</v>
      </c>
      <c r="I602" t="str">
        <f>IF(_xlfn.XLOOKUP(D602,product!$A:$A,product!$E:$E,,0)=0,"",_xlfn.XLOOKUP(D602,product!$A:$A,product!$E:$E,,0))</f>
        <v>TECH</v>
      </c>
      <c r="J602" s="5">
        <f>IF(_xlfn.XLOOKUP(D602,product!$A:$A,product!$D:$D,,0)=0,"",_xlfn.XLOOKUP(D602,product!$A:$A,product!$D:$D,,0))</f>
        <v>17.649999999999999</v>
      </c>
      <c r="K602" s="7">
        <f t="shared" si="9"/>
        <v>35.299999999999997</v>
      </c>
      <c r="L602" s="10" t="str">
        <f>IF(_xlfn.XLOOKUP(D602,product!$A:$A,product!$F:$F,,0)=0,"",_xlfn.XLOOKUP(D602,product!$A:$A,product!$F:$F,,0))</f>
        <v>No</v>
      </c>
      <c r="M602" t="str">
        <f>IF(_xlfn.XLOOKUP(D602,product!$A:$A,product!G:G,,0)=0,"",_xlfn.XLOOKUP(D602,product!$A:$A,product!G:G,,0))</f>
        <v>None</v>
      </c>
      <c r="N602" t="str">
        <f>IF(_xlfn.XLOOKUP(D602,product!$A:$A,product!$B:$B,,0)=0,"",_xlfn.XLOOKUP(D602,product!$A:$A,product!$B:$B,,0))</f>
        <v>Secrets Data</v>
      </c>
    </row>
    <row r="603" spans="1:14" x14ac:dyDescent="0.35">
      <c r="A603" t="s">
        <v>486</v>
      </c>
      <c r="B603" s="3">
        <v>45630</v>
      </c>
      <c r="C603" t="s">
        <v>3267</v>
      </c>
      <c r="D603" t="s">
        <v>5960</v>
      </c>
      <c r="E603">
        <v>2</v>
      </c>
      <c r="F603" t="str">
        <f>_xlfn.XLOOKUP(C603,customers!$A$1:$A$983,customers!$B$1:$B$983,,0)</f>
        <v>Mark Allen</v>
      </c>
      <c r="G603" t="str">
        <f>_xlfn.XLOOKUP(C603,customers!$A:$A,customers!$C:$C,,0)</f>
        <v>mark.allen847@gmail.com</v>
      </c>
      <c r="H603" t="str">
        <f>IF(_xlfn.XLOOKUP(C603,customers!$A:$A,customers!$G:$G,,0)=0,"",_xlfn.XLOOKUP(C603,customers!$A:$A,customers!$G:$G,,0))</f>
        <v>Germany</v>
      </c>
      <c r="I603" t="str">
        <f>IF(_xlfn.XLOOKUP(D603,product!$A:$A,product!$E:$E,,0)=0,"",_xlfn.XLOOKUP(D603,product!$A:$A,product!$E:$E,,0))</f>
        <v>BUSINESS</v>
      </c>
      <c r="J603" s="5">
        <f>IF(_xlfn.XLOOKUP(D603,product!$A:$A,product!$D:$D,,0)=0,"",_xlfn.XLOOKUP(D603,product!$A:$A,product!$D:$D,,0))</f>
        <v>32.799999999999997</v>
      </c>
      <c r="K603" s="7">
        <f t="shared" si="9"/>
        <v>65.599999999999994</v>
      </c>
      <c r="L603" s="10" t="str">
        <f>IF(_xlfn.XLOOKUP(D603,product!$A:$A,product!$F:$F,,0)=0,"",_xlfn.XLOOKUP(D603,product!$A:$A,product!$F:$F,,0))</f>
        <v>No</v>
      </c>
      <c r="M603" t="str">
        <f>IF(_xlfn.XLOOKUP(D603,product!$A:$A,product!G:G,,0)=0,"",_xlfn.XLOOKUP(D603,product!$A:$A,product!G:G,,0))</f>
        <v>Gold</v>
      </c>
      <c r="N603" t="str">
        <f>IF(_xlfn.XLOOKUP(D603,product!$A:$A,product!$B:$B,,0)=0,"",_xlfn.XLOOKUP(D603,product!$A:$A,product!$B:$B,,0))</f>
        <v>Silent Future</v>
      </c>
    </row>
    <row r="604" spans="1:14" x14ac:dyDescent="0.35">
      <c r="A604" t="s">
        <v>503</v>
      </c>
      <c r="B604" s="3">
        <v>44997</v>
      </c>
      <c r="C604" t="s">
        <v>3392</v>
      </c>
      <c r="D604" t="s">
        <v>5961</v>
      </c>
      <c r="E604">
        <v>2</v>
      </c>
      <c r="F604" t="str">
        <f>_xlfn.XLOOKUP(C604,customers!$A$1:$A$983,customers!$B$1:$B$983,,0)</f>
        <v>Joshua Martin</v>
      </c>
      <c r="G604" t="str">
        <f>_xlfn.XLOOKUP(C604,customers!$A:$A,customers!$C:$C,,0)</f>
        <v>joshua.martin910@yahoo.com</v>
      </c>
      <c r="H604" t="str">
        <f>IF(_xlfn.XLOOKUP(C604,customers!$A:$A,customers!$G:$G,,0)=0,"",_xlfn.XLOOKUP(C604,customers!$A:$A,customers!$G:$G,,0))</f>
        <v>Egypt</v>
      </c>
      <c r="I604" t="str">
        <f>IF(_xlfn.XLOOKUP(D604,product!$A:$A,product!$E:$E,,0)=0,"",_xlfn.XLOOKUP(D604,product!$A:$A,product!$E:$E,,0))</f>
        <v>SCIENCE</v>
      </c>
      <c r="J604" s="5">
        <f>IF(_xlfn.XLOOKUP(D604,product!$A:$A,product!$D:$D,,0)=0,"",_xlfn.XLOOKUP(D604,product!$A:$A,product!$D:$D,,0))</f>
        <v>18.78</v>
      </c>
      <c r="K604" s="7">
        <f t="shared" si="9"/>
        <v>37.56</v>
      </c>
      <c r="L604" s="10" t="str">
        <f>IF(_xlfn.XLOOKUP(D604,product!$A:$A,product!$F:$F,,0)=0,"",_xlfn.XLOOKUP(D604,product!$A:$A,product!$F:$F,,0))</f>
        <v>No</v>
      </c>
      <c r="M604" t="str">
        <f>IF(_xlfn.XLOOKUP(D604,product!$A:$A,product!G:G,,0)=0,"",_xlfn.XLOOKUP(D604,product!$A:$A,product!G:G,,0))</f>
        <v>Silver</v>
      </c>
      <c r="N604" t="str">
        <f>IF(_xlfn.XLOOKUP(D604,product!$A:$A,product!$B:$B,,0)=0,"",_xlfn.XLOOKUP(D604,product!$A:$A,product!$B:$B,,0))</f>
        <v>Forest Silent</v>
      </c>
    </row>
    <row r="605" spans="1:14" x14ac:dyDescent="0.35">
      <c r="A605" t="s">
        <v>520</v>
      </c>
      <c r="B605" s="3">
        <v>45326</v>
      </c>
      <c r="C605" t="s">
        <v>2245</v>
      </c>
      <c r="D605" t="s">
        <v>5962</v>
      </c>
      <c r="E605">
        <v>2</v>
      </c>
      <c r="F605" t="str">
        <f>_xlfn.XLOOKUP(C605,customers!$A$1:$A$983,customers!$B$1:$B$983,,0)</f>
        <v>Michael Baker</v>
      </c>
      <c r="G605" t="str">
        <f>_xlfn.XLOOKUP(C605,customers!$A:$A,customers!$C:$C,,0)</f>
        <v>michael.baker356@outlook.com</v>
      </c>
      <c r="H605" t="str">
        <f>IF(_xlfn.XLOOKUP(C605,customers!$A:$A,customers!$G:$G,,0)=0,"",_xlfn.XLOOKUP(C605,customers!$A:$A,customers!$G:$G,,0))</f>
        <v>Egypt</v>
      </c>
      <c r="I605" t="str">
        <f>IF(_xlfn.XLOOKUP(D605,product!$A:$A,product!$E:$E,,0)=0,"",_xlfn.XLOOKUP(D605,product!$A:$A,product!$E:$E,,0))</f>
        <v>SCIENCE</v>
      </c>
      <c r="J605" s="5">
        <f>IF(_xlfn.XLOOKUP(D605,product!$A:$A,product!$D:$D,,0)=0,"",_xlfn.XLOOKUP(D605,product!$A:$A,product!$D:$D,,0))</f>
        <v>37.590000000000003</v>
      </c>
      <c r="K605" s="7">
        <f t="shared" si="9"/>
        <v>75.180000000000007</v>
      </c>
      <c r="L605" s="10" t="str">
        <f>IF(_xlfn.XLOOKUP(D605,product!$A:$A,product!$F:$F,,0)=0,"",_xlfn.XLOOKUP(D605,product!$A:$A,product!$F:$F,,0))</f>
        <v>Yes</v>
      </c>
      <c r="M605" t="str">
        <f>IF(_xlfn.XLOOKUP(D605,product!$A:$A,product!G:G,,0)=0,"",_xlfn.XLOOKUP(D605,product!$A:$A,product!G:G,,0))</f>
        <v>None</v>
      </c>
      <c r="N605" t="str">
        <f>IF(_xlfn.XLOOKUP(D605,product!$A:$A,product!$B:$B,,0)=0,"",_xlfn.XLOOKUP(D605,product!$A:$A,product!$B:$B,,0))</f>
        <v>Quantum Future</v>
      </c>
    </row>
    <row r="606" spans="1:14" x14ac:dyDescent="0.35">
      <c r="A606" t="s">
        <v>537</v>
      </c>
      <c r="B606" s="3">
        <v>45162</v>
      </c>
      <c r="C606" t="s">
        <v>2546</v>
      </c>
      <c r="D606" t="s">
        <v>5963</v>
      </c>
      <c r="E606">
        <v>2</v>
      </c>
      <c r="F606" t="str">
        <f>_xlfn.XLOOKUP(C606,customers!$A$1:$A$983,customers!$B$1:$B$983,,0)</f>
        <v>Lucy Baker</v>
      </c>
      <c r="G606" t="str">
        <f>_xlfn.XLOOKUP(C606,customers!$A:$A,customers!$C:$C,,0)</f>
        <v>lucy.baker494@hotmail.com</v>
      </c>
      <c r="H606" t="str">
        <f>IF(_xlfn.XLOOKUP(C606,customers!$A:$A,customers!$G:$G,,0)=0,"",_xlfn.XLOOKUP(C606,customers!$A:$A,customers!$G:$G,,0))</f>
        <v>Spain</v>
      </c>
      <c r="I606" t="str">
        <f>IF(_xlfn.XLOOKUP(D606,product!$A:$A,product!$E:$E,,0)=0,"",_xlfn.XLOOKUP(D606,product!$A:$A,product!$E:$E,,0))</f>
        <v>BUSINESS</v>
      </c>
      <c r="J606" s="5">
        <f>IF(_xlfn.XLOOKUP(D606,product!$A:$A,product!$D:$D,,0)=0,"",_xlfn.XLOOKUP(D606,product!$A:$A,product!$D:$D,,0))</f>
        <v>20.84</v>
      </c>
      <c r="K606" s="7">
        <f t="shared" si="9"/>
        <v>41.68</v>
      </c>
      <c r="L606" s="10" t="str">
        <f>IF(_xlfn.XLOOKUP(D606,product!$A:$A,product!$F:$F,,0)=0,"",_xlfn.XLOOKUP(D606,product!$A:$A,product!$F:$F,,0))</f>
        <v>No</v>
      </c>
      <c r="M606" t="str">
        <f>IF(_xlfn.XLOOKUP(D606,product!$A:$A,product!G:G,,0)=0,"",_xlfn.XLOOKUP(D606,product!$A:$A,product!G:G,,0))</f>
        <v>Silver</v>
      </c>
      <c r="N606" t="str">
        <f>IF(_xlfn.XLOOKUP(D606,product!$A:$A,product!$B:$B,,0)=0,"",_xlfn.XLOOKUP(D606,product!$A:$A,product!$B:$B,,0))</f>
        <v>Journey Data</v>
      </c>
    </row>
    <row r="607" spans="1:14" x14ac:dyDescent="0.35">
      <c r="A607" t="s">
        <v>554</v>
      </c>
      <c r="B607" s="3">
        <v>45435</v>
      </c>
      <c r="C607" t="s">
        <v>2287</v>
      </c>
      <c r="D607" t="s">
        <v>5964</v>
      </c>
      <c r="E607">
        <v>2</v>
      </c>
      <c r="F607" t="str">
        <f>_xlfn.XLOOKUP(C607,customers!$A$1:$A$983,customers!$B$1:$B$983,,0)</f>
        <v>Sarah Anderson</v>
      </c>
      <c r="G607" t="str">
        <f>_xlfn.XLOOKUP(C607,customers!$A:$A,customers!$C:$C,,0)</f>
        <v>sarah.anderson374@outlook.com</v>
      </c>
      <c r="H607" t="str">
        <f>IF(_xlfn.XLOOKUP(C607,customers!$A:$A,customers!$G:$G,,0)=0,"",_xlfn.XLOOKUP(C607,customers!$A:$A,customers!$G:$G,,0))</f>
        <v>Egypt</v>
      </c>
      <c r="I607" t="str">
        <f>IF(_xlfn.XLOOKUP(D607,product!$A:$A,product!$E:$E,,0)=0,"",_xlfn.XLOOKUP(D607,product!$A:$A,product!$E:$E,,0))</f>
        <v>HISTORY</v>
      </c>
      <c r="J607" s="5">
        <f>IF(_xlfn.XLOOKUP(D607,product!$A:$A,product!$D:$D,,0)=0,"",_xlfn.XLOOKUP(D607,product!$A:$A,product!$D:$D,,0))</f>
        <v>22.43</v>
      </c>
      <c r="K607" s="7">
        <f t="shared" si="9"/>
        <v>44.86</v>
      </c>
      <c r="L607" s="10" t="str">
        <f>IF(_xlfn.XLOOKUP(D607,product!$A:$A,product!$F:$F,,0)=0,"",_xlfn.XLOOKUP(D607,product!$A:$A,product!$F:$F,,0))</f>
        <v>Yes</v>
      </c>
      <c r="M607" t="str">
        <f>IF(_xlfn.XLOOKUP(D607,product!$A:$A,product!G:G,,0)=0,"",_xlfn.XLOOKUP(D607,product!$A:$A,product!G:G,,0))</f>
        <v>Gold</v>
      </c>
      <c r="N607" t="str">
        <f>IF(_xlfn.XLOOKUP(D607,product!$A:$A,product!$B:$B,,0)=0,"",_xlfn.XLOOKUP(D607,product!$A:$A,product!$B:$B,,0))</f>
        <v>Silent Science</v>
      </c>
    </row>
    <row r="608" spans="1:14" x14ac:dyDescent="0.35">
      <c r="A608" t="s">
        <v>571</v>
      </c>
      <c r="B608" s="3">
        <v>45246</v>
      </c>
      <c r="C608" t="s">
        <v>2170</v>
      </c>
      <c r="D608" t="s">
        <v>5965</v>
      </c>
      <c r="E608">
        <v>2</v>
      </c>
      <c r="F608" t="str">
        <f>_xlfn.XLOOKUP(C608,customers!$A$1:$A$983,customers!$B$1:$B$983,,0)</f>
        <v>Ella Lewis</v>
      </c>
      <c r="G608" t="str">
        <f>_xlfn.XLOOKUP(C608,customers!$A:$A,customers!$C:$C,,0)</f>
        <v>ella.lewis324@yahoo.com</v>
      </c>
      <c r="H608" t="str">
        <f>IF(_xlfn.XLOOKUP(C608,customers!$A:$A,customers!$G:$G,,0)=0,"",_xlfn.XLOOKUP(C608,customers!$A:$A,customers!$G:$G,,0))</f>
        <v>Germany</v>
      </c>
      <c r="I608" t="str">
        <f>IF(_xlfn.XLOOKUP(D608,product!$A:$A,product!$E:$E,,0)=0,"",_xlfn.XLOOKUP(D608,product!$A:$A,product!$E:$E,,0))</f>
        <v>BUSINESS</v>
      </c>
      <c r="J608" s="5">
        <f>IF(_xlfn.XLOOKUP(D608,product!$A:$A,product!$D:$D,,0)=0,"",_xlfn.XLOOKUP(D608,product!$A:$A,product!$D:$D,,0))</f>
        <v>10.11</v>
      </c>
      <c r="K608" s="7">
        <f t="shared" si="9"/>
        <v>20.22</v>
      </c>
      <c r="L608" s="10" t="str">
        <f>IF(_xlfn.XLOOKUP(D608,product!$A:$A,product!$F:$F,,0)=0,"",_xlfn.XLOOKUP(D608,product!$A:$A,product!$F:$F,,0))</f>
        <v>No</v>
      </c>
      <c r="M608" t="str">
        <f>IF(_xlfn.XLOOKUP(D608,product!$A:$A,product!G:G,,0)=0,"",_xlfn.XLOOKUP(D608,product!$A:$A,product!G:G,,0))</f>
        <v>None</v>
      </c>
      <c r="N608" t="str">
        <f>IF(_xlfn.XLOOKUP(D608,product!$A:$A,product!$B:$B,,0)=0,"",_xlfn.XLOOKUP(D608,product!$A:$A,product!$B:$B,,0))</f>
        <v>Power Mind</v>
      </c>
    </row>
    <row r="609" spans="1:14" x14ac:dyDescent="0.35">
      <c r="A609" t="s">
        <v>588</v>
      </c>
      <c r="B609" s="3">
        <v>45482</v>
      </c>
      <c r="C609" t="s">
        <v>3364</v>
      </c>
      <c r="D609" t="s">
        <v>5966</v>
      </c>
      <c r="E609">
        <v>2</v>
      </c>
      <c r="F609" t="str">
        <f>_xlfn.XLOOKUP(C609,customers!$A$1:$A$983,customers!$B$1:$B$983,,0)</f>
        <v>David Anderson</v>
      </c>
      <c r="G609" t="str">
        <f>_xlfn.XLOOKUP(C609,customers!$A:$A,customers!$C:$C,,0)</f>
        <v>david.anderson896@gmail.com</v>
      </c>
      <c r="H609" t="str">
        <f>IF(_xlfn.XLOOKUP(C609,customers!$A:$A,customers!$G:$G,,0)=0,"",_xlfn.XLOOKUP(C609,customers!$A:$A,customers!$G:$G,,0))</f>
        <v>Japan</v>
      </c>
      <c r="I609" t="str">
        <f>IF(_xlfn.XLOOKUP(D609,product!$A:$A,product!$E:$E,,0)=0,"",_xlfn.XLOOKUP(D609,product!$A:$A,product!$E:$E,,0))</f>
        <v>SCIENCE</v>
      </c>
      <c r="J609" s="5">
        <f>IF(_xlfn.XLOOKUP(D609,product!$A:$A,product!$D:$D,,0)=0,"",_xlfn.XLOOKUP(D609,product!$A:$A,product!$D:$D,,0))</f>
        <v>25.29</v>
      </c>
      <c r="K609" s="7">
        <f t="shared" si="9"/>
        <v>50.58</v>
      </c>
      <c r="L609" s="10" t="str">
        <f>IF(_xlfn.XLOOKUP(D609,product!$A:$A,product!$F:$F,,0)=0,"",_xlfn.XLOOKUP(D609,product!$A:$A,product!$F:$F,,0))</f>
        <v>No</v>
      </c>
      <c r="M609" t="str">
        <f>IF(_xlfn.XLOOKUP(D609,product!$A:$A,product!G:G,,0)=0,"",_xlfn.XLOOKUP(D609,product!$A:$A,product!G:G,,0))</f>
        <v>Platinum</v>
      </c>
      <c r="N609" t="str">
        <f>IF(_xlfn.XLOOKUP(D609,product!$A:$A,product!$B:$B,,0)=0,"",_xlfn.XLOOKUP(D609,product!$A:$A,product!$B:$B,,0))</f>
        <v>Mind Forest</v>
      </c>
    </row>
    <row r="610" spans="1:14" x14ac:dyDescent="0.35">
      <c r="A610" t="s">
        <v>605</v>
      </c>
      <c r="B610" s="3">
        <v>45104</v>
      </c>
      <c r="C610" t="s">
        <v>2449</v>
      </c>
      <c r="D610" t="s">
        <v>5967</v>
      </c>
      <c r="E610">
        <v>2</v>
      </c>
      <c r="F610" t="str">
        <f>_xlfn.XLOOKUP(C610,customers!$A$1:$A$983,customers!$B$1:$B$983,,0)</f>
        <v>Anthony Martinez</v>
      </c>
      <c r="G610" t="str">
        <f>_xlfn.XLOOKUP(C610,customers!$A:$A,customers!$C:$C,,0)</f>
        <v>anthony.martinez447@yahoo.com</v>
      </c>
      <c r="H610" t="str">
        <f>IF(_xlfn.XLOOKUP(C610,customers!$A:$A,customers!$G:$G,,0)=0,"",_xlfn.XLOOKUP(C610,customers!$A:$A,customers!$G:$G,,0))</f>
        <v>Spain</v>
      </c>
      <c r="I610" t="str">
        <f>IF(_xlfn.XLOOKUP(D610,product!$A:$A,product!$E:$E,,0)=0,"",_xlfn.XLOOKUP(D610,product!$A:$A,product!$E:$E,,0))</f>
        <v>SCIENCE</v>
      </c>
      <c r="J610" s="5">
        <f>IF(_xlfn.XLOOKUP(D610,product!$A:$A,product!$D:$D,,0)=0,"",_xlfn.XLOOKUP(D610,product!$A:$A,product!$D:$D,,0))</f>
        <v>30.31</v>
      </c>
      <c r="K610" s="7">
        <f t="shared" si="9"/>
        <v>60.62</v>
      </c>
      <c r="L610" s="10" t="str">
        <f>IF(_xlfn.XLOOKUP(D610,product!$A:$A,product!$F:$F,,0)=0,"",_xlfn.XLOOKUP(D610,product!$A:$A,product!$F:$F,,0))</f>
        <v>No</v>
      </c>
      <c r="M610" t="str">
        <f>IF(_xlfn.XLOOKUP(D610,product!$A:$A,product!G:G,,0)=0,"",_xlfn.XLOOKUP(D610,product!$A:$A,product!G:G,,0))</f>
        <v>Silver</v>
      </c>
      <c r="N610" t="str">
        <f>IF(_xlfn.XLOOKUP(D610,product!$A:$A,product!$B:$B,,0)=0,"",_xlfn.XLOOKUP(D610,product!$A:$A,product!$B:$B,,0))</f>
        <v>Power Data</v>
      </c>
    </row>
    <row r="611" spans="1:14" x14ac:dyDescent="0.35">
      <c r="A611" t="s">
        <v>622</v>
      </c>
      <c r="B611" s="3">
        <v>45559</v>
      </c>
      <c r="C611" t="s">
        <v>3246</v>
      </c>
      <c r="D611" t="s">
        <v>5968</v>
      </c>
      <c r="E611">
        <v>2</v>
      </c>
      <c r="F611" t="str">
        <f>_xlfn.XLOOKUP(C611,customers!$A$1:$A$983,customers!$B$1:$B$983,,0)</f>
        <v>Joshua King</v>
      </c>
      <c r="G611" t="str">
        <f>_xlfn.XLOOKUP(C611,customers!$A:$A,customers!$C:$C,,0)</f>
        <v>joshua.king836@hotmail.com</v>
      </c>
      <c r="H611" t="str">
        <f>IF(_xlfn.XLOOKUP(C611,customers!$A:$A,customers!$G:$G,,0)=0,"",_xlfn.XLOOKUP(C611,customers!$A:$A,customers!$G:$G,,0))</f>
        <v>Greece</v>
      </c>
      <c r="I611" t="str">
        <f>IF(_xlfn.XLOOKUP(D611,product!$A:$A,product!$E:$E,,0)=0,"",_xlfn.XLOOKUP(D611,product!$A:$A,product!$E:$E,,0))</f>
        <v>FICTION</v>
      </c>
      <c r="J611" s="5">
        <f>IF(_xlfn.XLOOKUP(D611,product!$A:$A,product!$D:$D,,0)=0,"",_xlfn.XLOOKUP(D611,product!$A:$A,product!$D:$D,,0))</f>
        <v>14.53</v>
      </c>
      <c r="K611" s="7">
        <f t="shared" si="9"/>
        <v>29.06</v>
      </c>
      <c r="L611" s="10" t="str">
        <f>IF(_xlfn.XLOOKUP(D611,product!$A:$A,product!$F:$F,,0)=0,"",_xlfn.XLOOKUP(D611,product!$A:$A,product!$F:$F,,0))</f>
        <v>Yes</v>
      </c>
      <c r="M611" t="str">
        <f>IF(_xlfn.XLOOKUP(D611,product!$A:$A,product!G:G,,0)=0,"",_xlfn.XLOOKUP(D611,product!$A:$A,product!G:G,,0))</f>
        <v>Platinum</v>
      </c>
      <c r="N611" t="str">
        <f>IF(_xlfn.XLOOKUP(D611,product!$A:$A,product!$B:$B,,0)=0,"",_xlfn.XLOOKUP(D611,product!$A:$A,product!$B:$B,,0))</f>
        <v>Science Data</v>
      </c>
    </row>
    <row r="612" spans="1:14" x14ac:dyDescent="0.35">
      <c r="A612" t="s">
        <v>639</v>
      </c>
      <c r="B612" s="3">
        <v>45046</v>
      </c>
      <c r="C612" t="s">
        <v>2910</v>
      </c>
      <c r="D612" t="s">
        <v>5969</v>
      </c>
      <c r="E612">
        <v>2</v>
      </c>
      <c r="F612" t="str">
        <f>_xlfn.XLOOKUP(C612,customers!$A$1:$A$983,customers!$B$1:$B$983,,0)</f>
        <v>Ava Scott</v>
      </c>
      <c r="G612" t="str">
        <f>_xlfn.XLOOKUP(C612,customers!$A:$A,customers!$C:$C,,0)</f>
        <v>ava.scott670@yahoo.com</v>
      </c>
      <c r="H612" t="str">
        <f>IF(_xlfn.XLOOKUP(C612,customers!$A:$A,customers!$G:$G,,0)=0,"",_xlfn.XLOOKUP(C612,customers!$A:$A,customers!$G:$G,,0))</f>
        <v>Sweden</v>
      </c>
      <c r="I612" t="str">
        <f>IF(_xlfn.XLOOKUP(D612,product!$A:$A,product!$E:$E,,0)=0,"",_xlfn.XLOOKUP(D612,product!$A:$A,product!$E:$E,,0))</f>
        <v>TECH</v>
      </c>
      <c r="J612" s="5">
        <f>IF(_xlfn.XLOOKUP(D612,product!$A:$A,product!$D:$D,,0)=0,"",_xlfn.XLOOKUP(D612,product!$A:$A,product!$D:$D,,0))</f>
        <v>32.25</v>
      </c>
      <c r="K612" s="7">
        <f t="shared" si="9"/>
        <v>64.5</v>
      </c>
      <c r="L612" s="10" t="str">
        <f>IF(_xlfn.XLOOKUP(D612,product!$A:$A,product!$F:$F,,0)=0,"",_xlfn.XLOOKUP(D612,product!$A:$A,product!$F:$F,,0))</f>
        <v>No</v>
      </c>
      <c r="M612" t="str">
        <f>IF(_xlfn.XLOOKUP(D612,product!$A:$A,product!G:G,,0)=0,"",_xlfn.XLOOKUP(D612,product!$A:$A,product!G:G,,0))</f>
        <v>None</v>
      </c>
      <c r="N612" t="str">
        <f>IF(_xlfn.XLOOKUP(D612,product!$A:$A,product!$B:$B,,0)=0,"",_xlfn.XLOOKUP(D612,product!$A:$A,product!$B:$B,,0))</f>
        <v>Secrets Forest</v>
      </c>
    </row>
    <row r="613" spans="1:14" x14ac:dyDescent="0.35">
      <c r="A613" t="s">
        <v>656</v>
      </c>
      <c r="B613" s="3">
        <v>45293</v>
      </c>
      <c r="C613" t="s">
        <v>1146</v>
      </c>
      <c r="D613" t="s">
        <v>5970</v>
      </c>
      <c r="E613">
        <v>2</v>
      </c>
      <c r="F613" t="str">
        <f>_xlfn.XLOOKUP(C613,customers!$A$1:$A$983,customers!$B$1:$B$983,,0)</f>
        <v>Peter Allen</v>
      </c>
      <c r="G613" t="str">
        <f>_xlfn.XLOOKUP(C613,customers!$A:$A,customers!$C:$C,,0)</f>
        <v>peter.allen27@gmail.com</v>
      </c>
      <c r="H613" t="str">
        <f>IF(_xlfn.XLOOKUP(C613,customers!$A:$A,customers!$G:$G,,0)=0,"",_xlfn.XLOOKUP(C613,customers!$A:$A,customers!$G:$G,,0))</f>
        <v>Germany</v>
      </c>
      <c r="I613" t="str">
        <f>IF(_xlfn.XLOOKUP(D613,product!$A:$A,product!$E:$E,,0)=0,"",_xlfn.XLOOKUP(D613,product!$A:$A,product!$E:$E,,0))</f>
        <v>BUSINESS</v>
      </c>
      <c r="J613" s="5">
        <f>IF(_xlfn.XLOOKUP(D613,product!$A:$A,product!$D:$D,,0)=0,"",_xlfn.XLOOKUP(D613,product!$A:$A,product!$D:$D,,0))</f>
        <v>16.489999999999998</v>
      </c>
      <c r="K613" s="7">
        <f t="shared" si="9"/>
        <v>32.979999999999997</v>
      </c>
      <c r="L613" s="10" t="str">
        <f>IF(_xlfn.XLOOKUP(D613,product!$A:$A,product!$F:$F,,0)=0,"",_xlfn.XLOOKUP(D613,product!$A:$A,product!$F:$F,,0))</f>
        <v>Yes</v>
      </c>
      <c r="M613" t="str">
        <f>IF(_xlfn.XLOOKUP(D613,product!$A:$A,product!G:G,,0)=0,"",_xlfn.XLOOKUP(D613,product!$A:$A,product!G:G,,0))</f>
        <v>None</v>
      </c>
      <c r="N613" t="str">
        <f>IF(_xlfn.XLOOKUP(D613,product!$A:$A,product!$B:$B,,0)=0,"",_xlfn.XLOOKUP(D613,product!$A:$A,product!$B:$B,,0))</f>
        <v>Quantum Power</v>
      </c>
    </row>
    <row r="614" spans="1:14" x14ac:dyDescent="0.35">
      <c r="A614" t="s">
        <v>673</v>
      </c>
      <c r="B614" s="3">
        <v>45200</v>
      </c>
      <c r="C614" t="s">
        <v>2491</v>
      </c>
      <c r="D614" t="s">
        <v>5971</v>
      </c>
      <c r="E614">
        <v>2</v>
      </c>
      <c r="F614" t="str">
        <f>_xlfn.XLOOKUP(C614,customers!$A$1:$A$983,customers!$B$1:$B$983,,0)</f>
        <v>Sophia Lee</v>
      </c>
      <c r="G614" t="str">
        <f>_xlfn.XLOOKUP(C614,customers!$A:$A,customers!$C:$C,,0)</f>
        <v>sophia.lee467@yahoo.com</v>
      </c>
      <c r="H614" t="str">
        <f>IF(_xlfn.XLOOKUP(C614,customers!$A:$A,customers!$G:$G,,0)=0,"",_xlfn.XLOOKUP(C614,customers!$A:$A,customers!$G:$G,,0))</f>
        <v>Spain</v>
      </c>
      <c r="I614" t="str">
        <f>IF(_xlfn.XLOOKUP(D614,product!$A:$A,product!$E:$E,,0)=0,"",_xlfn.XLOOKUP(D614,product!$A:$A,product!$E:$E,,0))</f>
        <v>SCIENCE</v>
      </c>
      <c r="J614" s="5">
        <f>IF(_xlfn.XLOOKUP(D614,product!$A:$A,product!$D:$D,,0)=0,"",_xlfn.XLOOKUP(D614,product!$A:$A,product!$D:$D,,0))</f>
        <v>22.3</v>
      </c>
      <c r="K614" s="7">
        <f t="shared" si="9"/>
        <v>44.6</v>
      </c>
      <c r="L614" s="10" t="str">
        <f>IF(_xlfn.XLOOKUP(D614,product!$A:$A,product!$F:$F,,0)=0,"",_xlfn.XLOOKUP(D614,product!$A:$A,product!$F:$F,,0))</f>
        <v>Yes</v>
      </c>
      <c r="M614" t="str">
        <f>IF(_xlfn.XLOOKUP(D614,product!$A:$A,product!G:G,,0)=0,"",_xlfn.XLOOKUP(D614,product!$A:$A,product!G:G,,0))</f>
        <v>Gold</v>
      </c>
      <c r="N614" t="str">
        <f>IF(_xlfn.XLOOKUP(D614,product!$A:$A,product!$B:$B,,0)=0,"",_xlfn.XLOOKUP(D614,product!$A:$A,product!$B:$B,,0))</f>
        <v>Journey Data</v>
      </c>
    </row>
    <row r="615" spans="1:14" x14ac:dyDescent="0.35">
      <c r="A615" t="s">
        <v>690</v>
      </c>
      <c r="B615" s="3">
        <v>45616</v>
      </c>
      <c r="C615" t="s">
        <v>3360</v>
      </c>
      <c r="D615" t="s">
        <v>5972</v>
      </c>
      <c r="E615">
        <v>2</v>
      </c>
      <c r="F615" t="str">
        <f>_xlfn.XLOOKUP(C615,customers!$A$1:$A$983,customers!$B$1:$B$983,,0)</f>
        <v>Isabella White</v>
      </c>
      <c r="G615" t="str">
        <f>_xlfn.XLOOKUP(C615,customers!$A:$A,customers!$C:$C,,0)</f>
        <v>isabella.white894@hotmail.com</v>
      </c>
      <c r="H615" t="str">
        <f>IF(_xlfn.XLOOKUP(C615,customers!$A:$A,customers!$G:$G,,0)=0,"",_xlfn.XLOOKUP(C615,customers!$A:$A,customers!$G:$G,,0))</f>
        <v>Egypt</v>
      </c>
      <c r="I615" t="str">
        <f>IF(_xlfn.XLOOKUP(D615,product!$A:$A,product!$E:$E,,0)=0,"",_xlfn.XLOOKUP(D615,product!$A:$A,product!$E:$E,,0))</f>
        <v>BUSINESS</v>
      </c>
      <c r="J615" s="5">
        <f>IF(_xlfn.XLOOKUP(D615,product!$A:$A,product!$D:$D,,0)=0,"",_xlfn.XLOOKUP(D615,product!$A:$A,product!$D:$D,,0))</f>
        <v>34.369999999999997</v>
      </c>
      <c r="K615" s="7">
        <f t="shared" si="9"/>
        <v>68.739999999999995</v>
      </c>
      <c r="L615" s="10" t="str">
        <f>IF(_xlfn.XLOOKUP(D615,product!$A:$A,product!$F:$F,,0)=0,"",_xlfn.XLOOKUP(D615,product!$A:$A,product!$F:$F,,0))</f>
        <v>No</v>
      </c>
      <c r="M615" t="str">
        <f>IF(_xlfn.XLOOKUP(D615,product!$A:$A,product!G:G,,0)=0,"",_xlfn.XLOOKUP(D615,product!$A:$A,product!G:G,,0))</f>
        <v>Gold</v>
      </c>
      <c r="N615" t="str">
        <f>IF(_xlfn.XLOOKUP(D615,product!$A:$A,product!$B:$B,,0)=0,"",_xlfn.XLOOKUP(D615,product!$A:$A,product!$B:$B,,0))</f>
        <v>Quantum Science</v>
      </c>
    </row>
    <row r="616" spans="1:14" x14ac:dyDescent="0.35">
      <c r="A616" t="s">
        <v>707</v>
      </c>
      <c r="B616" s="3">
        <v>45263</v>
      </c>
      <c r="C616" t="s">
        <v>3502</v>
      </c>
      <c r="D616" t="s">
        <v>5973</v>
      </c>
      <c r="E616">
        <v>2</v>
      </c>
      <c r="F616" t="str">
        <f>_xlfn.XLOOKUP(C616,customers!$A$1:$A$983,customers!$B$1:$B$983,,0)</f>
        <v>Emma Martin</v>
      </c>
      <c r="G616" t="str">
        <f>_xlfn.XLOOKUP(C616,customers!$A:$A,customers!$C:$C,,0)</f>
        <v>emma.martin966@yahoo.com</v>
      </c>
      <c r="H616" t="str">
        <f>IF(_xlfn.XLOOKUP(C616,customers!$A:$A,customers!$G:$G,,0)=0,"",_xlfn.XLOOKUP(C616,customers!$A:$A,customers!$G:$G,,0))</f>
        <v>China</v>
      </c>
      <c r="I616" t="str">
        <f>IF(_xlfn.XLOOKUP(D616,product!$A:$A,product!$E:$E,,0)=0,"",_xlfn.XLOOKUP(D616,product!$A:$A,product!$E:$E,,0))</f>
        <v>FICTION</v>
      </c>
      <c r="J616" s="5">
        <f>IF(_xlfn.XLOOKUP(D616,product!$A:$A,product!$D:$D,,0)=0,"",_xlfn.XLOOKUP(D616,product!$A:$A,product!$D:$D,,0))</f>
        <v>15.71</v>
      </c>
      <c r="K616" s="7">
        <f t="shared" si="9"/>
        <v>31.42</v>
      </c>
      <c r="L616" s="10" t="str">
        <f>IF(_xlfn.XLOOKUP(D616,product!$A:$A,product!$F:$F,,0)=0,"",_xlfn.XLOOKUP(D616,product!$A:$A,product!$F:$F,,0))</f>
        <v>No</v>
      </c>
      <c r="M616" t="str">
        <f>IF(_xlfn.XLOOKUP(D616,product!$A:$A,product!G:G,,0)=0,"",_xlfn.XLOOKUP(D616,product!$A:$A,product!G:G,,0))</f>
        <v>Silver</v>
      </c>
      <c r="N616" t="str">
        <f>IF(_xlfn.XLOOKUP(D616,product!$A:$A,product!$B:$B,,0)=0,"",_xlfn.XLOOKUP(D616,product!$A:$A,product!$B:$B,,0))</f>
        <v>Quantum Secrets</v>
      </c>
    </row>
    <row r="617" spans="1:14" x14ac:dyDescent="0.35">
      <c r="A617" t="s">
        <v>724</v>
      </c>
      <c r="B617" s="3">
        <v>45362</v>
      </c>
      <c r="C617" t="s">
        <v>3358</v>
      </c>
      <c r="D617" t="s">
        <v>5974</v>
      </c>
      <c r="E617">
        <v>2</v>
      </c>
      <c r="F617" t="str">
        <f>_xlfn.XLOOKUP(C617,customers!$A$1:$A$983,customers!$B$1:$B$983,,0)</f>
        <v>Andrew Taylor</v>
      </c>
      <c r="G617" t="str">
        <f>_xlfn.XLOOKUP(C617,customers!$A:$A,customers!$C:$C,,0)</f>
        <v>andrew.taylor893@outlook.com</v>
      </c>
      <c r="H617" t="str">
        <f>IF(_xlfn.XLOOKUP(C617,customers!$A:$A,customers!$G:$G,,0)=0,"",_xlfn.XLOOKUP(C617,customers!$A:$A,customers!$G:$G,,0))</f>
        <v>France</v>
      </c>
      <c r="I617" t="str">
        <f>IF(_xlfn.XLOOKUP(D617,product!$A:$A,product!$E:$E,,0)=0,"",_xlfn.XLOOKUP(D617,product!$A:$A,product!$E:$E,,0))</f>
        <v>BUSINESS</v>
      </c>
      <c r="J617" s="5">
        <f>IF(_xlfn.XLOOKUP(D617,product!$A:$A,product!$D:$D,,0)=0,"",_xlfn.XLOOKUP(D617,product!$A:$A,product!$D:$D,,0))</f>
        <v>19.809999999999999</v>
      </c>
      <c r="K617" s="7">
        <f t="shared" si="9"/>
        <v>39.619999999999997</v>
      </c>
      <c r="L617" s="10" t="str">
        <f>IF(_xlfn.XLOOKUP(D617,product!$A:$A,product!$F:$F,,0)=0,"",_xlfn.XLOOKUP(D617,product!$A:$A,product!$F:$F,,0))</f>
        <v>Yes</v>
      </c>
      <c r="M617" t="str">
        <f>IF(_xlfn.XLOOKUP(D617,product!$A:$A,product!G:G,,0)=0,"",_xlfn.XLOOKUP(D617,product!$A:$A,product!G:G,,0))</f>
        <v>None</v>
      </c>
      <c r="N617" t="str">
        <f>IF(_xlfn.XLOOKUP(D617,product!$A:$A,product!$B:$B,,0)=0,"",_xlfn.XLOOKUP(D617,product!$A:$A,product!$B:$B,,0))</f>
        <v>Future Science</v>
      </c>
    </row>
    <row r="618" spans="1:14" x14ac:dyDescent="0.35">
      <c r="A618" t="s">
        <v>741</v>
      </c>
      <c r="B618" s="3">
        <v>44961</v>
      </c>
      <c r="C618" t="s">
        <v>3129</v>
      </c>
      <c r="D618" t="s">
        <v>5975</v>
      </c>
      <c r="E618">
        <v>2</v>
      </c>
      <c r="F618" t="str">
        <f>_xlfn.XLOOKUP(C618,customers!$A$1:$A$983,customers!$B$1:$B$983,,0)</f>
        <v>Charlotte Clark</v>
      </c>
      <c r="G618" t="str">
        <f>_xlfn.XLOOKUP(C618,customers!$A:$A,customers!$C:$C,,0)</f>
        <v>charlotte.clark777@gmail.com</v>
      </c>
      <c r="H618" t="str">
        <f>IF(_xlfn.XLOOKUP(C618,customers!$A:$A,customers!$G:$G,,0)=0,"",_xlfn.XLOOKUP(C618,customers!$A:$A,customers!$G:$G,,0))</f>
        <v>Japan</v>
      </c>
      <c r="I618" t="str">
        <f>IF(_xlfn.XLOOKUP(D618,product!$A:$A,product!$E:$E,,0)=0,"",_xlfn.XLOOKUP(D618,product!$A:$A,product!$E:$E,,0))</f>
        <v>BUSINESS</v>
      </c>
      <c r="J618" s="5">
        <f>IF(_xlfn.XLOOKUP(D618,product!$A:$A,product!$D:$D,,0)=0,"",_xlfn.XLOOKUP(D618,product!$A:$A,product!$D:$D,,0))</f>
        <v>22.69</v>
      </c>
      <c r="K618" s="7">
        <f t="shared" si="9"/>
        <v>45.38</v>
      </c>
      <c r="L618" s="10" t="str">
        <f>IF(_xlfn.XLOOKUP(D618,product!$A:$A,product!$F:$F,,0)=0,"",_xlfn.XLOOKUP(D618,product!$A:$A,product!$F:$F,,0))</f>
        <v>No</v>
      </c>
      <c r="M618" t="str">
        <f>IF(_xlfn.XLOOKUP(D618,product!$A:$A,product!G:G,,0)=0,"",_xlfn.XLOOKUP(D618,product!$A:$A,product!G:G,,0))</f>
        <v>None</v>
      </c>
      <c r="N618" t="str">
        <f>IF(_xlfn.XLOOKUP(D618,product!$A:$A,product!$B:$B,,0)=0,"",_xlfn.XLOOKUP(D618,product!$A:$A,product!$B:$B,,0))</f>
        <v>Data Journey</v>
      </c>
    </row>
    <row r="619" spans="1:14" x14ac:dyDescent="0.35">
      <c r="A619" t="s">
        <v>758</v>
      </c>
      <c r="B619" s="3">
        <v>45453</v>
      </c>
      <c r="C619" t="s">
        <v>2201</v>
      </c>
      <c r="D619" t="s">
        <v>5976</v>
      </c>
      <c r="E619">
        <v>2</v>
      </c>
      <c r="F619" t="str">
        <f>_xlfn.XLOOKUP(C619,customers!$A$1:$A$983,customers!$B$1:$B$983,,0)</f>
        <v>Laura Johnson</v>
      </c>
      <c r="G619" t="str">
        <f>_xlfn.XLOOKUP(C619,customers!$A:$A,customers!$C:$C,,0)</f>
        <v>laura.johnson337@outlook.com</v>
      </c>
      <c r="H619" t="str">
        <f>IF(_xlfn.XLOOKUP(C619,customers!$A:$A,customers!$G:$G,,0)=0,"",_xlfn.XLOOKUP(C619,customers!$A:$A,customers!$G:$G,,0))</f>
        <v>Sweden</v>
      </c>
      <c r="I619" t="str">
        <f>IF(_xlfn.XLOOKUP(D619,product!$A:$A,product!$E:$E,,0)=0,"",_xlfn.XLOOKUP(D619,product!$A:$A,product!$E:$E,,0))</f>
        <v>TECH</v>
      </c>
      <c r="J619" s="5">
        <f>IF(_xlfn.XLOOKUP(D619,product!$A:$A,product!$D:$D,,0)=0,"",_xlfn.XLOOKUP(D619,product!$A:$A,product!$D:$D,,0))</f>
        <v>30.17</v>
      </c>
      <c r="K619" s="7">
        <f t="shared" si="9"/>
        <v>60.34</v>
      </c>
      <c r="L619" s="10" t="str">
        <f>IF(_xlfn.XLOOKUP(D619,product!$A:$A,product!$F:$F,,0)=0,"",_xlfn.XLOOKUP(D619,product!$A:$A,product!$F:$F,,0))</f>
        <v>Yes</v>
      </c>
      <c r="M619" t="str">
        <f>IF(_xlfn.XLOOKUP(D619,product!$A:$A,product!G:G,,0)=0,"",_xlfn.XLOOKUP(D619,product!$A:$A,product!G:G,,0))</f>
        <v>Silver</v>
      </c>
      <c r="N619" t="str">
        <f>IF(_xlfn.XLOOKUP(D619,product!$A:$A,product!$B:$B,,0)=0,"",_xlfn.XLOOKUP(D619,product!$A:$A,product!$B:$B,,0))</f>
        <v>Data Power</v>
      </c>
    </row>
    <row r="620" spans="1:14" x14ac:dyDescent="0.35">
      <c r="A620" t="s">
        <v>775</v>
      </c>
      <c r="B620" s="3">
        <v>45061</v>
      </c>
      <c r="C620" t="s">
        <v>1417</v>
      </c>
      <c r="D620" t="s">
        <v>5977</v>
      </c>
      <c r="E620">
        <v>2</v>
      </c>
      <c r="F620" t="str">
        <f>_xlfn.XLOOKUP(C620,customers!$A$1:$A$983,customers!$B$1:$B$983,,0)</f>
        <v>Sarah King</v>
      </c>
      <c r="G620" t="str">
        <f>_xlfn.XLOOKUP(C620,customers!$A:$A,customers!$C:$C,,0)</f>
        <v>sarah.king97@outlook.com</v>
      </c>
      <c r="H620" t="str">
        <f>IF(_xlfn.XLOOKUP(C620,customers!$A:$A,customers!$G:$G,,0)=0,"",_xlfn.XLOOKUP(C620,customers!$A:$A,customers!$G:$G,,0))</f>
        <v>Japan</v>
      </c>
      <c r="I620" t="str">
        <f>IF(_xlfn.XLOOKUP(D620,product!$A:$A,product!$E:$E,,0)=0,"",_xlfn.XLOOKUP(D620,product!$A:$A,product!$E:$E,,0))</f>
        <v>BUSINESS</v>
      </c>
      <c r="J620" s="5">
        <f>IF(_xlfn.XLOOKUP(D620,product!$A:$A,product!$D:$D,,0)=0,"",_xlfn.XLOOKUP(D620,product!$A:$A,product!$D:$D,,0))</f>
        <v>31.01</v>
      </c>
      <c r="K620" s="7">
        <f t="shared" si="9"/>
        <v>62.02</v>
      </c>
      <c r="L620" s="10" t="str">
        <f>IF(_xlfn.XLOOKUP(D620,product!$A:$A,product!$F:$F,,0)=0,"",_xlfn.XLOOKUP(D620,product!$A:$A,product!$F:$F,,0))</f>
        <v>No</v>
      </c>
      <c r="M620" t="str">
        <f>IF(_xlfn.XLOOKUP(D620,product!$A:$A,product!G:G,,0)=0,"",_xlfn.XLOOKUP(D620,product!$A:$A,product!G:G,,0))</f>
        <v>Silver</v>
      </c>
      <c r="N620" t="str">
        <f>IF(_xlfn.XLOOKUP(D620,product!$A:$A,product!$B:$B,,0)=0,"",_xlfn.XLOOKUP(D620,product!$A:$A,product!$B:$B,,0))</f>
        <v>Power Secrets</v>
      </c>
    </row>
    <row r="621" spans="1:14" x14ac:dyDescent="0.35">
      <c r="A621" t="s">
        <v>792</v>
      </c>
      <c r="B621" s="3">
        <v>45593</v>
      </c>
      <c r="C621" t="s">
        <v>3485</v>
      </c>
      <c r="D621" t="s">
        <v>5978</v>
      </c>
      <c r="E621">
        <v>2</v>
      </c>
      <c r="F621" t="str">
        <f>_xlfn.XLOOKUP(C621,customers!$A$1:$A$983,customers!$B$1:$B$983,,0)</f>
        <v>Grace Baker</v>
      </c>
      <c r="G621" t="str">
        <f>_xlfn.XLOOKUP(C621,customers!$A:$A,customers!$C:$C,,0)</f>
        <v>grace.baker957@gmail.com</v>
      </c>
      <c r="H621" t="str">
        <f>IF(_xlfn.XLOOKUP(C621,customers!$A:$A,customers!$G:$G,,0)=0,"",_xlfn.XLOOKUP(C621,customers!$A:$A,customers!$G:$G,,0))</f>
        <v>Singapore</v>
      </c>
      <c r="I621" t="str">
        <f>IF(_xlfn.XLOOKUP(D621,product!$A:$A,product!$E:$E,,0)=0,"",_xlfn.XLOOKUP(D621,product!$A:$A,product!$E:$E,,0))</f>
        <v>TECH</v>
      </c>
      <c r="J621" s="5">
        <f>IF(_xlfn.XLOOKUP(D621,product!$A:$A,product!$D:$D,,0)=0,"",_xlfn.XLOOKUP(D621,product!$A:$A,product!$D:$D,,0))</f>
        <v>21.71</v>
      </c>
      <c r="K621" s="7">
        <f t="shared" si="9"/>
        <v>43.42</v>
      </c>
      <c r="L621" s="10" t="str">
        <f>IF(_xlfn.XLOOKUP(D621,product!$A:$A,product!$F:$F,,0)=0,"",_xlfn.XLOOKUP(D621,product!$A:$A,product!$F:$F,,0))</f>
        <v>No</v>
      </c>
      <c r="M621" t="str">
        <f>IF(_xlfn.XLOOKUP(D621,product!$A:$A,product!G:G,,0)=0,"",_xlfn.XLOOKUP(D621,product!$A:$A,product!G:G,,0))</f>
        <v>None</v>
      </c>
      <c r="N621" t="str">
        <f>IF(_xlfn.XLOOKUP(D621,product!$A:$A,product!$B:$B,,0)=0,"",_xlfn.XLOOKUP(D621,product!$A:$A,product!$B:$B,,0))</f>
        <v>Quantum Future</v>
      </c>
    </row>
    <row r="622" spans="1:14" x14ac:dyDescent="0.35">
      <c r="A622" t="s">
        <v>809</v>
      </c>
      <c r="B622" s="3">
        <v>45136</v>
      </c>
      <c r="C622" t="s">
        <v>3196</v>
      </c>
      <c r="D622" t="s">
        <v>5979</v>
      </c>
      <c r="E622">
        <v>2</v>
      </c>
      <c r="F622" t="str">
        <f>_xlfn.XLOOKUP(C622,customers!$A$1:$A$983,customers!$B$1:$B$983,,0)</f>
        <v>Sophia Clark</v>
      </c>
      <c r="G622" t="str">
        <f>_xlfn.XLOOKUP(C622,customers!$A:$A,customers!$C:$C,,0)</f>
        <v>sophia.clark811@yahoo.com</v>
      </c>
      <c r="H622" t="str">
        <f>IF(_xlfn.XLOOKUP(C622,customers!$A:$A,customers!$G:$G,,0)=0,"",_xlfn.XLOOKUP(C622,customers!$A:$A,customers!$G:$G,,0))</f>
        <v>USA</v>
      </c>
      <c r="I622" t="str">
        <f>IF(_xlfn.XLOOKUP(D622,product!$A:$A,product!$E:$E,,0)=0,"",_xlfn.XLOOKUP(D622,product!$A:$A,product!$E:$E,,0))</f>
        <v>FICTION</v>
      </c>
      <c r="J622" s="5">
        <f>IF(_xlfn.XLOOKUP(D622,product!$A:$A,product!$D:$D,,0)=0,"",_xlfn.XLOOKUP(D622,product!$A:$A,product!$D:$D,,0))</f>
        <v>27.45</v>
      </c>
      <c r="K622" s="7">
        <f t="shared" si="9"/>
        <v>54.9</v>
      </c>
      <c r="L622" s="10" t="str">
        <f>IF(_xlfn.XLOOKUP(D622,product!$A:$A,product!$F:$F,,0)=0,"",_xlfn.XLOOKUP(D622,product!$A:$A,product!$F:$F,,0))</f>
        <v>Yes</v>
      </c>
      <c r="M622" t="str">
        <f>IF(_xlfn.XLOOKUP(D622,product!$A:$A,product!G:G,,0)=0,"",_xlfn.XLOOKUP(D622,product!$A:$A,product!G:G,,0))</f>
        <v>Gold</v>
      </c>
      <c r="N622" t="str">
        <f>IF(_xlfn.XLOOKUP(D622,product!$A:$A,product!$B:$B,,0)=0,"",_xlfn.XLOOKUP(D622,product!$A:$A,product!$B:$B,,0))</f>
        <v>Forest Silent</v>
      </c>
    </row>
    <row r="623" spans="1:14" x14ac:dyDescent="0.35">
      <c r="A623" t="s">
        <v>826</v>
      </c>
      <c r="B623" s="3">
        <v>45510</v>
      </c>
      <c r="C623" t="s">
        <v>3419</v>
      </c>
      <c r="D623" t="s">
        <v>5980</v>
      </c>
      <c r="E623">
        <v>2</v>
      </c>
      <c r="F623" t="str">
        <f>_xlfn.XLOOKUP(C623,customers!$A$1:$A$983,customers!$B$1:$B$983,,0)</f>
        <v>Sophia Martin</v>
      </c>
      <c r="G623" t="str">
        <f>_xlfn.XLOOKUP(C623,customers!$A:$A,customers!$C:$C,,0)</f>
        <v>sophia.martin924@yahoo.com</v>
      </c>
      <c r="H623" t="str">
        <f>IF(_xlfn.XLOOKUP(C623,customers!$A:$A,customers!$G:$G,,0)=0,"",_xlfn.XLOOKUP(C623,customers!$A:$A,customers!$G:$G,,0))</f>
        <v>Japan</v>
      </c>
      <c r="I623" t="str">
        <f>IF(_xlfn.XLOOKUP(D623,product!$A:$A,product!$E:$E,,0)=0,"",_xlfn.XLOOKUP(D623,product!$A:$A,product!$E:$E,,0))</f>
        <v>FICTION</v>
      </c>
      <c r="J623" s="5">
        <f>IF(_xlfn.XLOOKUP(D623,product!$A:$A,product!$D:$D,,0)=0,"",_xlfn.XLOOKUP(D623,product!$A:$A,product!$D:$D,,0))</f>
        <v>30.04</v>
      </c>
      <c r="K623" s="7">
        <f t="shared" si="9"/>
        <v>60.08</v>
      </c>
      <c r="L623" s="10" t="str">
        <f>IF(_xlfn.XLOOKUP(D623,product!$A:$A,product!$F:$F,,0)=0,"",_xlfn.XLOOKUP(D623,product!$A:$A,product!$F:$F,,0))</f>
        <v>No</v>
      </c>
      <c r="M623" t="str">
        <f>IF(_xlfn.XLOOKUP(D623,product!$A:$A,product!G:G,,0)=0,"",_xlfn.XLOOKUP(D623,product!$A:$A,product!G:G,,0))</f>
        <v>None</v>
      </c>
      <c r="N623" t="str">
        <f>IF(_xlfn.XLOOKUP(D623,product!$A:$A,product!$B:$B,,0)=0,"",_xlfn.XLOOKUP(D623,product!$A:$A,product!$B:$B,,0))</f>
        <v>Data Science</v>
      </c>
    </row>
    <row r="624" spans="1:14" x14ac:dyDescent="0.35">
      <c r="A624" t="s">
        <v>843</v>
      </c>
      <c r="B624" s="3">
        <v>44928</v>
      </c>
      <c r="C624" t="s">
        <v>2652</v>
      </c>
      <c r="D624" t="s">
        <v>5981</v>
      </c>
      <c r="E624">
        <v>2</v>
      </c>
      <c r="F624" t="str">
        <f>_xlfn.XLOOKUP(C624,customers!$A$1:$A$983,customers!$B$1:$B$983,,0)</f>
        <v>Edward Garcia</v>
      </c>
      <c r="G624" t="str">
        <f>_xlfn.XLOOKUP(C624,customers!$A:$A,customers!$C:$C,,0)</f>
        <v>edward.garcia545@yahoo.com</v>
      </c>
      <c r="H624" t="str">
        <f>IF(_xlfn.XLOOKUP(C624,customers!$A:$A,customers!$G:$G,,0)=0,"",_xlfn.XLOOKUP(C624,customers!$A:$A,customers!$G:$G,,0))</f>
        <v>Egypt</v>
      </c>
      <c r="I624" t="str">
        <f>IF(_xlfn.XLOOKUP(D624,product!$A:$A,product!$E:$E,,0)=0,"",_xlfn.XLOOKUP(D624,product!$A:$A,product!$E:$E,,0))</f>
        <v>HISTORY</v>
      </c>
      <c r="J624" s="5">
        <f>IF(_xlfn.XLOOKUP(D624,product!$A:$A,product!$D:$D,,0)=0,"",_xlfn.XLOOKUP(D624,product!$A:$A,product!$D:$D,,0))</f>
        <v>29.66</v>
      </c>
      <c r="K624" s="7">
        <f t="shared" si="9"/>
        <v>59.32</v>
      </c>
      <c r="L624" s="10" t="str">
        <f>IF(_xlfn.XLOOKUP(D624,product!$A:$A,product!$F:$F,,0)=0,"",_xlfn.XLOOKUP(D624,product!$A:$A,product!$F:$F,,0))</f>
        <v>No</v>
      </c>
      <c r="M624" t="str">
        <f>IF(_xlfn.XLOOKUP(D624,product!$A:$A,product!G:G,,0)=0,"",_xlfn.XLOOKUP(D624,product!$A:$A,product!G:G,,0))</f>
        <v>Silver</v>
      </c>
      <c r="N624" t="str">
        <f>IF(_xlfn.XLOOKUP(D624,product!$A:$A,product!$B:$B,,0)=0,"",_xlfn.XLOOKUP(D624,product!$A:$A,product!$B:$B,,0))</f>
        <v>Quantum Data</v>
      </c>
    </row>
    <row r="625" spans="1:14" x14ac:dyDescent="0.35">
      <c r="A625" t="s">
        <v>860</v>
      </c>
      <c r="B625" s="3">
        <v>45391</v>
      </c>
      <c r="C625" t="s">
        <v>2421</v>
      </c>
      <c r="D625" t="s">
        <v>5982</v>
      </c>
      <c r="E625">
        <v>2</v>
      </c>
      <c r="F625" t="str">
        <f>_xlfn.XLOOKUP(C625,customers!$A$1:$A$983,customers!$B$1:$B$983,,0)</f>
        <v>Ella Anderson</v>
      </c>
      <c r="G625" t="str">
        <f>_xlfn.XLOOKUP(C625,customers!$A:$A,customers!$C:$C,,0)</f>
        <v>ella.anderson434@outlook.com</v>
      </c>
      <c r="H625" t="str">
        <f>IF(_xlfn.XLOOKUP(C625,customers!$A:$A,customers!$G:$G,,0)=0,"",_xlfn.XLOOKUP(C625,customers!$A:$A,customers!$G:$G,,0))</f>
        <v>UAE</v>
      </c>
      <c r="I625" t="str">
        <f>IF(_xlfn.XLOOKUP(D625,product!$A:$A,product!$E:$E,,0)=0,"",_xlfn.XLOOKUP(D625,product!$A:$A,product!$E:$E,,0))</f>
        <v>HISTORY</v>
      </c>
      <c r="J625" s="5">
        <f>IF(_xlfn.XLOOKUP(D625,product!$A:$A,product!$D:$D,,0)=0,"",_xlfn.XLOOKUP(D625,product!$A:$A,product!$D:$D,,0))</f>
        <v>17</v>
      </c>
      <c r="K625" s="7">
        <f t="shared" si="9"/>
        <v>34</v>
      </c>
      <c r="L625" s="10" t="str">
        <f>IF(_xlfn.XLOOKUP(D625,product!$A:$A,product!$F:$F,,0)=0,"",_xlfn.XLOOKUP(D625,product!$A:$A,product!$F:$F,,0))</f>
        <v>No</v>
      </c>
      <c r="M625" t="str">
        <f>IF(_xlfn.XLOOKUP(D625,product!$A:$A,product!G:G,,0)=0,"",_xlfn.XLOOKUP(D625,product!$A:$A,product!G:G,,0))</f>
        <v>Gold</v>
      </c>
      <c r="N625" t="str">
        <f>IF(_xlfn.XLOOKUP(D625,product!$A:$A,product!$B:$B,,0)=0,"",_xlfn.XLOOKUP(D625,product!$A:$A,product!$B:$B,,0))</f>
        <v>Future Secrets</v>
      </c>
    </row>
    <row r="626" spans="1:14" x14ac:dyDescent="0.35">
      <c r="A626" t="s">
        <v>877</v>
      </c>
      <c r="B626" s="3">
        <v>45184</v>
      </c>
      <c r="C626" t="s">
        <v>1270</v>
      </c>
      <c r="D626" t="s">
        <v>5983</v>
      </c>
      <c r="E626">
        <v>2</v>
      </c>
      <c r="F626" t="str">
        <f>_xlfn.XLOOKUP(C626,customers!$A$1:$A$983,customers!$B$1:$B$983,,0)</f>
        <v>Anthony Hall</v>
      </c>
      <c r="G626" t="str">
        <f>_xlfn.XLOOKUP(C626,customers!$A:$A,customers!$C:$C,,0)</f>
        <v>anthony.hall57@gmail.com</v>
      </c>
      <c r="H626" t="str">
        <f>IF(_xlfn.XLOOKUP(C626,customers!$A:$A,customers!$G:$G,,0)=0,"",_xlfn.XLOOKUP(C626,customers!$A:$A,customers!$G:$G,,0))</f>
        <v>Japan</v>
      </c>
      <c r="I626" t="str">
        <f>IF(_xlfn.XLOOKUP(D626,product!$A:$A,product!$E:$E,,0)=0,"",_xlfn.XLOOKUP(D626,product!$A:$A,product!$E:$E,,0))</f>
        <v>TECH</v>
      </c>
      <c r="J626" s="5">
        <f>IF(_xlfn.XLOOKUP(D626,product!$A:$A,product!$D:$D,,0)=0,"",_xlfn.XLOOKUP(D626,product!$A:$A,product!$D:$D,,0))</f>
        <v>26.05</v>
      </c>
      <c r="K626" s="7">
        <f t="shared" si="9"/>
        <v>52.1</v>
      </c>
      <c r="L626" s="10" t="str">
        <f>IF(_xlfn.XLOOKUP(D626,product!$A:$A,product!$F:$F,,0)=0,"",_xlfn.XLOOKUP(D626,product!$A:$A,product!$F:$F,,0))</f>
        <v>Yes</v>
      </c>
      <c r="M626" t="str">
        <f>IF(_xlfn.XLOOKUP(D626,product!$A:$A,product!G:G,,0)=0,"",_xlfn.XLOOKUP(D626,product!$A:$A,product!G:G,,0))</f>
        <v>Silver</v>
      </c>
      <c r="N626" t="str">
        <f>IF(_xlfn.XLOOKUP(D626,product!$A:$A,product!$B:$B,,0)=0,"",_xlfn.XLOOKUP(D626,product!$A:$A,product!$B:$B,,0))</f>
        <v>Silent Quantum</v>
      </c>
    </row>
    <row r="627" spans="1:14" x14ac:dyDescent="0.35">
      <c r="A627" t="s">
        <v>894</v>
      </c>
      <c r="B627" s="3">
        <v>45651</v>
      </c>
      <c r="C627" t="s">
        <v>1143</v>
      </c>
      <c r="D627" t="s">
        <v>5984</v>
      </c>
      <c r="E627">
        <v>2</v>
      </c>
      <c r="F627" t="str">
        <f>_xlfn.XLOOKUP(C627,customers!$A$1:$A$983,customers!$B$1:$B$983,,0)</f>
        <v>Ella Taylor</v>
      </c>
      <c r="G627" t="str">
        <f>_xlfn.XLOOKUP(C627,customers!$A:$A,customers!$C:$C,,0)</f>
        <v>ella.taylor26@yahoo.com</v>
      </c>
      <c r="H627" t="str">
        <f>IF(_xlfn.XLOOKUP(C627,customers!$A:$A,customers!$G:$G,,0)=0,"",_xlfn.XLOOKUP(C627,customers!$A:$A,customers!$G:$G,,0))</f>
        <v>Spain</v>
      </c>
      <c r="I627" t="str">
        <f>IF(_xlfn.XLOOKUP(D627,product!$A:$A,product!$E:$E,,0)=0,"",_xlfn.XLOOKUP(D627,product!$A:$A,product!$E:$E,,0))</f>
        <v>TECH</v>
      </c>
      <c r="J627" s="5">
        <f>IF(_xlfn.XLOOKUP(D627,product!$A:$A,product!$D:$D,,0)=0,"",_xlfn.XLOOKUP(D627,product!$A:$A,product!$D:$D,,0))</f>
        <v>22.51</v>
      </c>
      <c r="K627" s="7">
        <f t="shared" si="9"/>
        <v>45.02</v>
      </c>
      <c r="L627" s="10" t="str">
        <f>IF(_xlfn.XLOOKUP(D627,product!$A:$A,product!$F:$F,,0)=0,"",_xlfn.XLOOKUP(D627,product!$A:$A,product!$F:$F,,0))</f>
        <v>No</v>
      </c>
      <c r="M627" t="str">
        <f>IF(_xlfn.XLOOKUP(D627,product!$A:$A,product!G:G,,0)=0,"",_xlfn.XLOOKUP(D627,product!$A:$A,product!G:G,,0))</f>
        <v>None</v>
      </c>
      <c r="N627" t="str">
        <f>IF(_xlfn.XLOOKUP(D627,product!$A:$A,product!$B:$B,,0)=0,"",_xlfn.XLOOKUP(D627,product!$A:$A,product!$B:$B,,0))</f>
        <v>Silent Secrets</v>
      </c>
    </row>
    <row r="628" spans="1:14" x14ac:dyDescent="0.35">
      <c r="A628" t="s">
        <v>911</v>
      </c>
      <c r="B628" s="3">
        <v>45009</v>
      </c>
      <c r="C628" t="s">
        <v>2985</v>
      </c>
      <c r="D628" t="s">
        <v>5985</v>
      </c>
      <c r="E628">
        <v>2</v>
      </c>
      <c r="F628" t="str">
        <f>_xlfn.XLOOKUP(C628,customers!$A$1:$A$983,customers!$B$1:$B$983,,0)</f>
        <v>Hannah Robinson</v>
      </c>
      <c r="G628" t="str">
        <f>_xlfn.XLOOKUP(C628,customers!$A:$A,customers!$C:$C,,0)</f>
        <v>hannah.robinson706@hotmail.com</v>
      </c>
      <c r="H628" t="str">
        <f>IF(_xlfn.XLOOKUP(C628,customers!$A:$A,customers!$G:$G,,0)=0,"",_xlfn.XLOOKUP(C628,customers!$A:$A,customers!$G:$G,,0))</f>
        <v>Sweden</v>
      </c>
      <c r="I628" t="str">
        <f>IF(_xlfn.XLOOKUP(D628,product!$A:$A,product!$E:$E,,0)=0,"",_xlfn.XLOOKUP(D628,product!$A:$A,product!$E:$E,,0))</f>
        <v>TECH</v>
      </c>
      <c r="J628" s="5">
        <f>IF(_xlfn.XLOOKUP(D628,product!$A:$A,product!$D:$D,,0)=0,"",_xlfn.XLOOKUP(D628,product!$A:$A,product!$D:$D,,0))</f>
        <v>11.19</v>
      </c>
      <c r="K628" s="7">
        <f t="shared" si="9"/>
        <v>22.38</v>
      </c>
      <c r="L628" s="10" t="str">
        <f>IF(_xlfn.XLOOKUP(D628,product!$A:$A,product!$F:$F,,0)=0,"",_xlfn.XLOOKUP(D628,product!$A:$A,product!$F:$F,,0))</f>
        <v>No</v>
      </c>
      <c r="M628" t="str">
        <f>IF(_xlfn.XLOOKUP(D628,product!$A:$A,product!G:G,,0)=0,"",_xlfn.XLOOKUP(D628,product!$A:$A,product!G:G,,0))</f>
        <v>None</v>
      </c>
      <c r="N628" t="str">
        <f>IF(_xlfn.XLOOKUP(D628,product!$A:$A,product!$B:$B,,0)=0,"",_xlfn.XLOOKUP(D628,product!$A:$A,product!$B:$B,,0))</f>
        <v>Secrets Quantum</v>
      </c>
    </row>
    <row r="629" spans="1:14" x14ac:dyDescent="0.35">
      <c r="A629" t="s">
        <v>928</v>
      </c>
      <c r="B629" s="3">
        <v>45351</v>
      </c>
      <c r="C629" t="s">
        <v>1195</v>
      </c>
      <c r="D629" t="s">
        <v>5986</v>
      </c>
      <c r="E629">
        <v>2</v>
      </c>
      <c r="F629" t="str">
        <f>_xlfn.XLOOKUP(C629,customers!$A$1:$A$983,customers!$B$1:$B$983,,0)</f>
        <v>John Wright</v>
      </c>
      <c r="G629" t="str">
        <f>_xlfn.XLOOKUP(C629,customers!$A:$A,customers!$C:$C,,0)</f>
        <v>john.wright38@yahoo.com</v>
      </c>
      <c r="H629" t="str">
        <f>IF(_xlfn.XLOOKUP(C629,customers!$A:$A,customers!$G:$G,,0)=0,"",_xlfn.XLOOKUP(C629,customers!$A:$A,customers!$G:$G,,0))</f>
        <v>Pakistan</v>
      </c>
      <c r="I629" t="str">
        <f>IF(_xlfn.XLOOKUP(D629,product!$A:$A,product!$E:$E,,0)=0,"",_xlfn.XLOOKUP(D629,product!$A:$A,product!$E:$E,,0))</f>
        <v>BUSINESS</v>
      </c>
      <c r="J629" s="5">
        <f>IF(_xlfn.XLOOKUP(D629,product!$A:$A,product!$D:$D,,0)=0,"",_xlfn.XLOOKUP(D629,product!$A:$A,product!$D:$D,,0))</f>
        <v>37.71</v>
      </c>
      <c r="K629" s="7">
        <f t="shared" si="9"/>
        <v>75.42</v>
      </c>
      <c r="L629" s="10" t="str">
        <f>IF(_xlfn.XLOOKUP(D629,product!$A:$A,product!$F:$F,,0)=0,"",_xlfn.XLOOKUP(D629,product!$A:$A,product!$F:$F,,0))</f>
        <v>No</v>
      </c>
      <c r="M629" t="str">
        <f>IF(_xlfn.XLOOKUP(D629,product!$A:$A,product!G:G,,0)=0,"",_xlfn.XLOOKUP(D629,product!$A:$A,product!G:G,,0))</f>
        <v>Gold</v>
      </c>
      <c r="N629" t="str">
        <f>IF(_xlfn.XLOOKUP(D629,product!$A:$A,product!$B:$B,,0)=0,"",_xlfn.XLOOKUP(D629,product!$A:$A,product!$B:$B,,0))</f>
        <v>Science Future</v>
      </c>
    </row>
    <row r="630" spans="1:14" x14ac:dyDescent="0.35">
      <c r="A630" t="s">
        <v>945</v>
      </c>
      <c r="B630" s="3">
        <v>45148</v>
      </c>
      <c r="C630" t="s">
        <v>2557</v>
      </c>
      <c r="D630" t="s">
        <v>5987</v>
      </c>
      <c r="E630">
        <v>2</v>
      </c>
      <c r="F630" t="str">
        <f>_xlfn.XLOOKUP(C630,customers!$A$1:$A$983,customers!$B$1:$B$983,,0)</f>
        <v>Emma Wright</v>
      </c>
      <c r="G630" t="str">
        <f>_xlfn.XLOOKUP(C630,customers!$A:$A,customers!$C:$C,,0)</f>
        <v>emma.wright499@hotmail.com</v>
      </c>
      <c r="H630" t="str">
        <f>IF(_xlfn.XLOOKUP(C630,customers!$A:$A,customers!$G:$G,,0)=0,"",_xlfn.XLOOKUP(C630,customers!$A:$A,customers!$G:$G,,0))</f>
        <v>Sweden</v>
      </c>
      <c r="I630" t="str">
        <f>IF(_xlfn.XLOOKUP(D630,product!$A:$A,product!$E:$E,,0)=0,"",_xlfn.XLOOKUP(D630,product!$A:$A,product!$E:$E,,0))</f>
        <v>TECH</v>
      </c>
      <c r="J630" s="5">
        <f>IF(_xlfn.XLOOKUP(D630,product!$A:$A,product!$D:$D,,0)=0,"",_xlfn.XLOOKUP(D630,product!$A:$A,product!$D:$D,,0))</f>
        <v>30.98</v>
      </c>
      <c r="K630" s="7">
        <f t="shared" si="9"/>
        <v>61.96</v>
      </c>
      <c r="L630" s="10" t="str">
        <f>IF(_xlfn.XLOOKUP(D630,product!$A:$A,product!$F:$F,,0)=0,"",_xlfn.XLOOKUP(D630,product!$A:$A,product!$F:$F,,0))</f>
        <v>No</v>
      </c>
      <c r="M630" t="str">
        <f>IF(_xlfn.XLOOKUP(D630,product!$A:$A,product!G:G,,0)=0,"",_xlfn.XLOOKUP(D630,product!$A:$A,product!G:G,,0))</f>
        <v>Silver</v>
      </c>
      <c r="N630" t="str">
        <f>IF(_xlfn.XLOOKUP(D630,product!$A:$A,product!$B:$B,,0)=0,"",_xlfn.XLOOKUP(D630,product!$A:$A,product!$B:$B,,0))</f>
        <v>Silent Quantum</v>
      </c>
    </row>
    <row r="631" spans="1:14" x14ac:dyDescent="0.35">
      <c r="A631" t="s">
        <v>962</v>
      </c>
      <c r="B631" s="3">
        <v>45418</v>
      </c>
      <c r="C631" t="s">
        <v>1821</v>
      </c>
      <c r="D631" t="s">
        <v>5988</v>
      </c>
      <c r="E631">
        <v>2</v>
      </c>
      <c r="F631" t="str">
        <f>_xlfn.XLOOKUP(C631,customers!$A$1:$A$983,customers!$B$1:$B$983,,0)</f>
        <v>John Martin</v>
      </c>
      <c r="G631" t="str">
        <f>_xlfn.XLOOKUP(C631,customers!$A:$A,customers!$C:$C,,0)</f>
        <v>john.martin205@yahoo.com</v>
      </c>
      <c r="H631" t="str">
        <f>IF(_xlfn.XLOOKUP(C631,customers!$A:$A,customers!$G:$G,,0)=0,"",_xlfn.XLOOKUP(C631,customers!$A:$A,customers!$G:$G,,0))</f>
        <v>Japan</v>
      </c>
      <c r="I631" t="str">
        <f>IF(_xlfn.XLOOKUP(D631,product!$A:$A,product!$E:$E,,0)=0,"",_xlfn.XLOOKUP(D631,product!$A:$A,product!$E:$E,,0))</f>
        <v>SCIENCE</v>
      </c>
      <c r="J631" s="5">
        <f>IF(_xlfn.XLOOKUP(D631,product!$A:$A,product!$D:$D,,0)=0,"",_xlfn.XLOOKUP(D631,product!$A:$A,product!$D:$D,,0))</f>
        <v>19.149999999999999</v>
      </c>
      <c r="K631" s="7">
        <f t="shared" si="9"/>
        <v>38.299999999999997</v>
      </c>
      <c r="L631" s="10" t="str">
        <f>IF(_xlfn.XLOOKUP(D631,product!$A:$A,product!$F:$F,,0)=0,"",_xlfn.XLOOKUP(D631,product!$A:$A,product!$F:$F,,0))</f>
        <v>Yes</v>
      </c>
      <c r="M631" t="str">
        <f>IF(_xlfn.XLOOKUP(D631,product!$A:$A,product!G:G,,0)=0,"",_xlfn.XLOOKUP(D631,product!$A:$A,product!G:G,,0))</f>
        <v>Silver</v>
      </c>
      <c r="N631" t="str">
        <f>IF(_xlfn.XLOOKUP(D631,product!$A:$A,product!$B:$B,,0)=0,"",_xlfn.XLOOKUP(D631,product!$A:$A,product!$B:$B,,0))</f>
        <v>Science Data</v>
      </c>
    </row>
    <row r="632" spans="1:14" x14ac:dyDescent="0.35">
      <c r="A632" t="s">
        <v>979</v>
      </c>
      <c r="B632" s="3">
        <v>45254</v>
      </c>
      <c r="C632" t="s">
        <v>1768</v>
      </c>
      <c r="D632" t="s">
        <v>5989</v>
      </c>
      <c r="E632">
        <v>2</v>
      </c>
      <c r="F632" t="str">
        <f>_xlfn.XLOOKUP(C632,customers!$A$1:$A$983,customers!$B$1:$B$983,,0)</f>
        <v>James Green</v>
      </c>
      <c r="G632" t="str">
        <f>_xlfn.XLOOKUP(C632,customers!$A:$A,customers!$C:$C,,0)</f>
        <v>james.green189@gmail.com</v>
      </c>
      <c r="H632" t="str">
        <f>IF(_xlfn.XLOOKUP(C632,customers!$A:$A,customers!$G:$G,,0)=0,"",_xlfn.XLOOKUP(C632,customers!$A:$A,customers!$G:$G,,0))</f>
        <v>Germany</v>
      </c>
      <c r="I632" t="str">
        <f>IF(_xlfn.XLOOKUP(D632,product!$A:$A,product!$E:$E,,0)=0,"",_xlfn.XLOOKUP(D632,product!$A:$A,product!$E:$E,,0))</f>
        <v>FICTION</v>
      </c>
      <c r="J632" s="5">
        <f>IF(_xlfn.XLOOKUP(D632,product!$A:$A,product!$D:$D,,0)=0,"",_xlfn.XLOOKUP(D632,product!$A:$A,product!$D:$D,,0))</f>
        <v>11.66</v>
      </c>
      <c r="K632" s="7">
        <f t="shared" si="9"/>
        <v>23.32</v>
      </c>
      <c r="L632" s="10" t="str">
        <f>IF(_xlfn.XLOOKUP(D632,product!$A:$A,product!$F:$F,,0)=0,"",_xlfn.XLOOKUP(D632,product!$A:$A,product!$F:$F,,0))</f>
        <v>No</v>
      </c>
      <c r="M632" t="str">
        <f>IF(_xlfn.XLOOKUP(D632,product!$A:$A,product!G:G,,0)=0,"",_xlfn.XLOOKUP(D632,product!$A:$A,product!G:G,,0))</f>
        <v>Silver</v>
      </c>
      <c r="N632" t="str">
        <f>IF(_xlfn.XLOOKUP(D632,product!$A:$A,product!$B:$B,,0)=0,"",_xlfn.XLOOKUP(D632,product!$A:$A,product!$B:$B,,0))</f>
        <v>Future Data</v>
      </c>
    </row>
    <row r="633" spans="1:14" x14ac:dyDescent="0.35">
      <c r="A633" t="s">
        <v>996</v>
      </c>
      <c r="B633" s="3">
        <v>45498</v>
      </c>
      <c r="C633" t="s">
        <v>1886</v>
      </c>
      <c r="D633" t="s">
        <v>5991</v>
      </c>
      <c r="E633">
        <v>2</v>
      </c>
      <c r="F633" t="str">
        <f>_xlfn.XLOOKUP(C633,customers!$A$1:$A$983,customers!$B$1:$B$983,,0)</f>
        <v>Olivia Taylor</v>
      </c>
      <c r="G633" t="str">
        <f>_xlfn.XLOOKUP(C633,customers!$A:$A,customers!$C:$C,,0)</f>
        <v>olivia.taylor225@yahoo.com</v>
      </c>
      <c r="H633" t="str">
        <f>IF(_xlfn.XLOOKUP(C633,customers!$A:$A,customers!$G:$G,,0)=0,"",_xlfn.XLOOKUP(C633,customers!$A:$A,customers!$G:$G,,0))</f>
        <v>Germany</v>
      </c>
      <c r="I633" t="str">
        <f>IF(_xlfn.XLOOKUP(D633,product!$A:$A,product!$E:$E,,0)=0,"",_xlfn.XLOOKUP(D633,product!$A:$A,product!$E:$E,,0))</f>
        <v>TECH</v>
      </c>
      <c r="J633" s="5">
        <f>IF(_xlfn.XLOOKUP(D633,product!$A:$A,product!$D:$D,,0)=0,"",_xlfn.XLOOKUP(D633,product!$A:$A,product!$D:$D,,0))</f>
        <v>10.77</v>
      </c>
      <c r="K633" s="7">
        <f t="shared" si="9"/>
        <v>21.54</v>
      </c>
      <c r="L633" s="10" t="str">
        <f>IF(_xlfn.XLOOKUP(D633,product!$A:$A,product!$F:$F,,0)=0,"",_xlfn.XLOOKUP(D633,product!$A:$A,product!$F:$F,,0))</f>
        <v>No</v>
      </c>
      <c r="M633" t="str">
        <f>IF(_xlfn.XLOOKUP(D633,product!$A:$A,product!G:G,,0)=0,"",_xlfn.XLOOKUP(D633,product!$A:$A,product!G:G,,0))</f>
        <v>Silver</v>
      </c>
      <c r="N633" t="str">
        <f>IF(_xlfn.XLOOKUP(D633,product!$A:$A,product!$B:$B,,0)=0,"",_xlfn.XLOOKUP(D633,product!$A:$A,product!$B:$B,,0))</f>
        <v>Future Silent</v>
      </c>
    </row>
    <row r="634" spans="1:14" x14ac:dyDescent="0.35">
      <c r="A634" t="s">
        <v>1013</v>
      </c>
      <c r="B634" s="3">
        <v>45100</v>
      </c>
      <c r="C634" t="s">
        <v>3097</v>
      </c>
      <c r="D634" t="s">
        <v>5992</v>
      </c>
      <c r="E634">
        <v>2</v>
      </c>
      <c r="F634" t="str">
        <f>_xlfn.XLOOKUP(C634,customers!$A$1:$A$983,customers!$B$1:$B$983,,0)</f>
        <v>Ella Harris</v>
      </c>
      <c r="G634" t="str">
        <f>_xlfn.XLOOKUP(C634,customers!$A:$A,customers!$C:$C,,0)</f>
        <v>ella.harris761@outlook.com</v>
      </c>
      <c r="H634" t="str">
        <f>IF(_xlfn.XLOOKUP(C634,customers!$A:$A,customers!$G:$G,,0)=0,"",_xlfn.XLOOKUP(C634,customers!$A:$A,customers!$G:$G,,0))</f>
        <v>Egypt</v>
      </c>
      <c r="I634" t="str">
        <f>IF(_xlfn.XLOOKUP(D634,product!$A:$A,product!$E:$E,,0)=0,"",_xlfn.XLOOKUP(D634,product!$A:$A,product!$E:$E,,0))</f>
        <v>FICTION</v>
      </c>
      <c r="J634" s="5">
        <f>IF(_xlfn.XLOOKUP(D634,product!$A:$A,product!$D:$D,,0)=0,"",_xlfn.XLOOKUP(D634,product!$A:$A,product!$D:$D,,0))</f>
        <v>15.42</v>
      </c>
      <c r="K634" s="7">
        <f t="shared" si="9"/>
        <v>30.84</v>
      </c>
      <c r="L634" s="10" t="str">
        <f>IF(_xlfn.XLOOKUP(D634,product!$A:$A,product!$F:$F,,0)=0,"",_xlfn.XLOOKUP(D634,product!$A:$A,product!$F:$F,,0))</f>
        <v>No</v>
      </c>
      <c r="M634" t="str">
        <f>IF(_xlfn.XLOOKUP(D634,product!$A:$A,product!G:G,,0)=0,"",_xlfn.XLOOKUP(D634,product!$A:$A,product!G:G,,0))</f>
        <v>Gold</v>
      </c>
      <c r="N634" t="str">
        <f>IF(_xlfn.XLOOKUP(D634,product!$A:$A,product!$B:$B,,0)=0,"",_xlfn.XLOOKUP(D634,product!$A:$A,product!$B:$B,,0))</f>
        <v>Power Journey</v>
      </c>
    </row>
    <row r="635" spans="1:14" x14ac:dyDescent="0.35">
      <c r="A635" t="s">
        <v>1030</v>
      </c>
      <c r="B635" s="3">
        <v>45546</v>
      </c>
      <c r="C635" t="s">
        <v>2173</v>
      </c>
      <c r="D635" t="s">
        <v>5993</v>
      </c>
      <c r="E635">
        <v>2</v>
      </c>
      <c r="F635" t="str">
        <f>_xlfn.XLOOKUP(C635,customers!$A$1:$A$983,customers!$B$1:$B$983,,0)</f>
        <v>David King</v>
      </c>
      <c r="G635" t="str">
        <f>_xlfn.XLOOKUP(C635,customers!$A:$A,customers!$C:$C,,0)</f>
        <v>david.king325@outlook.com</v>
      </c>
      <c r="H635" t="str">
        <f>IF(_xlfn.XLOOKUP(C635,customers!$A:$A,customers!$G:$G,,0)=0,"",_xlfn.XLOOKUP(C635,customers!$A:$A,customers!$G:$G,,0))</f>
        <v>USA</v>
      </c>
      <c r="I635" t="str">
        <f>IF(_xlfn.XLOOKUP(D635,product!$A:$A,product!$E:$E,,0)=0,"",_xlfn.XLOOKUP(D635,product!$A:$A,product!$E:$E,,0))</f>
        <v>BUSINESS</v>
      </c>
      <c r="J635" s="5">
        <f>IF(_xlfn.XLOOKUP(D635,product!$A:$A,product!$D:$D,,0)=0,"",_xlfn.XLOOKUP(D635,product!$A:$A,product!$D:$D,,0))</f>
        <v>29.34</v>
      </c>
      <c r="K635" s="7">
        <f t="shared" si="9"/>
        <v>58.68</v>
      </c>
      <c r="L635" s="10" t="str">
        <f>IF(_xlfn.XLOOKUP(D635,product!$A:$A,product!$F:$F,,0)=0,"",_xlfn.XLOOKUP(D635,product!$A:$A,product!$F:$F,,0))</f>
        <v>Yes</v>
      </c>
      <c r="M635" t="str">
        <f>IF(_xlfn.XLOOKUP(D635,product!$A:$A,product!G:G,,0)=0,"",_xlfn.XLOOKUP(D635,product!$A:$A,product!G:G,,0))</f>
        <v>None</v>
      </c>
      <c r="N635" t="str">
        <f>IF(_xlfn.XLOOKUP(D635,product!$A:$A,product!$B:$B,,0)=0,"",_xlfn.XLOOKUP(D635,product!$A:$A,product!$B:$B,,0))</f>
        <v>Journey Mind</v>
      </c>
    </row>
    <row r="636" spans="1:14" x14ac:dyDescent="0.35">
      <c r="A636" t="s">
        <v>1047</v>
      </c>
      <c r="B636" s="3">
        <v>45034</v>
      </c>
      <c r="C636" t="s">
        <v>3060</v>
      </c>
      <c r="D636" t="s">
        <v>5994</v>
      </c>
      <c r="E636">
        <v>2</v>
      </c>
      <c r="F636" t="str">
        <f>_xlfn.XLOOKUP(C636,customers!$A$1:$A$983,customers!$B$1:$B$983,,0)</f>
        <v>Emma Lewis</v>
      </c>
      <c r="G636" t="str">
        <f>_xlfn.XLOOKUP(C636,customers!$A:$A,customers!$C:$C,,0)</f>
        <v>emma.lewis742@outlook.com</v>
      </c>
      <c r="H636" t="str">
        <f>IF(_xlfn.XLOOKUP(C636,customers!$A:$A,customers!$G:$G,,0)=0,"",_xlfn.XLOOKUP(C636,customers!$A:$A,customers!$G:$G,,0))</f>
        <v>Sweden</v>
      </c>
      <c r="I636" t="str">
        <f>IF(_xlfn.XLOOKUP(D636,product!$A:$A,product!$E:$E,,0)=0,"",_xlfn.XLOOKUP(D636,product!$A:$A,product!$E:$E,,0))</f>
        <v>FICTION</v>
      </c>
      <c r="J636" s="5">
        <f>IF(_xlfn.XLOOKUP(D636,product!$A:$A,product!$D:$D,,0)=0,"",_xlfn.XLOOKUP(D636,product!$A:$A,product!$D:$D,,0))</f>
        <v>23.12</v>
      </c>
      <c r="K636" s="7">
        <f t="shared" si="9"/>
        <v>46.24</v>
      </c>
      <c r="L636" s="10" t="str">
        <f>IF(_xlfn.XLOOKUP(D636,product!$A:$A,product!$F:$F,,0)=0,"",_xlfn.XLOOKUP(D636,product!$A:$A,product!$F:$F,,0))</f>
        <v>No</v>
      </c>
      <c r="M636" t="str">
        <f>IF(_xlfn.XLOOKUP(D636,product!$A:$A,product!G:G,,0)=0,"",_xlfn.XLOOKUP(D636,product!$A:$A,product!G:G,,0))</f>
        <v>None</v>
      </c>
      <c r="N636" t="str">
        <f>IF(_xlfn.XLOOKUP(D636,product!$A:$A,product!$B:$B,,0)=0,"",_xlfn.XLOOKUP(D636,product!$A:$A,product!$B:$B,,0))</f>
        <v>Secrets Forest</v>
      </c>
    </row>
    <row r="637" spans="1:14" x14ac:dyDescent="0.35">
      <c r="A637" t="s">
        <v>26</v>
      </c>
      <c r="B637" s="3">
        <v>45300</v>
      </c>
      <c r="C637" t="s">
        <v>2874</v>
      </c>
      <c r="D637" t="s">
        <v>5995</v>
      </c>
      <c r="E637">
        <v>4</v>
      </c>
      <c r="F637" t="str">
        <f>_xlfn.XLOOKUP(C637,customers!$A$1:$A$983,customers!$B$1:$B$983,,0)</f>
        <v>Lucy Martinez</v>
      </c>
      <c r="G637" t="str">
        <f>_xlfn.XLOOKUP(C637,customers!$A:$A,customers!$C:$C,,0)</f>
        <v>lucy.martinez652@yahoo.com</v>
      </c>
      <c r="H637" t="str">
        <f>IF(_xlfn.XLOOKUP(C637,customers!$A:$A,customers!$G:$G,,0)=0,"",_xlfn.XLOOKUP(C637,customers!$A:$A,customers!$G:$G,,0))</f>
        <v>Sweden</v>
      </c>
      <c r="I637" t="str">
        <f>IF(_xlfn.XLOOKUP(D637,product!$A:$A,product!$E:$E,,0)=0,"",_xlfn.XLOOKUP(D637,product!$A:$A,product!$E:$E,,0))</f>
        <v>TECH</v>
      </c>
      <c r="J637" s="5">
        <f>IF(_xlfn.XLOOKUP(D637,product!$A:$A,product!$D:$D,,0)=0,"",_xlfn.XLOOKUP(D637,product!$A:$A,product!$D:$D,,0))</f>
        <v>13.89</v>
      </c>
      <c r="K637" s="7">
        <f t="shared" si="9"/>
        <v>55.56</v>
      </c>
      <c r="L637" s="10" t="str">
        <f>IF(_xlfn.XLOOKUP(D637,product!$A:$A,product!$F:$F,,0)=0,"",_xlfn.XLOOKUP(D637,product!$A:$A,product!$F:$F,,0))</f>
        <v>No</v>
      </c>
      <c r="M637" t="str">
        <f>IF(_xlfn.XLOOKUP(D637,product!$A:$A,product!G:G,,0)=0,"",_xlfn.XLOOKUP(D637,product!$A:$A,product!G:G,,0))</f>
        <v>None</v>
      </c>
      <c r="N637" t="str">
        <f>IF(_xlfn.XLOOKUP(D637,product!$A:$A,product!$B:$B,,0)=0,"",_xlfn.XLOOKUP(D637,product!$A:$A,product!$B:$B,,0))</f>
        <v>Journey Forest</v>
      </c>
    </row>
    <row r="638" spans="1:14" x14ac:dyDescent="0.35">
      <c r="A638" t="s">
        <v>43</v>
      </c>
      <c r="B638" s="3">
        <v>45218</v>
      </c>
      <c r="C638" t="s">
        <v>3062</v>
      </c>
      <c r="D638" t="s">
        <v>5996</v>
      </c>
      <c r="E638">
        <v>3</v>
      </c>
      <c r="F638" t="str">
        <f>_xlfn.XLOOKUP(C638,customers!$A$1:$A$983,customers!$B$1:$B$983,,0)</f>
        <v>Paul Robinson</v>
      </c>
      <c r="G638" t="str">
        <f>_xlfn.XLOOKUP(C638,customers!$A:$A,customers!$C:$C,,0)</f>
        <v>paul.robinson743@hotmail.com</v>
      </c>
      <c r="H638" t="str">
        <f>IF(_xlfn.XLOOKUP(C638,customers!$A:$A,customers!$G:$G,,0)=0,"",_xlfn.XLOOKUP(C638,customers!$A:$A,customers!$G:$G,,0))</f>
        <v>Egypt</v>
      </c>
      <c r="I638" t="str">
        <f>IF(_xlfn.XLOOKUP(D638,product!$A:$A,product!$E:$E,,0)=0,"",_xlfn.XLOOKUP(D638,product!$A:$A,product!$E:$E,,0))</f>
        <v>HISTORY</v>
      </c>
      <c r="J638" s="5">
        <f>IF(_xlfn.XLOOKUP(D638,product!$A:$A,product!$D:$D,,0)=0,"",_xlfn.XLOOKUP(D638,product!$A:$A,product!$D:$D,,0))</f>
        <v>26.73</v>
      </c>
      <c r="K638" s="7">
        <f t="shared" si="9"/>
        <v>80.19</v>
      </c>
      <c r="L638" s="10" t="str">
        <f>IF(_xlfn.XLOOKUP(D638,product!$A:$A,product!$F:$F,,0)=0,"",_xlfn.XLOOKUP(D638,product!$A:$A,product!$F:$F,,0))</f>
        <v>No</v>
      </c>
      <c r="M638" t="str">
        <f>IF(_xlfn.XLOOKUP(D638,product!$A:$A,product!G:G,,0)=0,"",_xlfn.XLOOKUP(D638,product!$A:$A,product!G:G,,0))</f>
        <v>None</v>
      </c>
      <c r="N638" t="str">
        <f>IF(_xlfn.XLOOKUP(D638,product!$A:$A,product!$B:$B,,0)=0,"",_xlfn.XLOOKUP(D638,product!$A:$A,product!$B:$B,,0))</f>
        <v>Silent Power</v>
      </c>
    </row>
    <row r="639" spans="1:14" x14ac:dyDescent="0.35">
      <c r="A639" t="s">
        <v>60</v>
      </c>
      <c r="B639" s="3">
        <v>45598</v>
      </c>
      <c r="C639" t="s">
        <v>2135</v>
      </c>
      <c r="D639" t="s">
        <v>5997</v>
      </c>
      <c r="E639">
        <v>2</v>
      </c>
      <c r="F639" t="str">
        <f>_xlfn.XLOOKUP(C639,customers!$A$1:$A$983,customers!$B$1:$B$983,,0)</f>
        <v>James Johnson</v>
      </c>
      <c r="G639" t="str">
        <f>_xlfn.XLOOKUP(C639,customers!$A:$A,customers!$C:$C,,0)</f>
        <v>james.johnson309@outlook.com</v>
      </c>
      <c r="H639" t="str">
        <f>IF(_xlfn.XLOOKUP(C639,customers!$A:$A,customers!$G:$G,,0)=0,"",_xlfn.XLOOKUP(C639,customers!$A:$A,customers!$G:$G,,0))</f>
        <v>Japan</v>
      </c>
      <c r="I639" t="str">
        <f>IF(_xlfn.XLOOKUP(D639,product!$A:$A,product!$E:$E,,0)=0,"",_xlfn.XLOOKUP(D639,product!$A:$A,product!$E:$E,,0))</f>
        <v>HISTORY</v>
      </c>
      <c r="J639" s="5">
        <f>IF(_xlfn.XLOOKUP(D639,product!$A:$A,product!$D:$D,,0)=0,"",_xlfn.XLOOKUP(D639,product!$A:$A,product!$D:$D,,0))</f>
        <v>28.07</v>
      </c>
      <c r="K639" s="7">
        <f t="shared" si="9"/>
        <v>56.14</v>
      </c>
      <c r="L639" s="10" t="str">
        <f>IF(_xlfn.XLOOKUP(D639,product!$A:$A,product!$F:$F,,0)=0,"",_xlfn.XLOOKUP(D639,product!$A:$A,product!$F:$F,,0))</f>
        <v>Yes</v>
      </c>
      <c r="M639" t="str">
        <f>IF(_xlfn.XLOOKUP(D639,product!$A:$A,product!G:G,,0)=0,"",_xlfn.XLOOKUP(D639,product!$A:$A,product!G:G,,0))</f>
        <v>Silver</v>
      </c>
      <c r="N639" t="str">
        <f>IF(_xlfn.XLOOKUP(D639,product!$A:$A,product!$B:$B,,0)=0,"",_xlfn.XLOOKUP(D639,product!$A:$A,product!$B:$B,,0))</f>
        <v>Journey Data</v>
      </c>
    </row>
    <row r="640" spans="1:14" x14ac:dyDescent="0.35">
      <c r="A640" t="s">
        <v>147</v>
      </c>
      <c r="B640" s="3">
        <v>45291</v>
      </c>
      <c r="C640" t="s">
        <v>2606</v>
      </c>
      <c r="D640" t="s">
        <v>5998</v>
      </c>
      <c r="E640">
        <v>2</v>
      </c>
      <c r="F640" t="str">
        <f>_xlfn.XLOOKUP(C640,customers!$A$1:$A$983,customers!$B$1:$B$983,,0)</f>
        <v>Lucy Harris</v>
      </c>
      <c r="G640" t="str">
        <f>_xlfn.XLOOKUP(C640,customers!$A:$A,customers!$C:$C,,0)</f>
        <v>lucy.harris523@hotmail.com</v>
      </c>
      <c r="H640" t="str">
        <f>IF(_xlfn.XLOOKUP(C640,customers!$A:$A,customers!$G:$G,,0)=0,"",_xlfn.XLOOKUP(C640,customers!$A:$A,customers!$G:$G,,0))</f>
        <v>USA</v>
      </c>
      <c r="I640" t="str">
        <f>IF(_xlfn.XLOOKUP(D640,product!$A:$A,product!$E:$E,,0)=0,"",_xlfn.XLOOKUP(D640,product!$A:$A,product!$E:$E,,0))</f>
        <v>TECH</v>
      </c>
      <c r="J640" s="5">
        <f>IF(_xlfn.XLOOKUP(D640,product!$A:$A,product!$D:$D,,0)=0,"",_xlfn.XLOOKUP(D640,product!$A:$A,product!$D:$D,,0))</f>
        <v>14.94</v>
      </c>
      <c r="K640" s="7">
        <f t="shared" si="9"/>
        <v>29.88</v>
      </c>
      <c r="L640" s="10" t="str">
        <f>IF(_xlfn.XLOOKUP(D640,product!$A:$A,product!$F:$F,,0)=0,"",_xlfn.XLOOKUP(D640,product!$A:$A,product!$F:$F,,0))</f>
        <v>No</v>
      </c>
      <c r="M640" t="str">
        <f>IF(_xlfn.XLOOKUP(D640,product!$A:$A,product!G:G,,0)=0,"",_xlfn.XLOOKUP(D640,product!$A:$A,product!G:G,,0))</f>
        <v>Silver</v>
      </c>
      <c r="N640" t="str">
        <f>IF(_xlfn.XLOOKUP(D640,product!$A:$A,product!$B:$B,,0)=0,"",_xlfn.XLOOKUP(D640,product!$A:$A,product!$B:$B,,0))</f>
        <v>Quantum Science</v>
      </c>
    </row>
    <row r="641" spans="1:14" x14ac:dyDescent="0.35">
      <c r="A641" t="s">
        <v>164</v>
      </c>
      <c r="B641" s="3">
        <v>45352</v>
      </c>
      <c r="C641" t="s">
        <v>2505</v>
      </c>
      <c r="D641" t="s">
        <v>5999</v>
      </c>
      <c r="E641">
        <v>3</v>
      </c>
      <c r="F641" t="str">
        <f>_xlfn.XLOOKUP(C641,customers!$A$1:$A$983,customers!$B$1:$B$983,,0)</f>
        <v>Sarah Allen</v>
      </c>
      <c r="G641" t="str">
        <f>_xlfn.XLOOKUP(C641,customers!$A:$A,customers!$C:$C,,0)</f>
        <v>sarah.allen474@hotmail.com</v>
      </c>
      <c r="H641" t="str">
        <f>IF(_xlfn.XLOOKUP(C641,customers!$A:$A,customers!$G:$G,,0)=0,"",_xlfn.XLOOKUP(C641,customers!$A:$A,customers!$G:$G,,0))</f>
        <v>Spain</v>
      </c>
      <c r="I641" t="str">
        <f>IF(_xlfn.XLOOKUP(D641,product!$A:$A,product!$E:$E,,0)=0,"",_xlfn.XLOOKUP(D641,product!$A:$A,product!$E:$E,,0))</f>
        <v>BUSINESS</v>
      </c>
      <c r="J641" s="5">
        <f>IF(_xlfn.XLOOKUP(D641,product!$A:$A,product!$D:$D,,0)=0,"",_xlfn.XLOOKUP(D641,product!$A:$A,product!$D:$D,,0))</f>
        <v>12.42</v>
      </c>
      <c r="K641" s="7">
        <f t="shared" si="9"/>
        <v>37.26</v>
      </c>
      <c r="L641" s="10" t="str">
        <f>IF(_xlfn.XLOOKUP(D641,product!$A:$A,product!$F:$F,,0)=0,"",_xlfn.XLOOKUP(D641,product!$A:$A,product!$F:$F,,0))</f>
        <v>Yes</v>
      </c>
      <c r="M641" t="str">
        <f>IF(_xlfn.XLOOKUP(D641,product!$A:$A,product!G:G,,0)=0,"",_xlfn.XLOOKUP(D641,product!$A:$A,product!G:G,,0))</f>
        <v>None</v>
      </c>
      <c r="N641" t="str">
        <f>IF(_xlfn.XLOOKUP(D641,product!$A:$A,product!$B:$B,,0)=0,"",_xlfn.XLOOKUP(D641,product!$A:$A,product!$B:$B,,0))</f>
        <v>Silent Forest</v>
      </c>
    </row>
    <row r="642" spans="1:14" x14ac:dyDescent="0.35">
      <c r="A642" t="s">
        <v>181</v>
      </c>
      <c r="B642" s="3">
        <v>44972</v>
      </c>
      <c r="C642" t="s">
        <v>3493</v>
      </c>
      <c r="D642" t="s">
        <v>6000</v>
      </c>
      <c r="E642">
        <v>3</v>
      </c>
      <c r="F642" t="str">
        <f>_xlfn.XLOOKUP(C642,customers!$A$1:$A$983,customers!$B$1:$B$983,,0)</f>
        <v>Jessica Adams</v>
      </c>
      <c r="G642" t="str">
        <f>_xlfn.XLOOKUP(C642,customers!$A:$A,customers!$C:$C,,0)</f>
        <v>jessica.adams961@gmail.com</v>
      </c>
      <c r="H642" t="str">
        <f>IF(_xlfn.XLOOKUP(C642,customers!$A:$A,customers!$G:$G,,0)=0,"",_xlfn.XLOOKUP(C642,customers!$A:$A,customers!$G:$G,,0))</f>
        <v>Sweden</v>
      </c>
      <c r="I642" t="str">
        <f>IF(_xlfn.XLOOKUP(D642,product!$A:$A,product!$E:$E,,0)=0,"",_xlfn.XLOOKUP(D642,product!$A:$A,product!$E:$E,,0))</f>
        <v>SCIENCE</v>
      </c>
      <c r="J642" s="5">
        <f>IF(_xlfn.XLOOKUP(D642,product!$A:$A,product!$D:$D,,0)=0,"",_xlfn.XLOOKUP(D642,product!$A:$A,product!$D:$D,,0))</f>
        <v>16.239999999999998</v>
      </c>
      <c r="K642" s="7">
        <f t="shared" si="9"/>
        <v>48.72</v>
      </c>
      <c r="L642" s="10" t="str">
        <f>IF(_xlfn.XLOOKUP(D642,product!$A:$A,product!$F:$F,,0)=0,"",_xlfn.XLOOKUP(D642,product!$A:$A,product!$F:$F,,0))</f>
        <v>Yes</v>
      </c>
      <c r="M642" t="str">
        <f>IF(_xlfn.XLOOKUP(D642,product!$A:$A,product!G:G,,0)=0,"",_xlfn.XLOOKUP(D642,product!$A:$A,product!G:G,,0))</f>
        <v>Gold</v>
      </c>
      <c r="N642" t="str">
        <f>IF(_xlfn.XLOOKUP(D642,product!$A:$A,product!$B:$B,,0)=0,"",_xlfn.XLOOKUP(D642,product!$A:$A,product!$B:$B,,0))</f>
        <v>Future Quantum</v>
      </c>
    </row>
    <row r="643" spans="1:14" x14ac:dyDescent="0.35">
      <c r="A643" t="s">
        <v>198</v>
      </c>
      <c r="B643" s="3">
        <v>45469</v>
      </c>
      <c r="C643" t="s">
        <v>2447</v>
      </c>
      <c r="D643" t="s">
        <v>6001</v>
      </c>
      <c r="E643">
        <v>3</v>
      </c>
      <c r="F643" t="str">
        <f>_xlfn.XLOOKUP(C643,customers!$A$1:$A$983,customers!$B$1:$B$983,,0)</f>
        <v>Ava Thompson</v>
      </c>
      <c r="G643" t="str">
        <f>_xlfn.XLOOKUP(C643,customers!$A:$A,customers!$C:$C,,0)</f>
        <v>ava.thompson446@outlook.com</v>
      </c>
      <c r="H643" t="str">
        <f>IF(_xlfn.XLOOKUP(C643,customers!$A:$A,customers!$G:$G,,0)=0,"",_xlfn.XLOOKUP(C643,customers!$A:$A,customers!$G:$G,,0))</f>
        <v>Egypt</v>
      </c>
      <c r="I643" t="str">
        <f>IF(_xlfn.XLOOKUP(D643,product!$A:$A,product!$E:$E,,0)=0,"",_xlfn.XLOOKUP(D643,product!$A:$A,product!$E:$E,,0))</f>
        <v>FICTION</v>
      </c>
      <c r="J643" s="5">
        <f>IF(_xlfn.XLOOKUP(D643,product!$A:$A,product!$D:$D,,0)=0,"",_xlfn.XLOOKUP(D643,product!$A:$A,product!$D:$D,,0))</f>
        <v>27.14</v>
      </c>
      <c r="K643" s="7">
        <f t="shared" ref="K643:K706" si="10">J643*E643</f>
        <v>81.42</v>
      </c>
      <c r="L643" s="10" t="str">
        <f>IF(_xlfn.XLOOKUP(D643,product!$A:$A,product!$F:$F,,0)=0,"",_xlfn.XLOOKUP(D643,product!$A:$A,product!$F:$F,,0))</f>
        <v>Yes</v>
      </c>
      <c r="M643" t="str">
        <f>IF(_xlfn.XLOOKUP(D643,product!$A:$A,product!G:G,,0)=0,"",_xlfn.XLOOKUP(D643,product!$A:$A,product!G:G,,0))</f>
        <v>Silver</v>
      </c>
      <c r="N643" t="str">
        <f>IF(_xlfn.XLOOKUP(D643,product!$A:$A,product!$B:$B,,0)=0,"",_xlfn.XLOOKUP(D643,product!$A:$A,product!$B:$B,,0))</f>
        <v>Science Journey</v>
      </c>
    </row>
    <row r="644" spans="1:14" x14ac:dyDescent="0.35">
      <c r="A644" t="s">
        <v>215</v>
      </c>
      <c r="B644" s="3">
        <v>45047</v>
      </c>
      <c r="C644" t="s">
        <v>2561</v>
      </c>
      <c r="D644" t="s">
        <v>6002</v>
      </c>
      <c r="E644">
        <v>3</v>
      </c>
      <c r="F644" t="str">
        <f>_xlfn.XLOOKUP(C644,customers!$A$1:$A$983,customers!$B$1:$B$983,,0)</f>
        <v>Mark Anderson</v>
      </c>
      <c r="G644" t="str">
        <f>_xlfn.XLOOKUP(C644,customers!$A:$A,customers!$C:$C,,0)</f>
        <v>mark.anderson501@hotmail.com</v>
      </c>
      <c r="H644" t="str">
        <f>IF(_xlfn.XLOOKUP(C644,customers!$A:$A,customers!$G:$G,,0)=0,"",_xlfn.XLOOKUP(C644,customers!$A:$A,customers!$G:$G,,0))</f>
        <v>Spain</v>
      </c>
      <c r="I644" t="str">
        <f>IF(_xlfn.XLOOKUP(D644,product!$A:$A,product!$E:$E,,0)=0,"",_xlfn.XLOOKUP(D644,product!$A:$A,product!$E:$E,,0))</f>
        <v>TECH</v>
      </c>
      <c r="J644" s="5">
        <f>IF(_xlfn.XLOOKUP(D644,product!$A:$A,product!$D:$D,,0)=0,"",_xlfn.XLOOKUP(D644,product!$A:$A,product!$D:$D,,0))</f>
        <v>30.34</v>
      </c>
      <c r="K644" s="7">
        <f t="shared" si="10"/>
        <v>91.02</v>
      </c>
      <c r="L644" s="10" t="str">
        <f>IF(_xlfn.XLOOKUP(D644,product!$A:$A,product!$F:$F,,0)=0,"",_xlfn.XLOOKUP(D644,product!$A:$A,product!$F:$F,,0))</f>
        <v>No</v>
      </c>
      <c r="M644" t="str">
        <f>IF(_xlfn.XLOOKUP(D644,product!$A:$A,product!G:G,,0)=0,"",_xlfn.XLOOKUP(D644,product!$A:$A,product!G:G,,0))</f>
        <v>None</v>
      </c>
      <c r="N644" t="str">
        <f>IF(_xlfn.XLOOKUP(D644,product!$A:$A,product!$B:$B,,0)=0,"",_xlfn.XLOOKUP(D644,product!$A:$A,product!$B:$B,,0))</f>
        <v>Forest Secrets</v>
      </c>
    </row>
    <row r="645" spans="1:14" x14ac:dyDescent="0.35">
      <c r="A645" t="s">
        <v>232</v>
      </c>
      <c r="B645" s="3">
        <v>45570</v>
      </c>
      <c r="C645" t="s">
        <v>3026</v>
      </c>
      <c r="D645" t="s">
        <v>6003</v>
      </c>
      <c r="E645">
        <v>3</v>
      </c>
      <c r="F645" t="str">
        <f>_xlfn.XLOOKUP(C645,customers!$A$1:$A$983,customers!$B$1:$B$983,,0)</f>
        <v>Robert Allen</v>
      </c>
      <c r="G645" t="str">
        <f>_xlfn.XLOOKUP(C645,customers!$A:$A,customers!$C:$C,,0)</f>
        <v>robert.allen726@outlook.com</v>
      </c>
      <c r="H645" t="str">
        <f>IF(_xlfn.XLOOKUP(C645,customers!$A:$A,customers!$G:$G,,0)=0,"",_xlfn.XLOOKUP(C645,customers!$A:$A,customers!$G:$G,,0))</f>
        <v>Spain</v>
      </c>
      <c r="I645" t="str">
        <f>IF(_xlfn.XLOOKUP(D645,product!$A:$A,product!$E:$E,,0)=0,"",_xlfn.XLOOKUP(D645,product!$A:$A,product!$E:$E,,0))</f>
        <v>FICTION</v>
      </c>
      <c r="J645" s="5">
        <f>IF(_xlfn.XLOOKUP(D645,product!$A:$A,product!$D:$D,,0)=0,"",_xlfn.XLOOKUP(D645,product!$A:$A,product!$D:$D,,0))</f>
        <v>24.54</v>
      </c>
      <c r="K645" s="7">
        <f t="shared" si="10"/>
        <v>73.62</v>
      </c>
      <c r="L645" s="10" t="str">
        <f>IF(_xlfn.XLOOKUP(D645,product!$A:$A,product!$F:$F,,0)=0,"",_xlfn.XLOOKUP(D645,product!$A:$A,product!$F:$F,,0))</f>
        <v>No</v>
      </c>
      <c r="M645" t="str">
        <f>IF(_xlfn.XLOOKUP(D645,product!$A:$A,product!G:G,,0)=0,"",_xlfn.XLOOKUP(D645,product!$A:$A,product!G:G,,0))</f>
        <v>Gold</v>
      </c>
      <c r="N645" t="str">
        <f>IF(_xlfn.XLOOKUP(D645,product!$A:$A,product!$B:$B,,0)=0,"",_xlfn.XLOOKUP(D645,product!$A:$A,product!$B:$B,,0))</f>
        <v>Silent Forest</v>
      </c>
    </row>
    <row r="646" spans="1:14" x14ac:dyDescent="0.35">
      <c r="A646" t="s">
        <v>249</v>
      </c>
      <c r="B646" s="3">
        <v>45117</v>
      </c>
      <c r="C646" t="s">
        <v>3121</v>
      </c>
      <c r="D646" t="s">
        <v>6004</v>
      </c>
      <c r="E646">
        <v>3</v>
      </c>
      <c r="F646" t="str">
        <f>_xlfn.XLOOKUP(C646,customers!$A$1:$A$983,customers!$B$1:$B$983,,0)</f>
        <v>Charlotte Young</v>
      </c>
      <c r="G646" t="str">
        <f>_xlfn.XLOOKUP(C646,customers!$A:$A,customers!$C:$C,,0)</f>
        <v>charlotte.young773@hotmail.com</v>
      </c>
      <c r="H646" t="str">
        <f>IF(_xlfn.XLOOKUP(C646,customers!$A:$A,customers!$G:$G,,0)=0,"",_xlfn.XLOOKUP(C646,customers!$A:$A,customers!$G:$G,,0))</f>
        <v>Colombia</v>
      </c>
      <c r="I646" t="str">
        <f>IF(_xlfn.XLOOKUP(D646,product!$A:$A,product!$E:$E,,0)=0,"",_xlfn.XLOOKUP(D646,product!$A:$A,product!$E:$E,,0))</f>
        <v>FICTION</v>
      </c>
      <c r="J646" s="5">
        <f>IF(_xlfn.XLOOKUP(D646,product!$A:$A,product!$D:$D,,0)=0,"",_xlfn.XLOOKUP(D646,product!$A:$A,product!$D:$D,,0))</f>
        <v>20.95</v>
      </c>
      <c r="K646" s="7">
        <f t="shared" si="10"/>
        <v>62.849999999999994</v>
      </c>
      <c r="L646" s="10" t="str">
        <f>IF(_xlfn.XLOOKUP(D646,product!$A:$A,product!$F:$F,,0)=0,"",_xlfn.XLOOKUP(D646,product!$A:$A,product!$F:$F,,0))</f>
        <v>Yes</v>
      </c>
      <c r="M646" t="str">
        <f>IF(_xlfn.XLOOKUP(D646,product!$A:$A,product!G:G,,0)=0,"",_xlfn.XLOOKUP(D646,product!$A:$A,product!G:G,,0))</f>
        <v>None</v>
      </c>
      <c r="N646" t="str">
        <f>IF(_xlfn.XLOOKUP(D646,product!$A:$A,product!$B:$B,,0)=0,"",_xlfn.XLOOKUP(D646,product!$A:$A,product!$B:$B,,0))</f>
        <v>Quantum Journey</v>
      </c>
    </row>
    <row r="647" spans="1:14" x14ac:dyDescent="0.35">
      <c r="A647" t="s">
        <v>266</v>
      </c>
      <c r="B647" s="3">
        <v>45533</v>
      </c>
      <c r="C647" t="s">
        <v>1550</v>
      </c>
      <c r="D647" t="s">
        <v>6005</v>
      </c>
      <c r="E647">
        <v>3</v>
      </c>
      <c r="F647" t="str">
        <f>_xlfn.XLOOKUP(C647,customers!$A$1:$A$983,customers!$B$1:$B$983,,0)</f>
        <v>Lily Lewis</v>
      </c>
      <c r="G647" t="str">
        <f>_xlfn.XLOOKUP(C647,customers!$A:$A,customers!$C:$C,,0)</f>
        <v>lily.lewis137@yahoo.com</v>
      </c>
      <c r="H647" t="str">
        <f>IF(_xlfn.XLOOKUP(C647,customers!$A:$A,customers!$G:$G,,0)=0,"",_xlfn.XLOOKUP(C647,customers!$A:$A,customers!$G:$G,,0))</f>
        <v>UAE</v>
      </c>
      <c r="I647" t="str">
        <f>IF(_xlfn.XLOOKUP(D647,product!$A:$A,product!$E:$E,,0)=0,"",_xlfn.XLOOKUP(D647,product!$A:$A,product!$E:$E,,0))</f>
        <v>TECH</v>
      </c>
      <c r="J647" s="5">
        <f>IF(_xlfn.XLOOKUP(D647,product!$A:$A,product!$D:$D,,0)=0,"",_xlfn.XLOOKUP(D647,product!$A:$A,product!$D:$D,,0))</f>
        <v>16.2</v>
      </c>
      <c r="K647" s="7">
        <f t="shared" si="10"/>
        <v>48.599999999999994</v>
      </c>
      <c r="L647" s="10" t="str">
        <f>IF(_xlfn.XLOOKUP(D647,product!$A:$A,product!$F:$F,,0)=0,"",_xlfn.XLOOKUP(D647,product!$A:$A,product!$F:$F,,0))</f>
        <v>Yes</v>
      </c>
      <c r="M647" t="str">
        <f>IF(_xlfn.XLOOKUP(D647,product!$A:$A,product!G:G,,0)=0,"",_xlfn.XLOOKUP(D647,product!$A:$A,product!G:G,,0))</f>
        <v>Platinum</v>
      </c>
      <c r="N647" t="str">
        <f>IF(_xlfn.XLOOKUP(D647,product!$A:$A,product!$B:$B,,0)=0,"",_xlfn.XLOOKUP(D647,product!$A:$A,product!$B:$B,,0))</f>
        <v>Quantum Secrets</v>
      </c>
    </row>
    <row r="648" spans="1:14" x14ac:dyDescent="0.35">
      <c r="A648" t="s">
        <v>283</v>
      </c>
      <c r="B648" s="3">
        <v>44934</v>
      </c>
      <c r="C648" t="s">
        <v>1151</v>
      </c>
      <c r="D648" t="s">
        <v>6006</v>
      </c>
      <c r="E648">
        <v>3</v>
      </c>
      <c r="F648" t="str">
        <f>_xlfn.XLOOKUP(C648,customers!$A$1:$A$983,customers!$B$1:$B$983,,0)</f>
        <v>Daniel Hall</v>
      </c>
      <c r="G648" t="str">
        <f>_xlfn.XLOOKUP(C648,customers!$A:$A,customers!$C:$C,,0)</f>
        <v>daniel.hall28@gmail.com</v>
      </c>
      <c r="H648" t="str">
        <f>IF(_xlfn.XLOOKUP(C648,customers!$A:$A,customers!$G:$G,,0)=0,"",_xlfn.XLOOKUP(C648,customers!$A:$A,customers!$G:$G,,0))</f>
        <v>USA</v>
      </c>
      <c r="I648" t="str">
        <f>IF(_xlfn.XLOOKUP(D648,product!$A:$A,product!$E:$E,,0)=0,"",_xlfn.XLOOKUP(D648,product!$A:$A,product!$E:$E,,0))</f>
        <v>HISTORY</v>
      </c>
      <c r="J648" s="5">
        <f>IF(_xlfn.XLOOKUP(D648,product!$A:$A,product!$D:$D,,0)=0,"",_xlfn.XLOOKUP(D648,product!$A:$A,product!$D:$D,,0))</f>
        <v>32.25</v>
      </c>
      <c r="K648" s="7">
        <f t="shared" si="10"/>
        <v>96.75</v>
      </c>
      <c r="L648" s="10" t="str">
        <f>IF(_xlfn.XLOOKUP(D648,product!$A:$A,product!$F:$F,,0)=0,"",_xlfn.XLOOKUP(D648,product!$A:$A,product!$F:$F,,0))</f>
        <v>No</v>
      </c>
      <c r="M648" t="str">
        <f>IF(_xlfn.XLOOKUP(D648,product!$A:$A,product!G:G,,0)=0,"",_xlfn.XLOOKUP(D648,product!$A:$A,product!G:G,,0))</f>
        <v>Silver</v>
      </c>
      <c r="N648" t="str">
        <f>IF(_xlfn.XLOOKUP(D648,product!$A:$A,product!$B:$B,,0)=0,"",_xlfn.XLOOKUP(D648,product!$A:$A,product!$B:$B,,0))</f>
        <v>Power Science</v>
      </c>
    </row>
    <row r="649" spans="1:14" x14ac:dyDescent="0.35">
      <c r="A649" t="s">
        <v>300</v>
      </c>
      <c r="B649" s="3">
        <v>45393</v>
      </c>
      <c r="C649" t="s">
        <v>2529</v>
      </c>
      <c r="D649" t="s">
        <v>6007</v>
      </c>
      <c r="E649">
        <v>3</v>
      </c>
      <c r="F649" t="str">
        <f>_xlfn.XLOOKUP(C649,customers!$A$1:$A$983,customers!$B$1:$B$983,,0)</f>
        <v>Andrew Thomas</v>
      </c>
      <c r="G649" t="str">
        <f>_xlfn.XLOOKUP(C649,customers!$A:$A,customers!$C:$C,,0)</f>
        <v>andrew.thomas486@gmail.com</v>
      </c>
      <c r="H649" t="str">
        <f>IF(_xlfn.XLOOKUP(C649,customers!$A:$A,customers!$G:$G,,0)=0,"",_xlfn.XLOOKUP(C649,customers!$A:$A,customers!$G:$G,,0))</f>
        <v>Germany</v>
      </c>
      <c r="I649" t="str">
        <f>IF(_xlfn.XLOOKUP(D649,product!$A:$A,product!$E:$E,,0)=0,"",_xlfn.XLOOKUP(D649,product!$A:$A,product!$E:$E,,0))</f>
        <v>HISTORY</v>
      </c>
      <c r="J649" s="5">
        <f>IF(_xlfn.XLOOKUP(D649,product!$A:$A,product!$D:$D,,0)=0,"",_xlfn.XLOOKUP(D649,product!$A:$A,product!$D:$D,,0))</f>
        <v>29.21</v>
      </c>
      <c r="K649" s="7">
        <f t="shared" si="10"/>
        <v>87.63</v>
      </c>
      <c r="L649" s="10" t="str">
        <f>IF(_xlfn.XLOOKUP(D649,product!$A:$A,product!$F:$F,,0)=0,"",_xlfn.XLOOKUP(D649,product!$A:$A,product!$F:$F,,0))</f>
        <v>Yes</v>
      </c>
      <c r="M649" t="str">
        <f>IF(_xlfn.XLOOKUP(D649,product!$A:$A,product!G:G,,0)=0,"",_xlfn.XLOOKUP(D649,product!$A:$A,product!G:G,,0))</f>
        <v>None</v>
      </c>
      <c r="N649" t="str">
        <f>IF(_xlfn.XLOOKUP(D649,product!$A:$A,product!$B:$B,,0)=0,"",_xlfn.XLOOKUP(D649,product!$A:$A,product!$B:$B,,0))</f>
        <v>Quantum Forest</v>
      </c>
    </row>
    <row r="650" spans="1:14" x14ac:dyDescent="0.35">
      <c r="A650" t="s">
        <v>317</v>
      </c>
      <c r="B650" s="3">
        <v>45170</v>
      </c>
      <c r="C650" t="s">
        <v>3202</v>
      </c>
      <c r="D650" t="s">
        <v>6008</v>
      </c>
      <c r="E650">
        <v>3</v>
      </c>
      <c r="F650" t="str">
        <f>_xlfn.XLOOKUP(C650,customers!$A$1:$A$983,customers!$B$1:$B$983,,0)</f>
        <v>John Green</v>
      </c>
      <c r="G650" t="str">
        <f>_xlfn.XLOOKUP(C650,customers!$A:$A,customers!$C:$C,,0)</f>
        <v>john.green814@outlook.com</v>
      </c>
      <c r="H650" t="str">
        <f>IF(_xlfn.XLOOKUP(C650,customers!$A:$A,customers!$G:$G,,0)=0,"",_xlfn.XLOOKUP(C650,customers!$A:$A,customers!$G:$G,,0))</f>
        <v>Sweden</v>
      </c>
      <c r="I650" t="str">
        <f>IF(_xlfn.XLOOKUP(D650,product!$A:$A,product!$E:$E,,0)=0,"",_xlfn.XLOOKUP(D650,product!$A:$A,product!$E:$E,,0))</f>
        <v>SCIENCE</v>
      </c>
      <c r="J650" s="5">
        <f>IF(_xlfn.XLOOKUP(D650,product!$A:$A,product!$D:$D,,0)=0,"",_xlfn.XLOOKUP(D650,product!$A:$A,product!$D:$D,,0))</f>
        <v>26.27</v>
      </c>
      <c r="K650" s="7">
        <f t="shared" si="10"/>
        <v>78.81</v>
      </c>
      <c r="L650" s="10" t="str">
        <f>IF(_xlfn.XLOOKUP(D650,product!$A:$A,product!$F:$F,,0)=0,"",_xlfn.XLOOKUP(D650,product!$A:$A,product!$F:$F,,0))</f>
        <v>No</v>
      </c>
      <c r="M650" t="str">
        <f>IF(_xlfn.XLOOKUP(D650,product!$A:$A,product!G:G,,0)=0,"",_xlfn.XLOOKUP(D650,product!$A:$A,product!G:G,,0))</f>
        <v>Silver</v>
      </c>
      <c r="N650" t="str">
        <f>IF(_xlfn.XLOOKUP(D650,product!$A:$A,product!$B:$B,,0)=0,"",_xlfn.XLOOKUP(D650,product!$A:$A,product!$B:$B,,0))</f>
        <v>Forest Mind</v>
      </c>
    </row>
    <row r="651" spans="1:14" x14ac:dyDescent="0.35">
      <c r="A651" t="s">
        <v>334</v>
      </c>
      <c r="B651" s="3">
        <v>45633</v>
      </c>
      <c r="C651" t="s">
        <v>2904</v>
      </c>
      <c r="D651" t="s">
        <v>6009</v>
      </c>
      <c r="E651">
        <v>3</v>
      </c>
      <c r="F651" t="str">
        <f>_xlfn.XLOOKUP(C651,customers!$A$1:$A$983,customers!$B$1:$B$983,,0)</f>
        <v>Jessica Martin</v>
      </c>
      <c r="G651" t="str">
        <f>_xlfn.XLOOKUP(C651,customers!$A:$A,customers!$C:$C,,0)</f>
        <v>jessica.martin667@hotmail.com</v>
      </c>
      <c r="H651" t="str">
        <f>IF(_xlfn.XLOOKUP(C651,customers!$A:$A,customers!$G:$G,,0)=0,"",_xlfn.XLOOKUP(C651,customers!$A:$A,customers!$G:$G,,0))</f>
        <v>USA</v>
      </c>
      <c r="I651" t="str">
        <f>IF(_xlfn.XLOOKUP(D651,product!$A:$A,product!$E:$E,,0)=0,"",_xlfn.XLOOKUP(D651,product!$A:$A,product!$E:$E,,0))</f>
        <v>SCIENCE</v>
      </c>
      <c r="J651" s="5">
        <f>IF(_xlfn.XLOOKUP(D651,product!$A:$A,product!$D:$D,,0)=0,"",_xlfn.XLOOKUP(D651,product!$A:$A,product!$D:$D,,0))</f>
        <v>33.840000000000003</v>
      </c>
      <c r="K651" s="7">
        <f t="shared" si="10"/>
        <v>101.52000000000001</v>
      </c>
      <c r="L651" s="10" t="str">
        <f>IF(_xlfn.XLOOKUP(D651,product!$A:$A,product!$F:$F,,0)=0,"",_xlfn.XLOOKUP(D651,product!$A:$A,product!$F:$F,,0))</f>
        <v>Yes</v>
      </c>
      <c r="M651" t="str">
        <f>IF(_xlfn.XLOOKUP(D651,product!$A:$A,product!G:G,,0)=0,"",_xlfn.XLOOKUP(D651,product!$A:$A,product!G:G,,0))</f>
        <v>None</v>
      </c>
      <c r="N651" t="str">
        <f>IF(_xlfn.XLOOKUP(D651,product!$A:$A,product!$B:$B,,0)=0,"",_xlfn.XLOOKUP(D651,product!$A:$A,product!$B:$B,,0))</f>
        <v>Journey Quantum</v>
      </c>
    </row>
    <row r="652" spans="1:14" x14ac:dyDescent="0.35">
      <c r="A652" t="s">
        <v>351</v>
      </c>
      <c r="B652" s="3">
        <v>45005</v>
      </c>
      <c r="C652" t="s">
        <v>2716</v>
      </c>
      <c r="D652" t="s">
        <v>6010</v>
      </c>
      <c r="E652">
        <v>3</v>
      </c>
      <c r="F652" t="str">
        <f>_xlfn.XLOOKUP(C652,customers!$A$1:$A$983,customers!$B$1:$B$983,,0)</f>
        <v>Michael Jackson</v>
      </c>
      <c r="G652" t="str">
        <f>_xlfn.XLOOKUP(C652,customers!$A:$A,customers!$C:$C,,0)</f>
        <v>michael.jackson576@hotmail.com</v>
      </c>
      <c r="H652" t="str">
        <f>IF(_xlfn.XLOOKUP(C652,customers!$A:$A,customers!$G:$G,,0)=0,"",_xlfn.XLOOKUP(C652,customers!$A:$A,customers!$G:$G,,0))</f>
        <v>Germany</v>
      </c>
      <c r="I652" t="str">
        <f>IF(_xlfn.XLOOKUP(D652,product!$A:$A,product!$E:$E,,0)=0,"",_xlfn.XLOOKUP(D652,product!$A:$A,product!$E:$E,,0))</f>
        <v>BUSINESS</v>
      </c>
      <c r="J652" s="5">
        <f>IF(_xlfn.XLOOKUP(D652,product!$A:$A,product!$D:$D,,0)=0,"",_xlfn.XLOOKUP(D652,product!$A:$A,product!$D:$D,,0))</f>
        <v>20.58</v>
      </c>
      <c r="K652" s="7">
        <f t="shared" si="10"/>
        <v>61.739999999999995</v>
      </c>
      <c r="L652" s="10" t="str">
        <f>IF(_xlfn.XLOOKUP(D652,product!$A:$A,product!$F:$F,,0)=0,"",_xlfn.XLOOKUP(D652,product!$A:$A,product!$F:$F,,0))</f>
        <v>Yes</v>
      </c>
      <c r="M652" t="str">
        <f>IF(_xlfn.XLOOKUP(D652,product!$A:$A,product!G:G,,0)=0,"",_xlfn.XLOOKUP(D652,product!$A:$A,product!G:G,,0))</f>
        <v>None</v>
      </c>
      <c r="N652" t="str">
        <f>IF(_xlfn.XLOOKUP(D652,product!$A:$A,product!$B:$B,,0)=0,"",_xlfn.XLOOKUP(D652,product!$A:$A,product!$B:$B,,0))</f>
        <v>Science Journey</v>
      </c>
    </row>
    <row r="653" spans="1:14" x14ac:dyDescent="0.35">
      <c r="A653" t="s">
        <v>368</v>
      </c>
      <c r="B653" s="3">
        <v>45340</v>
      </c>
      <c r="C653" t="s">
        <v>2641</v>
      </c>
      <c r="D653" t="s">
        <v>6011</v>
      </c>
      <c r="E653">
        <v>3</v>
      </c>
      <c r="F653" t="str">
        <f>_xlfn.XLOOKUP(C653,customers!$A$1:$A$983,customers!$B$1:$B$983,,0)</f>
        <v>Ella Wright</v>
      </c>
      <c r="G653" t="str">
        <f>_xlfn.XLOOKUP(C653,customers!$A:$A,customers!$C:$C,,0)</f>
        <v>ella.wright540@outlook.com</v>
      </c>
      <c r="H653" t="str">
        <f>IF(_xlfn.XLOOKUP(C653,customers!$A:$A,customers!$G:$G,,0)=0,"",_xlfn.XLOOKUP(C653,customers!$A:$A,customers!$G:$G,,0))</f>
        <v>Germany</v>
      </c>
      <c r="I653" t="str">
        <f>IF(_xlfn.XLOOKUP(D653,product!$A:$A,product!$E:$E,,0)=0,"",_xlfn.XLOOKUP(D653,product!$A:$A,product!$E:$E,,0))</f>
        <v>TECH</v>
      </c>
      <c r="J653" s="5">
        <f>IF(_xlfn.XLOOKUP(D653,product!$A:$A,product!$D:$D,,0)=0,"",_xlfn.XLOOKUP(D653,product!$A:$A,product!$D:$D,,0))</f>
        <v>29.64</v>
      </c>
      <c r="K653" s="7">
        <f t="shared" si="10"/>
        <v>88.92</v>
      </c>
      <c r="L653" s="10" t="str">
        <f>IF(_xlfn.XLOOKUP(D653,product!$A:$A,product!$F:$F,,0)=0,"",_xlfn.XLOOKUP(D653,product!$A:$A,product!$F:$F,,0))</f>
        <v>No</v>
      </c>
      <c r="M653" t="str">
        <f>IF(_xlfn.XLOOKUP(D653,product!$A:$A,product!G:G,,0)=0,"",_xlfn.XLOOKUP(D653,product!$A:$A,product!G:G,,0))</f>
        <v>Silver</v>
      </c>
      <c r="N653" t="str">
        <f>IF(_xlfn.XLOOKUP(D653,product!$A:$A,product!$B:$B,,0)=0,"",_xlfn.XLOOKUP(D653,product!$A:$A,product!$B:$B,,0))</f>
        <v>Data Mind</v>
      </c>
    </row>
    <row r="654" spans="1:14" x14ac:dyDescent="0.35">
      <c r="A654" t="s">
        <v>385</v>
      </c>
      <c r="B654" s="3">
        <v>45153</v>
      </c>
      <c r="C654" t="s">
        <v>2413</v>
      </c>
      <c r="D654" t="s">
        <v>6012</v>
      </c>
      <c r="E654">
        <v>3</v>
      </c>
      <c r="F654" t="str">
        <f>_xlfn.XLOOKUP(C654,customers!$A$1:$A$983,customers!$B$1:$B$983,,0)</f>
        <v>Thomas Rodriguez</v>
      </c>
      <c r="G654" t="str">
        <f>_xlfn.XLOOKUP(C654,customers!$A:$A,customers!$C:$C,,0)</f>
        <v>thomas.rodriguez431@gmail.com</v>
      </c>
      <c r="H654" t="str">
        <f>IF(_xlfn.XLOOKUP(C654,customers!$A:$A,customers!$G:$G,,0)=0,"",_xlfn.XLOOKUP(C654,customers!$A:$A,customers!$G:$G,,0))</f>
        <v>Spain</v>
      </c>
      <c r="I654" t="str">
        <f>IF(_xlfn.XLOOKUP(D654,product!$A:$A,product!$E:$E,,0)=0,"",_xlfn.XLOOKUP(D654,product!$A:$A,product!$E:$E,,0))</f>
        <v>HISTORY</v>
      </c>
      <c r="J654" s="5">
        <f>IF(_xlfn.XLOOKUP(D654,product!$A:$A,product!$D:$D,,0)=0,"",_xlfn.XLOOKUP(D654,product!$A:$A,product!$D:$D,,0))</f>
        <v>31.7</v>
      </c>
      <c r="K654" s="7">
        <f t="shared" si="10"/>
        <v>95.1</v>
      </c>
      <c r="L654" s="10" t="str">
        <f>IF(_xlfn.XLOOKUP(D654,product!$A:$A,product!$F:$F,,0)=0,"",_xlfn.XLOOKUP(D654,product!$A:$A,product!$F:$F,,0))</f>
        <v>No</v>
      </c>
      <c r="M654" t="str">
        <f>IF(_xlfn.XLOOKUP(D654,product!$A:$A,product!G:G,,0)=0,"",_xlfn.XLOOKUP(D654,product!$A:$A,product!G:G,,0))</f>
        <v>None</v>
      </c>
      <c r="N654" t="str">
        <f>IF(_xlfn.XLOOKUP(D654,product!$A:$A,product!$B:$B,,0)=0,"",_xlfn.XLOOKUP(D654,product!$A:$A,product!$B:$B,,0))</f>
        <v>Secrets Data</v>
      </c>
    </row>
    <row r="655" spans="1:14" x14ac:dyDescent="0.35">
      <c r="A655" t="s">
        <v>402</v>
      </c>
      <c r="B655" s="3">
        <v>45425</v>
      </c>
      <c r="C655" t="s">
        <v>1778</v>
      </c>
      <c r="D655" t="s">
        <v>6013</v>
      </c>
      <c r="E655">
        <v>3</v>
      </c>
      <c r="F655" t="str">
        <f>_xlfn.XLOOKUP(C655,customers!$A$1:$A$983,customers!$B$1:$B$983,,0)</f>
        <v>William Adams</v>
      </c>
      <c r="G655" t="str">
        <f>_xlfn.XLOOKUP(C655,customers!$A:$A,customers!$C:$C,,0)</f>
        <v>william.adams192@hotmail.com</v>
      </c>
      <c r="H655" t="str">
        <f>IF(_xlfn.XLOOKUP(C655,customers!$A:$A,customers!$G:$G,,0)=0,"",_xlfn.XLOOKUP(C655,customers!$A:$A,customers!$G:$G,,0))</f>
        <v>Japan</v>
      </c>
      <c r="I655" t="str">
        <f>IF(_xlfn.XLOOKUP(D655,product!$A:$A,product!$E:$E,,0)=0,"",_xlfn.XLOOKUP(D655,product!$A:$A,product!$E:$E,,0))</f>
        <v>SCIENCE</v>
      </c>
      <c r="J655" s="5">
        <f>IF(_xlfn.XLOOKUP(D655,product!$A:$A,product!$D:$D,,0)=0,"",_xlfn.XLOOKUP(D655,product!$A:$A,product!$D:$D,,0))</f>
        <v>22.61</v>
      </c>
      <c r="K655" s="7">
        <f t="shared" si="10"/>
        <v>67.83</v>
      </c>
      <c r="L655" s="10" t="str">
        <f>IF(_xlfn.XLOOKUP(D655,product!$A:$A,product!$F:$F,,0)=0,"",_xlfn.XLOOKUP(D655,product!$A:$A,product!$F:$F,,0))</f>
        <v>No</v>
      </c>
      <c r="M655" t="str">
        <f>IF(_xlfn.XLOOKUP(D655,product!$A:$A,product!G:G,,0)=0,"",_xlfn.XLOOKUP(D655,product!$A:$A,product!G:G,,0))</f>
        <v>Gold</v>
      </c>
      <c r="N655" t="str">
        <f>IF(_xlfn.XLOOKUP(D655,product!$A:$A,product!$B:$B,,0)=0,"",_xlfn.XLOOKUP(D655,product!$A:$A,product!$B:$B,,0))</f>
        <v>Forest Silent</v>
      </c>
    </row>
    <row r="656" spans="1:14" x14ac:dyDescent="0.35">
      <c r="A656" t="s">
        <v>419</v>
      </c>
      <c r="B656" s="3">
        <v>45233</v>
      </c>
      <c r="C656" t="s">
        <v>3433</v>
      </c>
      <c r="D656" t="s">
        <v>6014</v>
      </c>
      <c r="E656">
        <v>3</v>
      </c>
      <c r="F656" t="str">
        <f>_xlfn.XLOOKUP(C656,customers!$A$1:$A$983,customers!$B$1:$B$983,,0)</f>
        <v>Chloe Garcia</v>
      </c>
      <c r="G656" t="str">
        <f>_xlfn.XLOOKUP(C656,customers!$A:$A,customers!$C:$C,,0)</f>
        <v>chloe.garcia931@gmail.com</v>
      </c>
      <c r="H656" t="str">
        <f>IF(_xlfn.XLOOKUP(C656,customers!$A:$A,customers!$G:$G,,0)=0,"",_xlfn.XLOOKUP(C656,customers!$A:$A,customers!$G:$G,,0))</f>
        <v>Sweden</v>
      </c>
      <c r="I656" t="str">
        <f>IF(_xlfn.XLOOKUP(D656,product!$A:$A,product!$E:$E,,0)=0,"",_xlfn.XLOOKUP(D656,product!$A:$A,product!$E:$E,,0))</f>
        <v>HISTORY</v>
      </c>
      <c r="J656" s="5">
        <f>IF(_xlfn.XLOOKUP(D656,product!$A:$A,product!$D:$D,,0)=0,"",_xlfn.XLOOKUP(D656,product!$A:$A,product!$D:$D,,0))</f>
        <v>32.97</v>
      </c>
      <c r="K656" s="7">
        <f t="shared" si="10"/>
        <v>98.91</v>
      </c>
      <c r="L656" s="10" t="str">
        <f>IF(_xlfn.XLOOKUP(D656,product!$A:$A,product!$F:$F,,0)=0,"",_xlfn.XLOOKUP(D656,product!$A:$A,product!$F:$F,,0))</f>
        <v>No</v>
      </c>
      <c r="M656" t="str">
        <f>IF(_xlfn.XLOOKUP(D656,product!$A:$A,product!G:G,,0)=0,"",_xlfn.XLOOKUP(D656,product!$A:$A,product!G:G,,0))</f>
        <v>None</v>
      </c>
      <c r="N656" t="str">
        <f>IF(_xlfn.XLOOKUP(D656,product!$A:$A,product!$B:$B,,0)=0,"",_xlfn.XLOOKUP(D656,product!$A:$A,product!$B:$B,,0))</f>
        <v>Quantum Secrets</v>
      </c>
    </row>
    <row r="657" spans="1:14" x14ac:dyDescent="0.35">
      <c r="A657" t="s">
        <v>436</v>
      </c>
      <c r="B657" s="3">
        <v>45489</v>
      </c>
      <c r="C657" t="s">
        <v>2823</v>
      </c>
      <c r="D657" t="s">
        <v>6015</v>
      </c>
      <c r="E657">
        <v>3</v>
      </c>
      <c r="F657" t="str">
        <f>_xlfn.XLOOKUP(C657,customers!$A$1:$A$983,customers!$B$1:$B$983,,0)</f>
        <v>George Garcia</v>
      </c>
      <c r="G657" t="str">
        <f>_xlfn.XLOOKUP(C657,customers!$A:$A,customers!$C:$C,,0)</f>
        <v>george.garcia627@gmail.com</v>
      </c>
      <c r="H657" t="str">
        <f>IF(_xlfn.XLOOKUP(C657,customers!$A:$A,customers!$G:$G,,0)=0,"",_xlfn.XLOOKUP(C657,customers!$A:$A,customers!$G:$G,,0))</f>
        <v>Spain</v>
      </c>
      <c r="I657" t="str">
        <f>IF(_xlfn.XLOOKUP(D657,product!$A:$A,product!$E:$E,,0)=0,"",_xlfn.XLOOKUP(D657,product!$A:$A,product!$E:$E,,0))</f>
        <v>FICTION</v>
      </c>
      <c r="J657" s="5">
        <f>IF(_xlfn.XLOOKUP(D657,product!$A:$A,product!$D:$D,,0)=0,"",_xlfn.XLOOKUP(D657,product!$A:$A,product!$D:$D,,0))</f>
        <v>29.09</v>
      </c>
      <c r="K657" s="7">
        <f t="shared" si="10"/>
        <v>87.27</v>
      </c>
      <c r="L657" s="10" t="str">
        <f>IF(_xlfn.XLOOKUP(D657,product!$A:$A,product!$F:$F,,0)=0,"",_xlfn.XLOOKUP(D657,product!$A:$A,product!$F:$F,,0))</f>
        <v>Yes</v>
      </c>
      <c r="M657" t="str">
        <f>IF(_xlfn.XLOOKUP(D657,product!$A:$A,product!G:G,,0)=0,"",_xlfn.XLOOKUP(D657,product!$A:$A,product!G:G,,0))</f>
        <v>None</v>
      </c>
      <c r="N657" t="str">
        <f>IF(_xlfn.XLOOKUP(D657,product!$A:$A,product!$B:$B,,0)=0,"",_xlfn.XLOOKUP(D657,product!$A:$A,product!$B:$B,,0))</f>
        <v>Secrets Data</v>
      </c>
    </row>
    <row r="658" spans="1:14" x14ac:dyDescent="0.35">
      <c r="A658" t="s">
        <v>453</v>
      </c>
      <c r="B658" s="3">
        <v>45086</v>
      </c>
      <c r="C658" t="s">
        <v>2825</v>
      </c>
      <c r="D658" t="s">
        <v>6016</v>
      </c>
      <c r="E658">
        <v>3</v>
      </c>
      <c r="F658" t="str">
        <f>_xlfn.XLOOKUP(C658,customers!$A$1:$A$983,customers!$B$1:$B$983,,0)</f>
        <v>John Thomas</v>
      </c>
      <c r="G658" t="str">
        <f>_xlfn.XLOOKUP(C658,customers!$A:$A,customers!$C:$C,,0)</f>
        <v>john.thomas628@outlook.com</v>
      </c>
      <c r="H658" t="str">
        <f>IF(_xlfn.XLOOKUP(C658,customers!$A:$A,customers!$G:$G,,0)=0,"",_xlfn.XLOOKUP(C658,customers!$A:$A,customers!$G:$G,,0))</f>
        <v>Japan</v>
      </c>
      <c r="I658" t="str">
        <f>IF(_xlfn.XLOOKUP(D658,product!$A:$A,product!$E:$E,,0)=0,"",_xlfn.XLOOKUP(D658,product!$A:$A,product!$E:$E,,0))</f>
        <v>HISTORY</v>
      </c>
      <c r="J658" s="5">
        <f>IF(_xlfn.XLOOKUP(D658,product!$A:$A,product!$D:$D,,0)=0,"",_xlfn.XLOOKUP(D658,product!$A:$A,product!$D:$D,,0))</f>
        <v>33.4</v>
      </c>
      <c r="K658" s="7">
        <f t="shared" si="10"/>
        <v>100.19999999999999</v>
      </c>
      <c r="L658" s="10" t="str">
        <f>IF(_xlfn.XLOOKUP(D658,product!$A:$A,product!$F:$F,,0)=0,"",_xlfn.XLOOKUP(D658,product!$A:$A,product!$F:$F,,0))</f>
        <v>No</v>
      </c>
      <c r="M658" t="str">
        <f>IF(_xlfn.XLOOKUP(D658,product!$A:$A,product!G:G,,0)=0,"",_xlfn.XLOOKUP(D658,product!$A:$A,product!G:G,,0))</f>
        <v>Gold</v>
      </c>
      <c r="N658" t="str">
        <f>IF(_xlfn.XLOOKUP(D658,product!$A:$A,product!$B:$B,,0)=0,"",_xlfn.XLOOKUP(D658,product!$A:$A,product!$B:$B,,0))</f>
        <v>Mind Secrets</v>
      </c>
    </row>
    <row r="659" spans="1:14" x14ac:dyDescent="0.35">
      <c r="A659" t="s">
        <v>470</v>
      </c>
      <c r="B659" s="3">
        <v>45555</v>
      </c>
      <c r="C659" t="s">
        <v>3028</v>
      </c>
      <c r="D659" t="s">
        <v>6017</v>
      </c>
      <c r="E659">
        <v>3</v>
      </c>
      <c r="F659" t="str">
        <f>_xlfn.XLOOKUP(C659,customers!$A$1:$A$983,customers!$B$1:$B$983,,0)</f>
        <v>Grace Green</v>
      </c>
      <c r="G659" t="str">
        <f>_xlfn.XLOOKUP(C659,customers!$A:$A,customers!$C:$C,,0)</f>
        <v>grace.green727@yahoo.com</v>
      </c>
      <c r="H659" t="str">
        <f>IF(_xlfn.XLOOKUP(C659,customers!$A:$A,customers!$G:$G,,0)=0,"",_xlfn.XLOOKUP(C659,customers!$A:$A,customers!$G:$G,,0))</f>
        <v>Japan</v>
      </c>
      <c r="I659" t="str">
        <f>IF(_xlfn.XLOOKUP(D659,product!$A:$A,product!$E:$E,,0)=0,"",_xlfn.XLOOKUP(D659,product!$A:$A,product!$E:$E,,0))</f>
        <v>BUSINESS</v>
      </c>
      <c r="J659" s="5">
        <f>IF(_xlfn.XLOOKUP(D659,product!$A:$A,product!$D:$D,,0)=0,"",_xlfn.XLOOKUP(D659,product!$A:$A,product!$D:$D,,0))</f>
        <v>36.71</v>
      </c>
      <c r="K659" s="7">
        <f t="shared" si="10"/>
        <v>110.13</v>
      </c>
      <c r="L659" s="10" t="str">
        <f>IF(_xlfn.XLOOKUP(D659,product!$A:$A,product!$F:$F,,0)=0,"",_xlfn.XLOOKUP(D659,product!$A:$A,product!$F:$F,,0))</f>
        <v>No</v>
      </c>
      <c r="M659" t="str">
        <f>IF(_xlfn.XLOOKUP(D659,product!$A:$A,product!G:G,,0)=0,"",_xlfn.XLOOKUP(D659,product!$A:$A,product!G:G,,0))</f>
        <v>None</v>
      </c>
      <c r="N659" t="str">
        <f>IF(_xlfn.XLOOKUP(D659,product!$A:$A,product!$B:$B,,0)=0,"",_xlfn.XLOOKUP(D659,product!$A:$A,product!$B:$B,,0))</f>
        <v>Science Journey</v>
      </c>
    </row>
    <row r="660" spans="1:14" x14ac:dyDescent="0.35">
      <c r="A660" t="s">
        <v>487</v>
      </c>
      <c r="B660" s="3">
        <v>45022</v>
      </c>
      <c r="C660" t="s">
        <v>2109</v>
      </c>
      <c r="D660" t="s">
        <v>6018</v>
      </c>
      <c r="E660">
        <v>3</v>
      </c>
      <c r="F660" t="str">
        <f>_xlfn.XLOOKUP(C660,customers!$A$1:$A$983,customers!$B$1:$B$983,,0)</f>
        <v>Isabella Brown</v>
      </c>
      <c r="G660" t="str">
        <f>_xlfn.XLOOKUP(C660,customers!$A:$A,customers!$C:$C,,0)</f>
        <v>isabella.brown299@outlook.com</v>
      </c>
      <c r="H660" t="str">
        <f>IF(_xlfn.XLOOKUP(C660,customers!$A:$A,customers!$G:$G,,0)=0,"",_xlfn.XLOOKUP(C660,customers!$A:$A,customers!$G:$G,,0))</f>
        <v>UAE</v>
      </c>
      <c r="I660" t="str">
        <f>IF(_xlfn.XLOOKUP(D660,product!$A:$A,product!$E:$E,,0)=0,"",_xlfn.XLOOKUP(D660,product!$A:$A,product!$E:$E,,0))</f>
        <v>TECH</v>
      </c>
      <c r="J660" s="5">
        <f>IF(_xlfn.XLOOKUP(D660,product!$A:$A,product!$D:$D,,0)=0,"",_xlfn.XLOOKUP(D660,product!$A:$A,product!$D:$D,,0))</f>
        <v>14.01</v>
      </c>
      <c r="K660" s="7">
        <f t="shared" si="10"/>
        <v>42.03</v>
      </c>
      <c r="L660" s="10" t="str">
        <f>IF(_xlfn.XLOOKUP(D660,product!$A:$A,product!$F:$F,,0)=0,"",_xlfn.XLOOKUP(D660,product!$A:$A,product!$F:$F,,0))</f>
        <v>Yes</v>
      </c>
      <c r="M660" t="str">
        <f>IF(_xlfn.XLOOKUP(D660,product!$A:$A,product!G:G,,0)=0,"",_xlfn.XLOOKUP(D660,product!$A:$A,product!G:G,,0))</f>
        <v>None</v>
      </c>
      <c r="N660" t="str">
        <f>IF(_xlfn.XLOOKUP(D660,product!$A:$A,product!$B:$B,,0)=0,"",_xlfn.XLOOKUP(D660,product!$A:$A,product!$B:$B,,0))</f>
        <v>Forest Journey</v>
      </c>
    </row>
    <row r="661" spans="1:14" x14ac:dyDescent="0.35">
      <c r="A661" t="s">
        <v>504</v>
      </c>
      <c r="B661" s="3">
        <v>45305</v>
      </c>
      <c r="C661" t="s">
        <v>2294</v>
      </c>
      <c r="D661" t="s">
        <v>6019</v>
      </c>
      <c r="E661">
        <v>3</v>
      </c>
      <c r="F661" t="str">
        <f>_xlfn.XLOOKUP(C661,customers!$A$1:$A$983,customers!$B$1:$B$983,,0)</f>
        <v>Steven Thomas</v>
      </c>
      <c r="G661" t="str">
        <f>_xlfn.XLOOKUP(C661,customers!$A:$A,customers!$C:$C,,0)</f>
        <v>steven.thomas377@hotmail.com</v>
      </c>
      <c r="H661" t="str">
        <f>IF(_xlfn.XLOOKUP(C661,customers!$A:$A,customers!$G:$G,,0)=0,"",_xlfn.XLOOKUP(C661,customers!$A:$A,customers!$G:$G,,0))</f>
        <v>Spain</v>
      </c>
      <c r="I661" t="str">
        <f>IF(_xlfn.XLOOKUP(D661,product!$A:$A,product!$E:$E,,0)=0,"",_xlfn.XLOOKUP(D661,product!$A:$A,product!$E:$E,,0))</f>
        <v>BUSINESS</v>
      </c>
      <c r="J661" s="5">
        <f>IF(_xlfn.XLOOKUP(D661,product!$A:$A,product!$D:$D,,0)=0,"",_xlfn.XLOOKUP(D661,product!$A:$A,product!$D:$D,,0))</f>
        <v>23.75</v>
      </c>
      <c r="K661" s="7">
        <f t="shared" si="10"/>
        <v>71.25</v>
      </c>
      <c r="L661" s="10" t="str">
        <f>IF(_xlfn.XLOOKUP(D661,product!$A:$A,product!$F:$F,,0)=0,"",_xlfn.XLOOKUP(D661,product!$A:$A,product!$F:$F,,0))</f>
        <v>No</v>
      </c>
      <c r="M661" t="str">
        <f>IF(_xlfn.XLOOKUP(D661,product!$A:$A,product!G:G,,0)=0,"",_xlfn.XLOOKUP(D661,product!$A:$A,product!G:G,,0))</f>
        <v>None</v>
      </c>
      <c r="N661" t="str">
        <f>IF(_xlfn.XLOOKUP(D661,product!$A:$A,product!$B:$B,,0)=0,"",_xlfn.XLOOKUP(D661,product!$A:$A,product!$B:$B,,0))</f>
        <v>Future Science</v>
      </c>
    </row>
    <row r="662" spans="1:14" x14ac:dyDescent="0.35">
      <c r="A662" t="s">
        <v>521</v>
      </c>
      <c r="B662" s="3">
        <v>45209</v>
      </c>
      <c r="C662" t="s">
        <v>1472</v>
      </c>
      <c r="D662" t="s">
        <v>6020</v>
      </c>
      <c r="E662">
        <v>3</v>
      </c>
      <c r="F662" t="str">
        <f>_xlfn.XLOOKUP(C662,customers!$A$1:$A$983,customers!$B$1:$B$983,,0)</f>
        <v>James Harris</v>
      </c>
      <c r="G662" t="str">
        <f>_xlfn.XLOOKUP(C662,customers!$A:$A,customers!$C:$C,,0)</f>
        <v>james.harris114@outlook.com</v>
      </c>
      <c r="H662" t="str">
        <f>IF(_xlfn.XLOOKUP(C662,customers!$A:$A,customers!$G:$G,,0)=0,"",_xlfn.XLOOKUP(C662,customers!$A:$A,customers!$G:$G,,0))</f>
        <v>Spain</v>
      </c>
      <c r="I662" t="str">
        <f>IF(_xlfn.XLOOKUP(D662,product!$A:$A,product!$E:$E,,0)=0,"",_xlfn.XLOOKUP(D662,product!$A:$A,product!$E:$E,,0))</f>
        <v>SCIENCE</v>
      </c>
      <c r="J662" s="5">
        <f>IF(_xlfn.XLOOKUP(D662,product!$A:$A,product!$D:$D,,0)=0,"",_xlfn.XLOOKUP(D662,product!$A:$A,product!$D:$D,,0))</f>
        <v>23.44</v>
      </c>
      <c r="K662" s="7">
        <f t="shared" si="10"/>
        <v>70.320000000000007</v>
      </c>
      <c r="L662" s="10" t="str">
        <f>IF(_xlfn.XLOOKUP(D662,product!$A:$A,product!$F:$F,,0)=0,"",_xlfn.XLOOKUP(D662,product!$A:$A,product!$F:$F,,0))</f>
        <v>No</v>
      </c>
      <c r="M662" t="str">
        <f>IF(_xlfn.XLOOKUP(D662,product!$A:$A,product!G:G,,0)=0,"",_xlfn.XLOOKUP(D662,product!$A:$A,product!G:G,,0))</f>
        <v>None</v>
      </c>
      <c r="N662" t="str">
        <f>IF(_xlfn.XLOOKUP(D662,product!$A:$A,product!$B:$B,,0)=0,"",_xlfn.XLOOKUP(D662,product!$A:$A,product!$B:$B,,0))</f>
        <v>Power Secrets</v>
      </c>
    </row>
    <row r="663" spans="1:14" x14ac:dyDescent="0.35">
      <c r="A663" t="s">
        <v>538</v>
      </c>
      <c r="B663" s="3">
        <v>45612</v>
      </c>
      <c r="C663" t="s">
        <v>1227</v>
      </c>
      <c r="D663" t="s">
        <v>6021</v>
      </c>
      <c r="E663">
        <v>3</v>
      </c>
      <c r="F663" t="str">
        <f>_xlfn.XLOOKUP(C663,customers!$A$1:$A$983,customers!$B$1:$B$983,,0)</f>
        <v>Mia Lewis</v>
      </c>
      <c r="G663" t="str">
        <f>_xlfn.XLOOKUP(C663,customers!$A:$A,customers!$C:$C,,0)</f>
        <v>mia.lewis46@hotmail.com</v>
      </c>
      <c r="H663" t="str">
        <f>IF(_xlfn.XLOOKUP(C663,customers!$A:$A,customers!$G:$G,,0)=0,"",_xlfn.XLOOKUP(C663,customers!$A:$A,customers!$G:$G,,0))</f>
        <v>USA</v>
      </c>
      <c r="I663" t="str">
        <f>IF(_xlfn.XLOOKUP(D663,product!$A:$A,product!$E:$E,,0)=0,"",_xlfn.XLOOKUP(D663,product!$A:$A,product!$E:$E,,0))</f>
        <v>FICTION</v>
      </c>
      <c r="J663" s="5">
        <f>IF(_xlfn.XLOOKUP(D663,product!$A:$A,product!$D:$D,,0)=0,"",_xlfn.XLOOKUP(D663,product!$A:$A,product!$D:$D,,0))</f>
        <v>22.86</v>
      </c>
      <c r="K663" s="7">
        <f t="shared" si="10"/>
        <v>68.58</v>
      </c>
      <c r="L663" s="10" t="str">
        <f>IF(_xlfn.XLOOKUP(D663,product!$A:$A,product!$F:$F,,0)=0,"",_xlfn.XLOOKUP(D663,product!$A:$A,product!$F:$F,,0))</f>
        <v>Yes</v>
      </c>
      <c r="M663" t="str">
        <f>IF(_xlfn.XLOOKUP(D663,product!$A:$A,product!G:G,,0)=0,"",_xlfn.XLOOKUP(D663,product!$A:$A,product!G:G,,0))</f>
        <v>Platinum</v>
      </c>
      <c r="N663" t="str">
        <f>IF(_xlfn.XLOOKUP(D663,product!$A:$A,product!$B:$B,,0)=0,"",_xlfn.XLOOKUP(D663,product!$A:$A,product!$B:$B,,0))</f>
        <v>Silent Forest</v>
      </c>
    </row>
    <row r="664" spans="1:14" x14ac:dyDescent="0.35">
      <c r="A664" t="s">
        <v>555</v>
      </c>
      <c r="B664" s="3">
        <v>45272</v>
      </c>
      <c r="C664" t="s">
        <v>1838</v>
      </c>
      <c r="D664" t="s">
        <v>6022</v>
      </c>
      <c r="E664">
        <v>3</v>
      </c>
      <c r="F664" t="str">
        <f>_xlfn.XLOOKUP(C664,customers!$A$1:$A$983,customers!$B$1:$B$983,,0)</f>
        <v>Michael Rodriguez</v>
      </c>
      <c r="G664" t="str">
        <f>_xlfn.XLOOKUP(C664,customers!$A:$A,customers!$C:$C,,0)</f>
        <v>michael.rodriguez210@gmail.com</v>
      </c>
      <c r="H664" t="str">
        <f>IF(_xlfn.XLOOKUP(C664,customers!$A:$A,customers!$G:$G,,0)=0,"",_xlfn.XLOOKUP(C664,customers!$A:$A,customers!$G:$G,,0))</f>
        <v>Japan</v>
      </c>
      <c r="I664" t="str">
        <f>IF(_xlfn.XLOOKUP(D664,product!$A:$A,product!$E:$E,,0)=0,"",_xlfn.XLOOKUP(D664,product!$A:$A,product!$E:$E,,0))</f>
        <v>SCIENCE</v>
      </c>
      <c r="J664" s="5">
        <f>IF(_xlfn.XLOOKUP(D664,product!$A:$A,product!$D:$D,,0)=0,"",_xlfn.XLOOKUP(D664,product!$A:$A,product!$D:$D,,0))</f>
        <v>24.51</v>
      </c>
      <c r="K664" s="7">
        <f t="shared" si="10"/>
        <v>73.53</v>
      </c>
      <c r="L664" s="10" t="str">
        <f>IF(_xlfn.XLOOKUP(D664,product!$A:$A,product!$F:$F,,0)=0,"",_xlfn.XLOOKUP(D664,product!$A:$A,product!$F:$F,,0))</f>
        <v>No</v>
      </c>
      <c r="M664" t="str">
        <f>IF(_xlfn.XLOOKUP(D664,product!$A:$A,product!G:G,,0)=0,"",_xlfn.XLOOKUP(D664,product!$A:$A,product!G:G,,0))</f>
        <v>Silver</v>
      </c>
      <c r="N664" t="str">
        <f>IF(_xlfn.XLOOKUP(D664,product!$A:$A,product!$B:$B,,0)=0,"",_xlfn.XLOOKUP(D664,product!$A:$A,product!$B:$B,,0))</f>
        <v>Mind Secrets</v>
      </c>
    </row>
    <row r="665" spans="1:14" x14ac:dyDescent="0.35">
      <c r="A665" t="s">
        <v>572</v>
      </c>
      <c r="B665" s="3">
        <v>45355</v>
      </c>
      <c r="C665" t="s">
        <v>1361</v>
      </c>
      <c r="D665" t="s">
        <v>6023</v>
      </c>
      <c r="E665">
        <v>3</v>
      </c>
      <c r="F665" t="str">
        <f>_xlfn.XLOOKUP(C665,customers!$A$1:$A$983,customers!$B$1:$B$983,,0)</f>
        <v>Joshua Hill</v>
      </c>
      <c r="G665" t="str">
        <f>_xlfn.XLOOKUP(C665,customers!$A:$A,customers!$C:$C,,0)</f>
        <v>joshua.hill80@hotmail.com</v>
      </c>
      <c r="H665" t="str">
        <f>IF(_xlfn.XLOOKUP(C665,customers!$A:$A,customers!$G:$G,,0)=0,"",_xlfn.XLOOKUP(C665,customers!$A:$A,customers!$G:$G,,0))</f>
        <v>Spain</v>
      </c>
      <c r="I665" t="str">
        <f>IF(_xlfn.XLOOKUP(D665,product!$A:$A,product!$E:$E,,0)=0,"",_xlfn.XLOOKUP(D665,product!$A:$A,product!$E:$E,,0))</f>
        <v>BUSINESS</v>
      </c>
      <c r="J665" s="5">
        <f>IF(_xlfn.XLOOKUP(D665,product!$A:$A,product!$D:$D,,0)=0,"",_xlfn.XLOOKUP(D665,product!$A:$A,product!$D:$D,,0))</f>
        <v>35.33</v>
      </c>
      <c r="K665" s="7">
        <f t="shared" si="10"/>
        <v>105.99</v>
      </c>
      <c r="L665" s="10" t="str">
        <f>IF(_xlfn.XLOOKUP(D665,product!$A:$A,product!$F:$F,,0)=0,"",_xlfn.XLOOKUP(D665,product!$A:$A,product!$F:$F,,0))</f>
        <v>No</v>
      </c>
      <c r="M665" t="str">
        <f>IF(_xlfn.XLOOKUP(D665,product!$A:$A,product!G:G,,0)=0,"",_xlfn.XLOOKUP(D665,product!$A:$A,product!G:G,,0))</f>
        <v>Gold</v>
      </c>
      <c r="N665" t="str">
        <f>IF(_xlfn.XLOOKUP(D665,product!$A:$A,product!$B:$B,,0)=0,"",_xlfn.XLOOKUP(D665,product!$A:$A,product!$B:$B,,0))</f>
        <v>Power Data</v>
      </c>
    </row>
    <row r="666" spans="1:14" x14ac:dyDescent="0.35">
      <c r="A666" t="s">
        <v>589</v>
      </c>
      <c r="B666" s="3">
        <v>44959</v>
      </c>
      <c r="C666" t="s">
        <v>1138</v>
      </c>
      <c r="D666" t="s">
        <v>6024</v>
      </c>
      <c r="E666">
        <v>3</v>
      </c>
      <c r="F666" t="str">
        <f>_xlfn.XLOOKUP(C666,customers!$A$1:$A$983,customers!$B$1:$B$983,,0)</f>
        <v>Edward Scott</v>
      </c>
      <c r="G666" t="str">
        <f>_xlfn.XLOOKUP(C666,customers!$A:$A,customers!$C:$C,,0)</f>
        <v>edward.scott25@gmail.com</v>
      </c>
      <c r="H666" t="str">
        <f>IF(_xlfn.XLOOKUP(C666,customers!$A:$A,customers!$G:$G,,0)=0,"",_xlfn.XLOOKUP(C666,customers!$A:$A,customers!$G:$G,,0))</f>
        <v>Japan</v>
      </c>
      <c r="I666" t="str">
        <f>IF(_xlfn.XLOOKUP(D666,product!$A:$A,product!$E:$E,,0)=0,"",_xlfn.XLOOKUP(D666,product!$A:$A,product!$E:$E,,0))</f>
        <v>HISTORY</v>
      </c>
      <c r="J666" s="5">
        <f>IF(_xlfn.XLOOKUP(D666,product!$A:$A,product!$D:$D,,0)=0,"",_xlfn.XLOOKUP(D666,product!$A:$A,product!$D:$D,,0))</f>
        <v>35.46</v>
      </c>
      <c r="K666" s="7">
        <f t="shared" si="10"/>
        <v>106.38</v>
      </c>
      <c r="L666" s="10" t="str">
        <f>IF(_xlfn.XLOOKUP(D666,product!$A:$A,product!$F:$F,,0)=0,"",_xlfn.XLOOKUP(D666,product!$A:$A,product!$F:$F,,0))</f>
        <v>Yes</v>
      </c>
      <c r="M666" t="str">
        <f>IF(_xlfn.XLOOKUP(D666,product!$A:$A,product!G:G,,0)=0,"",_xlfn.XLOOKUP(D666,product!$A:$A,product!G:G,,0))</f>
        <v>Silver</v>
      </c>
      <c r="N666" t="str">
        <f>IF(_xlfn.XLOOKUP(D666,product!$A:$A,product!$B:$B,,0)=0,"",_xlfn.XLOOKUP(D666,product!$A:$A,product!$B:$B,,0))</f>
        <v>Science Journey</v>
      </c>
    </row>
    <row r="667" spans="1:14" x14ac:dyDescent="0.35">
      <c r="A667" t="s">
        <v>606</v>
      </c>
      <c r="B667" s="3">
        <v>45447</v>
      </c>
      <c r="C667" t="s">
        <v>2087</v>
      </c>
      <c r="D667" t="s">
        <v>6025</v>
      </c>
      <c r="E667">
        <v>3</v>
      </c>
      <c r="F667" t="str">
        <f>_xlfn.XLOOKUP(C667,customers!$A$1:$A$983,customers!$B$1:$B$983,,0)</f>
        <v>Sophia Taylor</v>
      </c>
      <c r="G667" t="str">
        <f>_xlfn.XLOOKUP(C667,customers!$A:$A,customers!$C:$C,,0)</f>
        <v>sophia.taylor291@gmail.com</v>
      </c>
      <c r="H667" t="str">
        <f>IF(_xlfn.XLOOKUP(C667,customers!$A:$A,customers!$G:$G,,0)=0,"",_xlfn.XLOOKUP(C667,customers!$A:$A,customers!$G:$G,,0))</f>
        <v>Japan</v>
      </c>
      <c r="I667" t="str">
        <f>IF(_xlfn.XLOOKUP(D667,product!$A:$A,product!$E:$E,,0)=0,"",_xlfn.XLOOKUP(D667,product!$A:$A,product!$E:$E,,0))</f>
        <v>HISTORY</v>
      </c>
      <c r="J667" s="5">
        <f>IF(_xlfn.XLOOKUP(D667,product!$A:$A,product!$D:$D,,0)=0,"",_xlfn.XLOOKUP(D667,product!$A:$A,product!$D:$D,,0))</f>
        <v>11.05</v>
      </c>
      <c r="K667" s="7">
        <f t="shared" si="10"/>
        <v>33.150000000000006</v>
      </c>
      <c r="L667" s="10" t="str">
        <f>IF(_xlfn.XLOOKUP(D667,product!$A:$A,product!$F:$F,,0)=0,"",_xlfn.XLOOKUP(D667,product!$A:$A,product!$F:$F,,0))</f>
        <v>No</v>
      </c>
      <c r="M667" t="str">
        <f>IF(_xlfn.XLOOKUP(D667,product!$A:$A,product!G:G,,0)=0,"",_xlfn.XLOOKUP(D667,product!$A:$A,product!G:G,,0))</f>
        <v>Gold</v>
      </c>
      <c r="N667" t="str">
        <f>IF(_xlfn.XLOOKUP(D667,product!$A:$A,product!$B:$B,,0)=0,"",_xlfn.XLOOKUP(D667,product!$A:$A,product!$B:$B,,0))</f>
        <v>Data Secrets</v>
      </c>
    </row>
    <row r="668" spans="1:14" x14ac:dyDescent="0.35">
      <c r="A668" t="s">
        <v>623</v>
      </c>
      <c r="B668" s="3">
        <v>45066</v>
      </c>
      <c r="C668" t="s">
        <v>2067</v>
      </c>
      <c r="D668" t="s">
        <v>6026</v>
      </c>
      <c r="E668">
        <v>3</v>
      </c>
      <c r="F668" t="str">
        <f>_xlfn.XLOOKUP(C668,customers!$A$1:$A$983,customers!$B$1:$B$983,,0)</f>
        <v>James Scott</v>
      </c>
      <c r="G668" t="str">
        <f>_xlfn.XLOOKUP(C668,customers!$A:$A,customers!$C:$C,,0)</f>
        <v>james.scott284@gmail.com</v>
      </c>
      <c r="H668" t="str">
        <f>IF(_xlfn.XLOOKUP(C668,customers!$A:$A,customers!$G:$G,,0)=0,"",_xlfn.XLOOKUP(C668,customers!$A:$A,customers!$G:$G,,0))</f>
        <v>Egypt</v>
      </c>
      <c r="I668" t="str">
        <f>IF(_xlfn.XLOOKUP(D668,product!$A:$A,product!$E:$E,,0)=0,"",_xlfn.XLOOKUP(D668,product!$A:$A,product!$E:$E,,0))</f>
        <v>TECH</v>
      </c>
      <c r="J668" s="5">
        <f>IF(_xlfn.XLOOKUP(D668,product!$A:$A,product!$D:$D,,0)=0,"",_xlfn.XLOOKUP(D668,product!$A:$A,product!$D:$D,,0))</f>
        <v>28.4</v>
      </c>
      <c r="K668" s="7">
        <f t="shared" si="10"/>
        <v>85.199999999999989</v>
      </c>
      <c r="L668" s="10" t="str">
        <f>IF(_xlfn.XLOOKUP(D668,product!$A:$A,product!$F:$F,,0)=0,"",_xlfn.XLOOKUP(D668,product!$A:$A,product!$F:$F,,0))</f>
        <v>No</v>
      </c>
      <c r="M668" t="str">
        <f>IF(_xlfn.XLOOKUP(D668,product!$A:$A,product!G:G,,0)=0,"",_xlfn.XLOOKUP(D668,product!$A:$A,product!G:G,,0))</f>
        <v>None</v>
      </c>
      <c r="N668" t="str">
        <f>IF(_xlfn.XLOOKUP(D668,product!$A:$A,product!$B:$B,,0)=0,"",_xlfn.XLOOKUP(D668,product!$A:$A,product!$B:$B,,0))</f>
        <v>Power Journey</v>
      </c>
    </row>
    <row r="669" spans="1:14" x14ac:dyDescent="0.35">
      <c r="A669" t="s">
        <v>640</v>
      </c>
      <c r="B669" s="3">
        <v>45580</v>
      </c>
      <c r="C669" t="s">
        <v>3228</v>
      </c>
      <c r="D669" t="s">
        <v>6027</v>
      </c>
      <c r="E669">
        <v>3</v>
      </c>
      <c r="F669" t="str">
        <f>_xlfn.XLOOKUP(C669,customers!$A$1:$A$983,customers!$B$1:$B$983,,0)</f>
        <v>Zoe Lewis</v>
      </c>
      <c r="G669" t="str">
        <f>_xlfn.XLOOKUP(C669,customers!$A:$A,customers!$C:$C,,0)</f>
        <v>zoe.lewis827@yahoo.com</v>
      </c>
      <c r="H669" t="str">
        <f>IF(_xlfn.XLOOKUP(C669,customers!$A:$A,customers!$G:$G,,0)=0,"",_xlfn.XLOOKUP(C669,customers!$A:$A,customers!$G:$G,,0))</f>
        <v>Venezuela</v>
      </c>
      <c r="I669" t="str">
        <f>IF(_xlfn.XLOOKUP(D669,product!$A:$A,product!$E:$E,,0)=0,"",_xlfn.XLOOKUP(D669,product!$A:$A,product!$E:$E,,0))</f>
        <v>HISTORY</v>
      </c>
      <c r="J669" s="5">
        <f>IF(_xlfn.XLOOKUP(D669,product!$A:$A,product!$D:$D,,0)=0,"",_xlfn.XLOOKUP(D669,product!$A:$A,product!$D:$D,,0))</f>
        <v>27.32</v>
      </c>
      <c r="K669" s="7">
        <f t="shared" si="10"/>
        <v>81.960000000000008</v>
      </c>
      <c r="L669" s="10" t="str">
        <f>IF(_xlfn.XLOOKUP(D669,product!$A:$A,product!$F:$F,,0)=0,"",_xlfn.XLOOKUP(D669,product!$A:$A,product!$F:$F,,0))</f>
        <v>Yes</v>
      </c>
      <c r="M669" t="str">
        <f>IF(_xlfn.XLOOKUP(D669,product!$A:$A,product!G:G,,0)=0,"",_xlfn.XLOOKUP(D669,product!$A:$A,product!G:G,,0))</f>
        <v>Silver</v>
      </c>
      <c r="N669" t="str">
        <f>IF(_xlfn.XLOOKUP(D669,product!$A:$A,product!$B:$B,,0)=0,"",_xlfn.XLOOKUP(D669,product!$A:$A,product!$B:$B,,0))</f>
        <v>Science Quantum</v>
      </c>
    </row>
    <row r="670" spans="1:14" x14ac:dyDescent="0.35">
      <c r="A670" t="s">
        <v>657</v>
      </c>
      <c r="B670" s="3">
        <v>45111</v>
      </c>
      <c r="C670" t="s">
        <v>2579</v>
      </c>
      <c r="D670" t="s">
        <v>6028</v>
      </c>
      <c r="E670">
        <v>3</v>
      </c>
      <c r="F670" t="str">
        <f>_xlfn.XLOOKUP(C670,customers!$A$1:$A$983,customers!$B$1:$B$983,,0)</f>
        <v>Mia King</v>
      </c>
      <c r="G670" t="str">
        <f>_xlfn.XLOOKUP(C670,customers!$A:$A,customers!$C:$C,,0)</f>
        <v>mia.king510@gmail.com</v>
      </c>
      <c r="H670" t="str">
        <f>IF(_xlfn.XLOOKUP(C670,customers!$A:$A,customers!$G:$G,,0)=0,"",_xlfn.XLOOKUP(C670,customers!$A:$A,customers!$G:$G,,0))</f>
        <v>Spain</v>
      </c>
      <c r="I670" t="str">
        <f>IF(_xlfn.XLOOKUP(D670,product!$A:$A,product!$E:$E,,0)=0,"",_xlfn.XLOOKUP(D670,product!$A:$A,product!$E:$E,,0))</f>
        <v>HISTORY</v>
      </c>
      <c r="J670" s="5">
        <f>IF(_xlfn.XLOOKUP(D670,product!$A:$A,product!$D:$D,,0)=0,"",_xlfn.XLOOKUP(D670,product!$A:$A,product!$D:$D,,0))</f>
        <v>38.729999999999997</v>
      </c>
      <c r="K670" s="7">
        <f t="shared" si="10"/>
        <v>116.19</v>
      </c>
      <c r="L670" s="10" t="str">
        <f>IF(_xlfn.XLOOKUP(D670,product!$A:$A,product!$F:$F,,0)=0,"",_xlfn.XLOOKUP(D670,product!$A:$A,product!$F:$F,,0))</f>
        <v>No</v>
      </c>
      <c r="M670" t="str">
        <f>IF(_xlfn.XLOOKUP(D670,product!$A:$A,product!G:G,,0)=0,"",_xlfn.XLOOKUP(D670,product!$A:$A,product!G:G,,0))</f>
        <v>Gold</v>
      </c>
      <c r="N670" t="str">
        <f>IF(_xlfn.XLOOKUP(D670,product!$A:$A,product!$B:$B,,0)=0,"",_xlfn.XLOOKUP(D670,product!$A:$A,product!$B:$B,,0))</f>
        <v>Science Future</v>
      </c>
    </row>
    <row r="671" spans="1:14" x14ac:dyDescent="0.35">
      <c r="A671" t="s">
        <v>674</v>
      </c>
      <c r="B671" s="3">
        <v>45517</v>
      </c>
      <c r="C671" t="s">
        <v>3107</v>
      </c>
      <c r="D671" t="s">
        <v>6029</v>
      </c>
      <c r="E671">
        <v>3</v>
      </c>
      <c r="F671" t="str">
        <f>_xlfn.XLOOKUP(C671,customers!$A$1:$A$983,customers!$B$1:$B$983,,0)</f>
        <v>Ella King</v>
      </c>
      <c r="G671" t="str">
        <f>_xlfn.XLOOKUP(C671,customers!$A:$A,customers!$C:$C,,0)</f>
        <v>ella.king766@hotmail.com</v>
      </c>
      <c r="H671" t="str">
        <f>IF(_xlfn.XLOOKUP(C671,customers!$A:$A,customers!$G:$G,,0)=0,"",_xlfn.XLOOKUP(C671,customers!$A:$A,customers!$G:$G,,0))</f>
        <v>USA</v>
      </c>
      <c r="I671" t="str">
        <f>IF(_xlfn.XLOOKUP(D671,product!$A:$A,product!$E:$E,,0)=0,"",_xlfn.XLOOKUP(D671,product!$A:$A,product!$E:$E,,0))</f>
        <v>SCIENCE</v>
      </c>
      <c r="J671" s="5">
        <f>IF(_xlfn.XLOOKUP(D671,product!$A:$A,product!$D:$D,,0)=0,"",_xlfn.XLOOKUP(D671,product!$A:$A,product!$D:$D,,0))</f>
        <v>31.56</v>
      </c>
      <c r="K671" s="7">
        <f t="shared" si="10"/>
        <v>94.679999999999993</v>
      </c>
      <c r="L671" s="10" t="str">
        <f>IF(_xlfn.XLOOKUP(D671,product!$A:$A,product!$F:$F,,0)=0,"",_xlfn.XLOOKUP(D671,product!$A:$A,product!$F:$F,,0))</f>
        <v>No</v>
      </c>
      <c r="M671" t="str">
        <f>IF(_xlfn.XLOOKUP(D671,product!$A:$A,product!G:G,,0)=0,"",_xlfn.XLOOKUP(D671,product!$A:$A,product!G:G,,0))</f>
        <v>Gold</v>
      </c>
      <c r="N671" t="str">
        <f>IF(_xlfn.XLOOKUP(D671,product!$A:$A,product!$B:$B,,0)=0,"",_xlfn.XLOOKUP(D671,product!$A:$A,product!$B:$B,,0))</f>
        <v>Silent Future</v>
      </c>
    </row>
    <row r="672" spans="1:14" x14ac:dyDescent="0.35">
      <c r="A672" t="s">
        <v>691</v>
      </c>
      <c r="B672" s="3">
        <v>44953</v>
      </c>
      <c r="C672" t="s">
        <v>2667</v>
      </c>
      <c r="D672" t="s">
        <v>6030</v>
      </c>
      <c r="E672">
        <v>3</v>
      </c>
      <c r="F672" t="str">
        <f>_xlfn.XLOOKUP(C672,customers!$A$1:$A$983,customers!$B$1:$B$983,,0)</f>
        <v>Hannah King</v>
      </c>
      <c r="G672" t="str">
        <f>_xlfn.XLOOKUP(C672,customers!$A:$A,customers!$C:$C,,0)</f>
        <v>hannah.king552@gmail.com</v>
      </c>
      <c r="H672" t="str">
        <f>IF(_xlfn.XLOOKUP(C672,customers!$A:$A,customers!$G:$G,,0)=0,"",_xlfn.XLOOKUP(C672,customers!$A:$A,customers!$G:$G,,0))</f>
        <v>Japan</v>
      </c>
      <c r="I672" t="str">
        <f>IF(_xlfn.XLOOKUP(D672,product!$A:$A,product!$E:$E,,0)=0,"",_xlfn.XLOOKUP(D672,product!$A:$A,product!$E:$E,,0))</f>
        <v>SCIENCE</v>
      </c>
      <c r="J672" s="5">
        <f>IF(_xlfn.XLOOKUP(D672,product!$A:$A,product!$D:$D,,0)=0,"",_xlfn.XLOOKUP(D672,product!$A:$A,product!$D:$D,,0))</f>
        <v>36.08</v>
      </c>
      <c r="K672" s="7">
        <f t="shared" si="10"/>
        <v>108.24</v>
      </c>
      <c r="L672" s="10" t="str">
        <f>IF(_xlfn.XLOOKUP(D672,product!$A:$A,product!$F:$F,,0)=0,"",_xlfn.XLOOKUP(D672,product!$A:$A,product!$F:$F,,0))</f>
        <v>Yes</v>
      </c>
      <c r="M672" t="str">
        <f>IF(_xlfn.XLOOKUP(D672,product!$A:$A,product!G:G,,0)=0,"",_xlfn.XLOOKUP(D672,product!$A:$A,product!G:G,,0))</f>
        <v>None</v>
      </c>
      <c r="N672" t="str">
        <f>IF(_xlfn.XLOOKUP(D672,product!$A:$A,product!$B:$B,,0)=0,"",_xlfn.XLOOKUP(D672,product!$A:$A,product!$B:$B,,0))</f>
        <v>Future Secrets</v>
      </c>
    </row>
    <row r="673" spans="1:14" x14ac:dyDescent="0.35">
      <c r="A673" t="s">
        <v>708</v>
      </c>
      <c r="B673" s="3">
        <v>45383</v>
      </c>
      <c r="C673" t="s">
        <v>1483</v>
      </c>
      <c r="D673" t="s">
        <v>6031</v>
      </c>
      <c r="E673">
        <v>3</v>
      </c>
      <c r="F673" t="str">
        <f>_xlfn.XLOOKUP(C673,customers!$A$1:$A$983,customers!$B$1:$B$983,,0)</f>
        <v>Chloe Robinson</v>
      </c>
      <c r="G673" t="str">
        <f>_xlfn.XLOOKUP(C673,customers!$A:$A,customers!$C:$C,,0)</f>
        <v>chloe.robinson118@outlook.com</v>
      </c>
      <c r="H673" t="str">
        <f>IF(_xlfn.XLOOKUP(C673,customers!$A:$A,customers!$G:$G,,0)=0,"",_xlfn.XLOOKUP(C673,customers!$A:$A,customers!$G:$G,,0))</f>
        <v>USA</v>
      </c>
      <c r="I673" t="str">
        <f>IF(_xlfn.XLOOKUP(D673,product!$A:$A,product!$E:$E,,0)=0,"",_xlfn.XLOOKUP(D673,product!$A:$A,product!$E:$E,,0))</f>
        <v>FICTION</v>
      </c>
      <c r="J673" s="5">
        <f>IF(_xlfn.XLOOKUP(D673,product!$A:$A,product!$D:$D,,0)=0,"",_xlfn.XLOOKUP(D673,product!$A:$A,product!$D:$D,,0))</f>
        <v>19.45</v>
      </c>
      <c r="K673" s="7">
        <f t="shared" si="10"/>
        <v>58.349999999999994</v>
      </c>
      <c r="L673" s="10" t="str">
        <f>IF(_xlfn.XLOOKUP(D673,product!$A:$A,product!$F:$F,,0)=0,"",_xlfn.XLOOKUP(D673,product!$A:$A,product!$F:$F,,0))</f>
        <v>No</v>
      </c>
      <c r="M673" t="str">
        <f>IF(_xlfn.XLOOKUP(D673,product!$A:$A,product!G:G,,0)=0,"",_xlfn.XLOOKUP(D673,product!$A:$A,product!G:G,,0))</f>
        <v>None</v>
      </c>
      <c r="N673" t="str">
        <f>IF(_xlfn.XLOOKUP(D673,product!$A:$A,product!$B:$B,,0)=0,"",_xlfn.XLOOKUP(D673,product!$A:$A,product!$B:$B,,0))</f>
        <v>Mind Secrets</v>
      </c>
    </row>
    <row r="674" spans="1:14" x14ac:dyDescent="0.35">
      <c r="A674" t="s">
        <v>725</v>
      </c>
      <c r="B674" s="3">
        <v>45187</v>
      </c>
      <c r="C674" t="s">
        <v>1728</v>
      </c>
      <c r="D674" t="s">
        <v>6032</v>
      </c>
      <c r="E674">
        <v>3</v>
      </c>
      <c r="F674" t="str">
        <f>_xlfn.XLOOKUP(C674,customers!$A$1:$A$983,customers!$B$1:$B$983,,0)</f>
        <v>Sarah Smith</v>
      </c>
      <c r="G674" t="str">
        <f>_xlfn.XLOOKUP(C674,customers!$A:$A,customers!$C:$C,,0)</f>
        <v>sarah.smith178@gmail.com</v>
      </c>
      <c r="H674" t="str">
        <f>IF(_xlfn.XLOOKUP(C674,customers!$A:$A,customers!$G:$G,,0)=0,"",_xlfn.XLOOKUP(C674,customers!$A:$A,customers!$G:$G,,0))</f>
        <v>Japan</v>
      </c>
      <c r="I674" t="str">
        <f>IF(_xlfn.XLOOKUP(D674,product!$A:$A,product!$E:$E,,0)=0,"",_xlfn.XLOOKUP(D674,product!$A:$A,product!$E:$E,,0))</f>
        <v>BUSINESS</v>
      </c>
      <c r="J674" s="5">
        <f>IF(_xlfn.XLOOKUP(D674,product!$A:$A,product!$D:$D,,0)=0,"",_xlfn.XLOOKUP(D674,product!$A:$A,product!$D:$D,,0))</f>
        <v>24.78</v>
      </c>
      <c r="K674" s="7">
        <f t="shared" si="10"/>
        <v>74.34</v>
      </c>
      <c r="L674" s="10" t="str">
        <f>IF(_xlfn.XLOOKUP(D674,product!$A:$A,product!$F:$F,,0)=0,"",_xlfn.XLOOKUP(D674,product!$A:$A,product!$F:$F,,0))</f>
        <v>No</v>
      </c>
      <c r="M674" t="str">
        <f>IF(_xlfn.XLOOKUP(D674,product!$A:$A,product!G:G,,0)=0,"",_xlfn.XLOOKUP(D674,product!$A:$A,product!G:G,,0))</f>
        <v>None</v>
      </c>
      <c r="N674" t="str">
        <f>IF(_xlfn.XLOOKUP(D674,product!$A:$A,product!$B:$B,,0)=0,"",_xlfn.XLOOKUP(D674,product!$A:$A,product!$B:$B,,0))</f>
        <v>Forest Secrets</v>
      </c>
    </row>
    <row r="675" spans="1:14" x14ac:dyDescent="0.35">
      <c r="A675" t="s">
        <v>742</v>
      </c>
      <c r="B675" s="3">
        <v>45627</v>
      </c>
      <c r="C675" t="s">
        <v>1131</v>
      </c>
      <c r="D675" t="s">
        <v>6033</v>
      </c>
      <c r="E675">
        <v>3</v>
      </c>
      <c r="F675" t="str">
        <f>_xlfn.XLOOKUP(C675,customers!$A$1:$A$983,customers!$B$1:$B$983,,0)</f>
        <v>Michael Young</v>
      </c>
      <c r="G675" t="str">
        <f>_xlfn.XLOOKUP(C675,customers!$A:$A,customers!$C:$C,,0)</f>
        <v>michael.young23@yahoo.com</v>
      </c>
      <c r="H675" t="str">
        <f>IF(_xlfn.XLOOKUP(C675,customers!$A:$A,customers!$G:$G,,0)=0,"",_xlfn.XLOOKUP(C675,customers!$A:$A,customers!$G:$G,,0))</f>
        <v>Egypt</v>
      </c>
      <c r="I675" t="str">
        <f>IF(_xlfn.XLOOKUP(D675,product!$A:$A,product!$E:$E,,0)=0,"",_xlfn.XLOOKUP(D675,product!$A:$A,product!$E:$E,,0))</f>
        <v>SCIENCE</v>
      </c>
      <c r="J675" s="5">
        <f>IF(_xlfn.XLOOKUP(D675,product!$A:$A,product!$D:$D,,0)=0,"",_xlfn.XLOOKUP(D675,product!$A:$A,product!$D:$D,,0))</f>
        <v>11.31</v>
      </c>
      <c r="K675" s="7">
        <f t="shared" si="10"/>
        <v>33.93</v>
      </c>
      <c r="L675" s="10" t="str">
        <f>IF(_xlfn.XLOOKUP(D675,product!$A:$A,product!$F:$F,,0)=0,"",_xlfn.XLOOKUP(D675,product!$A:$A,product!$F:$F,,0))</f>
        <v>No</v>
      </c>
      <c r="M675" t="str">
        <f>IF(_xlfn.XLOOKUP(D675,product!$A:$A,product!G:G,,0)=0,"",_xlfn.XLOOKUP(D675,product!$A:$A,product!G:G,,0))</f>
        <v>Gold</v>
      </c>
      <c r="N675" t="str">
        <f>IF(_xlfn.XLOOKUP(D675,product!$A:$A,product!$B:$B,,0)=0,"",_xlfn.XLOOKUP(D675,product!$A:$A,product!$B:$B,,0))</f>
        <v>Future Data</v>
      </c>
    </row>
    <row r="676" spans="1:14" x14ac:dyDescent="0.35">
      <c r="A676" t="s">
        <v>759</v>
      </c>
      <c r="B676" s="3">
        <v>44986</v>
      </c>
      <c r="C676" t="s">
        <v>2955</v>
      </c>
      <c r="D676" t="s">
        <v>6034</v>
      </c>
      <c r="E676">
        <v>3</v>
      </c>
      <c r="F676" t="str">
        <f>_xlfn.XLOOKUP(C676,customers!$A$1:$A$983,customers!$B$1:$B$983,,0)</f>
        <v>Ryan Lewis</v>
      </c>
      <c r="G676" t="str">
        <f>_xlfn.XLOOKUP(C676,customers!$A:$A,customers!$C:$C,,0)</f>
        <v>ryan.lewis692@gmail.com</v>
      </c>
      <c r="H676" t="str">
        <f>IF(_xlfn.XLOOKUP(C676,customers!$A:$A,customers!$G:$G,,0)=0,"",_xlfn.XLOOKUP(C676,customers!$A:$A,customers!$G:$G,,0))</f>
        <v>Spain</v>
      </c>
      <c r="I676" t="str">
        <f>IF(_xlfn.XLOOKUP(D676,product!$A:$A,product!$E:$E,,0)=0,"",_xlfn.XLOOKUP(D676,product!$A:$A,product!$E:$E,,0))</f>
        <v>FICTION</v>
      </c>
      <c r="J676" s="5">
        <f>IF(_xlfn.XLOOKUP(D676,product!$A:$A,product!$D:$D,,0)=0,"",_xlfn.XLOOKUP(D676,product!$A:$A,product!$D:$D,,0))</f>
        <v>18.91</v>
      </c>
      <c r="K676" s="7">
        <f t="shared" si="10"/>
        <v>56.730000000000004</v>
      </c>
      <c r="L676" s="10" t="str">
        <f>IF(_xlfn.XLOOKUP(D676,product!$A:$A,product!$F:$F,,0)=0,"",_xlfn.XLOOKUP(D676,product!$A:$A,product!$F:$F,,0))</f>
        <v>Yes</v>
      </c>
      <c r="M676" t="str">
        <f>IF(_xlfn.XLOOKUP(D676,product!$A:$A,product!G:G,,0)=0,"",_xlfn.XLOOKUP(D676,product!$A:$A,product!G:G,,0))</f>
        <v>Gold</v>
      </c>
      <c r="N676" t="str">
        <f>IF(_xlfn.XLOOKUP(D676,product!$A:$A,product!$B:$B,,0)=0,"",_xlfn.XLOOKUP(D676,product!$A:$A,product!$B:$B,,0))</f>
        <v>Quantum Silent</v>
      </c>
    </row>
    <row r="677" spans="1:14" x14ac:dyDescent="0.35">
      <c r="A677" t="s">
        <v>776</v>
      </c>
      <c r="B677" s="3">
        <v>45323</v>
      </c>
      <c r="C677" t="s">
        <v>2892</v>
      </c>
      <c r="D677" t="s">
        <v>6035</v>
      </c>
      <c r="E677">
        <v>3</v>
      </c>
      <c r="F677" t="str">
        <f>_xlfn.XLOOKUP(C677,customers!$A$1:$A$983,customers!$B$1:$B$983,,0)</f>
        <v>Paul Johnson</v>
      </c>
      <c r="G677" t="str">
        <f>_xlfn.XLOOKUP(C677,customers!$A:$A,customers!$C:$C,,0)</f>
        <v>paul.johnson661@hotmail.com</v>
      </c>
      <c r="H677" t="str">
        <f>IF(_xlfn.XLOOKUP(C677,customers!$A:$A,customers!$G:$G,,0)=0,"",_xlfn.XLOOKUP(C677,customers!$A:$A,customers!$G:$G,,0))</f>
        <v>Sweden</v>
      </c>
      <c r="I677" t="str">
        <f>IF(_xlfn.XLOOKUP(D677,product!$A:$A,product!$E:$E,,0)=0,"",_xlfn.XLOOKUP(D677,product!$A:$A,product!$E:$E,,0))</f>
        <v>SCIENCE</v>
      </c>
      <c r="J677" s="5">
        <f>IF(_xlfn.XLOOKUP(D677,product!$A:$A,product!$D:$D,,0)=0,"",_xlfn.XLOOKUP(D677,product!$A:$A,product!$D:$D,,0))</f>
        <v>13.97</v>
      </c>
      <c r="K677" s="7">
        <f t="shared" si="10"/>
        <v>41.910000000000004</v>
      </c>
      <c r="L677" s="10" t="str">
        <f>IF(_xlfn.XLOOKUP(D677,product!$A:$A,product!$F:$F,,0)=0,"",_xlfn.XLOOKUP(D677,product!$A:$A,product!$F:$F,,0))</f>
        <v>Yes</v>
      </c>
      <c r="M677" t="str">
        <f>IF(_xlfn.XLOOKUP(D677,product!$A:$A,product!G:G,,0)=0,"",_xlfn.XLOOKUP(D677,product!$A:$A,product!G:G,,0))</f>
        <v>Silver</v>
      </c>
      <c r="N677" t="str">
        <f>IF(_xlfn.XLOOKUP(D677,product!$A:$A,product!$B:$B,,0)=0,"",_xlfn.XLOOKUP(D677,product!$A:$A,product!$B:$B,,0))</f>
        <v>Power Science</v>
      </c>
    </row>
    <row r="678" spans="1:14" x14ac:dyDescent="0.35">
      <c r="A678" t="s">
        <v>793</v>
      </c>
      <c r="B678" s="3">
        <v>45158</v>
      </c>
      <c r="C678" t="s">
        <v>1494</v>
      </c>
      <c r="D678" t="s">
        <v>6036</v>
      </c>
      <c r="E678">
        <v>3</v>
      </c>
      <c r="F678" t="str">
        <f>_xlfn.XLOOKUP(C678,customers!$A$1:$A$983,customers!$B$1:$B$983,,0)</f>
        <v>Grace Hill</v>
      </c>
      <c r="G678" t="str">
        <f>_xlfn.XLOOKUP(C678,customers!$A:$A,customers!$C:$C,,0)</f>
        <v>grace.hill121@outlook.com</v>
      </c>
      <c r="H678" t="str">
        <f>IF(_xlfn.XLOOKUP(C678,customers!$A:$A,customers!$G:$G,,0)=0,"",_xlfn.XLOOKUP(C678,customers!$A:$A,customers!$G:$G,,0))</f>
        <v>Sweden</v>
      </c>
      <c r="I678" t="str">
        <f>IF(_xlfn.XLOOKUP(D678,product!$A:$A,product!$E:$E,,0)=0,"",_xlfn.XLOOKUP(D678,product!$A:$A,product!$E:$E,,0))</f>
        <v>TECH</v>
      </c>
      <c r="J678" s="5">
        <f>IF(_xlfn.XLOOKUP(D678,product!$A:$A,product!$D:$D,,0)=0,"",_xlfn.XLOOKUP(D678,product!$A:$A,product!$D:$D,,0))</f>
        <v>32.01</v>
      </c>
      <c r="K678" s="7">
        <f t="shared" si="10"/>
        <v>96.03</v>
      </c>
      <c r="L678" s="10" t="str">
        <f>IF(_xlfn.XLOOKUP(D678,product!$A:$A,product!$F:$F,,0)=0,"",_xlfn.XLOOKUP(D678,product!$A:$A,product!$F:$F,,0))</f>
        <v>No</v>
      </c>
      <c r="M678" t="str">
        <f>IF(_xlfn.XLOOKUP(D678,product!$A:$A,product!G:G,,0)=0,"",_xlfn.XLOOKUP(D678,product!$A:$A,product!G:G,,0))</f>
        <v>None</v>
      </c>
      <c r="N678" t="str">
        <f>IF(_xlfn.XLOOKUP(D678,product!$A:$A,product!$B:$B,,0)=0,"",_xlfn.XLOOKUP(D678,product!$A:$A,product!$B:$B,,0))</f>
        <v>Quantum Data</v>
      </c>
    </row>
    <row r="679" spans="1:14" x14ac:dyDescent="0.35">
      <c r="A679" t="s">
        <v>810</v>
      </c>
      <c r="B679" s="3">
        <v>45430</v>
      </c>
      <c r="C679" t="s">
        <v>3417</v>
      </c>
      <c r="D679" t="s">
        <v>6037</v>
      </c>
      <c r="E679">
        <v>3</v>
      </c>
      <c r="F679" t="str">
        <f>_xlfn.XLOOKUP(C679,customers!$A$1:$A$983,customers!$B$1:$B$983,,0)</f>
        <v>Andrew Johnson</v>
      </c>
      <c r="G679" t="str">
        <f>_xlfn.XLOOKUP(C679,customers!$A:$A,customers!$C:$C,,0)</f>
        <v>andrew.johnson923@yahoo.com</v>
      </c>
      <c r="H679" t="str">
        <f>IF(_xlfn.XLOOKUP(C679,customers!$A:$A,customers!$G:$G,,0)=0,"",_xlfn.XLOOKUP(C679,customers!$A:$A,customers!$G:$G,,0))</f>
        <v>Portugal</v>
      </c>
      <c r="I679" t="str">
        <f>IF(_xlfn.XLOOKUP(D679,product!$A:$A,product!$E:$E,,0)=0,"",_xlfn.XLOOKUP(D679,product!$A:$A,product!$E:$E,,0))</f>
        <v>HISTORY</v>
      </c>
      <c r="J679" s="5">
        <f>IF(_xlfn.XLOOKUP(D679,product!$A:$A,product!$D:$D,,0)=0,"",_xlfn.XLOOKUP(D679,product!$A:$A,product!$D:$D,,0))</f>
        <v>16.670000000000002</v>
      </c>
      <c r="K679" s="7">
        <f t="shared" si="10"/>
        <v>50.010000000000005</v>
      </c>
      <c r="L679" s="10" t="str">
        <f>IF(_xlfn.XLOOKUP(D679,product!$A:$A,product!$F:$F,,0)=0,"",_xlfn.XLOOKUP(D679,product!$A:$A,product!$F:$F,,0))</f>
        <v>Yes</v>
      </c>
      <c r="M679" t="str">
        <f>IF(_xlfn.XLOOKUP(D679,product!$A:$A,product!G:G,,0)=0,"",_xlfn.XLOOKUP(D679,product!$A:$A,product!G:G,,0))</f>
        <v>Gold</v>
      </c>
      <c r="N679" t="str">
        <f>IF(_xlfn.XLOOKUP(D679,product!$A:$A,product!$B:$B,,0)=0,"",_xlfn.XLOOKUP(D679,product!$A:$A,product!$B:$B,,0))</f>
        <v>Silent Data</v>
      </c>
    </row>
    <row r="680" spans="1:14" x14ac:dyDescent="0.35">
      <c r="A680" t="s">
        <v>827</v>
      </c>
      <c r="B680" s="3">
        <v>45250</v>
      </c>
      <c r="C680" t="s">
        <v>3056</v>
      </c>
      <c r="D680" t="s">
        <v>6038</v>
      </c>
      <c r="E680">
        <v>3</v>
      </c>
      <c r="F680" t="str">
        <f>_xlfn.XLOOKUP(C680,customers!$A$1:$A$983,customers!$B$1:$B$983,,0)</f>
        <v>Zoe Green</v>
      </c>
      <c r="G680" t="str">
        <f>_xlfn.XLOOKUP(C680,customers!$A:$A,customers!$C:$C,,0)</f>
        <v>zoe.green740@hotmail.com</v>
      </c>
      <c r="H680" t="str">
        <f>IF(_xlfn.XLOOKUP(C680,customers!$A:$A,customers!$G:$G,,0)=0,"",_xlfn.XLOOKUP(C680,customers!$A:$A,customers!$G:$G,,0))</f>
        <v>Pakistan</v>
      </c>
      <c r="I680" t="str">
        <f>IF(_xlfn.XLOOKUP(D680,product!$A:$A,product!$E:$E,,0)=0,"",_xlfn.XLOOKUP(D680,product!$A:$A,product!$E:$E,,0))</f>
        <v>TECH</v>
      </c>
      <c r="J680" s="5">
        <f>IF(_xlfn.XLOOKUP(D680,product!$A:$A,product!$D:$D,,0)=0,"",_xlfn.XLOOKUP(D680,product!$A:$A,product!$D:$D,,0))</f>
        <v>27.44</v>
      </c>
      <c r="K680" s="7">
        <f t="shared" si="10"/>
        <v>82.320000000000007</v>
      </c>
      <c r="L680" s="10" t="str">
        <f>IF(_xlfn.XLOOKUP(D680,product!$A:$A,product!$F:$F,,0)=0,"",_xlfn.XLOOKUP(D680,product!$A:$A,product!$F:$F,,0))</f>
        <v>No</v>
      </c>
      <c r="M680" t="str">
        <f>IF(_xlfn.XLOOKUP(D680,product!$A:$A,product!G:G,,0)=0,"",_xlfn.XLOOKUP(D680,product!$A:$A,product!G:G,,0))</f>
        <v>None</v>
      </c>
      <c r="N680" t="str">
        <f>IF(_xlfn.XLOOKUP(D680,product!$A:$A,product!$B:$B,,0)=0,"",_xlfn.XLOOKUP(D680,product!$A:$A,product!$B:$B,,0))</f>
        <v>Data Mind</v>
      </c>
    </row>
    <row r="681" spans="1:14" x14ac:dyDescent="0.35">
      <c r="A681" t="s">
        <v>844</v>
      </c>
      <c r="B681" s="3">
        <v>45504</v>
      </c>
      <c r="C681" t="s">
        <v>3319</v>
      </c>
      <c r="D681" t="s">
        <v>6039</v>
      </c>
      <c r="E681">
        <v>3</v>
      </c>
      <c r="F681" t="str">
        <f>_xlfn.XLOOKUP(C681,customers!$A$1:$A$983,customers!$B$1:$B$983,,0)</f>
        <v>Hannah Anderson</v>
      </c>
      <c r="G681" t="str">
        <f>_xlfn.XLOOKUP(C681,customers!$A:$A,customers!$C:$C,,0)</f>
        <v>hannah.anderson873@yahoo.com</v>
      </c>
      <c r="H681" t="str">
        <f>IF(_xlfn.XLOOKUP(C681,customers!$A:$A,customers!$G:$G,,0)=0,"",_xlfn.XLOOKUP(C681,customers!$A:$A,customers!$G:$G,,0))</f>
        <v>Japan</v>
      </c>
      <c r="I681" t="str">
        <f>IF(_xlfn.XLOOKUP(D681,product!$A:$A,product!$E:$E,,0)=0,"",_xlfn.XLOOKUP(D681,product!$A:$A,product!$E:$E,,0))</f>
        <v>SCIENCE</v>
      </c>
      <c r="J681" s="5">
        <f>IF(_xlfn.XLOOKUP(D681,product!$A:$A,product!$D:$D,,0)=0,"",_xlfn.XLOOKUP(D681,product!$A:$A,product!$D:$D,,0))</f>
        <v>37.619999999999997</v>
      </c>
      <c r="K681" s="7">
        <f t="shared" si="10"/>
        <v>112.85999999999999</v>
      </c>
      <c r="L681" s="10" t="str">
        <f>IF(_xlfn.XLOOKUP(D681,product!$A:$A,product!$F:$F,,0)=0,"",_xlfn.XLOOKUP(D681,product!$A:$A,product!$F:$F,,0))</f>
        <v>No</v>
      </c>
      <c r="M681" t="str">
        <f>IF(_xlfn.XLOOKUP(D681,product!$A:$A,product!G:G,,0)=0,"",_xlfn.XLOOKUP(D681,product!$A:$A,product!G:G,,0))</f>
        <v>Gold</v>
      </c>
      <c r="N681" t="str">
        <f>IF(_xlfn.XLOOKUP(D681,product!$A:$A,product!$B:$B,,0)=0,"",_xlfn.XLOOKUP(D681,product!$A:$A,product!$B:$B,,0))</f>
        <v>Journey Future</v>
      </c>
    </row>
    <row r="682" spans="1:14" x14ac:dyDescent="0.35">
      <c r="A682" t="s">
        <v>861</v>
      </c>
      <c r="B682" s="3">
        <v>45103</v>
      </c>
      <c r="C682" t="s">
        <v>111</v>
      </c>
      <c r="D682" t="s">
        <v>6040</v>
      </c>
      <c r="E682">
        <v>3</v>
      </c>
      <c r="F682" t="str">
        <f>_xlfn.XLOOKUP(C682,customers!$A$1:$A$983,customers!$B$1:$B$983,,0)</f>
        <v>Ella Taylor</v>
      </c>
      <c r="G682" t="str">
        <f>_xlfn.XLOOKUP(C682,customers!$A:$A,customers!$C:$C,,0)</f>
        <v>ella.taylor4@gmail.com</v>
      </c>
      <c r="H682" t="str">
        <f>IF(_xlfn.XLOOKUP(C682,customers!$A:$A,customers!$G:$G,,0)=0,"",_xlfn.XLOOKUP(C682,customers!$A:$A,customers!$G:$G,,0))</f>
        <v>Sweden</v>
      </c>
      <c r="I682" t="str">
        <f>IF(_xlfn.XLOOKUP(D682,product!$A:$A,product!$E:$E,,0)=0,"",_xlfn.XLOOKUP(D682,product!$A:$A,product!$E:$E,,0))</f>
        <v>TECH</v>
      </c>
      <c r="J682" s="5">
        <f>IF(_xlfn.XLOOKUP(D682,product!$A:$A,product!$D:$D,,0)=0,"",_xlfn.XLOOKUP(D682,product!$A:$A,product!$D:$D,,0))</f>
        <v>14.73</v>
      </c>
      <c r="K682" s="7">
        <f t="shared" si="10"/>
        <v>44.19</v>
      </c>
      <c r="L682" s="10" t="str">
        <f>IF(_xlfn.XLOOKUP(D682,product!$A:$A,product!$F:$F,,0)=0,"",_xlfn.XLOOKUP(D682,product!$A:$A,product!$F:$F,,0))</f>
        <v>No</v>
      </c>
      <c r="M682" t="str">
        <f>IF(_xlfn.XLOOKUP(D682,product!$A:$A,product!G:G,,0)=0,"",_xlfn.XLOOKUP(D682,product!$A:$A,product!G:G,,0))</f>
        <v>None</v>
      </c>
      <c r="N682" t="str">
        <f>IF(_xlfn.XLOOKUP(D682,product!$A:$A,product!$B:$B,,0)=0,"",_xlfn.XLOOKUP(D682,product!$A:$A,product!$B:$B,,0))</f>
        <v>Secrets Science</v>
      </c>
    </row>
    <row r="683" spans="1:14" x14ac:dyDescent="0.35">
      <c r="A683" t="s">
        <v>878</v>
      </c>
      <c r="B683" s="3">
        <v>45552</v>
      </c>
      <c r="C683" t="s">
        <v>3400</v>
      </c>
      <c r="D683" t="s">
        <v>6041</v>
      </c>
      <c r="E683">
        <v>3</v>
      </c>
      <c r="F683" t="str">
        <f>_xlfn.XLOOKUP(C683,customers!$A$1:$A$983,customers!$B$1:$B$983,,0)</f>
        <v>Thomas White</v>
      </c>
      <c r="G683" t="str">
        <f>_xlfn.XLOOKUP(C683,customers!$A:$A,customers!$C:$C,,0)</f>
        <v>thomas.white914@hotmail.com</v>
      </c>
      <c r="H683" t="str">
        <f>IF(_xlfn.XLOOKUP(C683,customers!$A:$A,customers!$G:$G,,0)=0,"",_xlfn.XLOOKUP(C683,customers!$A:$A,customers!$G:$G,,0))</f>
        <v>Poland</v>
      </c>
      <c r="I683" t="str">
        <f>IF(_xlfn.XLOOKUP(D683,product!$A:$A,product!$E:$E,,0)=0,"",_xlfn.XLOOKUP(D683,product!$A:$A,product!$E:$E,,0))</f>
        <v>SCIENCE</v>
      </c>
      <c r="J683" s="5">
        <f>IF(_xlfn.XLOOKUP(D683,product!$A:$A,product!$D:$D,,0)=0,"",_xlfn.XLOOKUP(D683,product!$A:$A,product!$D:$D,,0))</f>
        <v>23.37</v>
      </c>
      <c r="K683" s="7">
        <f t="shared" si="10"/>
        <v>70.11</v>
      </c>
      <c r="L683" s="10" t="str">
        <f>IF(_xlfn.XLOOKUP(D683,product!$A:$A,product!$F:$F,,0)=0,"",_xlfn.XLOOKUP(D683,product!$A:$A,product!$F:$F,,0))</f>
        <v>No</v>
      </c>
      <c r="M683" t="str">
        <f>IF(_xlfn.XLOOKUP(D683,product!$A:$A,product!G:G,,0)=0,"",_xlfn.XLOOKUP(D683,product!$A:$A,product!G:G,,0))</f>
        <v>None</v>
      </c>
      <c r="N683" t="str">
        <f>IF(_xlfn.XLOOKUP(D683,product!$A:$A,product!$B:$B,,0)=0,"",_xlfn.XLOOKUP(D683,product!$A:$A,product!$B:$B,,0))</f>
        <v>Power Secrets</v>
      </c>
    </row>
    <row r="684" spans="1:14" x14ac:dyDescent="0.35">
      <c r="A684" t="s">
        <v>895</v>
      </c>
      <c r="B684" s="3">
        <v>45036</v>
      </c>
      <c r="C684" t="s">
        <v>3212</v>
      </c>
      <c r="D684" t="s">
        <v>6042</v>
      </c>
      <c r="E684">
        <v>3</v>
      </c>
      <c r="F684" t="str">
        <f>_xlfn.XLOOKUP(C684,customers!$A$1:$A$983,customers!$B$1:$B$983,,0)</f>
        <v>Robert Taylor</v>
      </c>
      <c r="G684" t="str">
        <f>_xlfn.XLOOKUP(C684,customers!$A:$A,customers!$C:$C,,0)</f>
        <v>robert.taylor819@yahoo.com</v>
      </c>
      <c r="H684" t="str">
        <f>IF(_xlfn.XLOOKUP(C684,customers!$A:$A,customers!$G:$G,,0)=0,"",_xlfn.XLOOKUP(C684,customers!$A:$A,customers!$G:$G,,0))</f>
        <v>Slovakia</v>
      </c>
      <c r="I684" t="str">
        <f>IF(_xlfn.XLOOKUP(D684,product!$A:$A,product!$E:$E,,0)=0,"",_xlfn.XLOOKUP(D684,product!$A:$A,product!$E:$E,,0))</f>
        <v>TECH</v>
      </c>
      <c r="J684" s="5">
        <f>IF(_xlfn.XLOOKUP(D684,product!$A:$A,product!$D:$D,,0)=0,"",_xlfn.XLOOKUP(D684,product!$A:$A,product!$D:$D,,0))</f>
        <v>26.28</v>
      </c>
      <c r="K684" s="7">
        <f t="shared" si="10"/>
        <v>78.84</v>
      </c>
      <c r="L684" s="10" t="str">
        <f>IF(_xlfn.XLOOKUP(D684,product!$A:$A,product!$F:$F,,0)=0,"",_xlfn.XLOOKUP(D684,product!$A:$A,product!$F:$F,,0))</f>
        <v>Yes</v>
      </c>
      <c r="M684" t="str">
        <f>IF(_xlfn.XLOOKUP(D684,product!$A:$A,product!G:G,,0)=0,"",_xlfn.XLOOKUP(D684,product!$A:$A,product!G:G,,0))</f>
        <v>None</v>
      </c>
      <c r="N684" t="str">
        <f>IF(_xlfn.XLOOKUP(D684,product!$A:$A,product!$B:$B,,0)=0,"",_xlfn.XLOOKUP(D684,product!$A:$A,product!$B:$B,,0))</f>
        <v>Secrets Journey</v>
      </c>
    </row>
    <row r="685" spans="1:14" x14ac:dyDescent="0.35">
      <c r="A685" t="s">
        <v>912</v>
      </c>
      <c r="B685" s="3">
        <v>45311</v>
      </c>
      <c r="C685" t="s">
        <v>2453</v>
      </c>
      <c r="D685" t="s">
        <v>6043</v>
      </c>
      <c r="E685">
        <v>3</v>
      </c>
      <c r="F685" t="str">
        <f>_xlfn.XLOOKUP(C685,customers!$A$1:$A$983,customers!$B$1:$B$983,,0)</f>
        <v>Brian Smith</v>
      </c>
      <c r="G685" t="str">
        <f>_xlfn.XLOOKUP(C685,customers!$A:$A,customers!$C:$C,,0)</f>
        <v>brian.smith449@outlook.com</v>
      </c>
      <c r="H685" t="str">
        <f>IF(_xlfn.XLOOKUP(C685,customers!$A:$A,customers!$G:$G,,0)=0,"",_xlfn.XLOOKUP(C685,customers!$A:$A,customers!$G:$G,,0))</f>
        <v>Spain</v>
      </c>
      <c r="I685" t="str">
        <f>IF(_xlfn.XLOOKUP(D685,product!$A:$A,product!$E:$E,,0)=0,"",_xlfn.XLOOKUP(D685,product!$A:$A,product!$E:$E,,0))</f>
        <v>SCIENCE</v>
      </c>
      <c r="J685" s="5">
        <f>IF(_xlfn.XLOOKUP(D685,product!$A:$A,product!$D:$D,,0)=0,"",_xlfn.XLOOKUP(D685,product!$A:$A,product!$D:$D,,0))</f>
        <v>10.210000000000001</v>
      </c>
      <c r="K685" s="7">
        <f t="shared" si="10"/>
        <v>30.630000000000003</v>
      </c>
      <c r="L685" s="10" t="str">
        <f>IF(_xlfn.XLOOKUP(D685,product!$A:$A,product!$F:$F,,0)=0,"",_xlfn.XLOOKUP(D685,product!$A:$A,product!$F:$F,,0))</f>
        <v>Yes</v>
      </c>
      <c r="M685" t="str">
        <f>IF(_xlfn.XLOOKUP(D685,product!$A:$A,product!G:G,,0)=0,"",_xlfn.XLOOKUP(D685,product!$A:$A,product!G:G,,0))</f>
        <v>None</v>
      </c>
      <c r="N685" t="str">
        <f>IF(_xlfn.XLOOKUP(D685,product!$A:$A,product!$B:$B,,0)=0,"",_xlfn.XLOOKUP(D685,product!$A:$A,product!$B:$B,,0))</f>
        <v>Silent Data</v>
      </c>
    </row>
    <row r="686" spans="1:14" x14ac:dyDescent="0.35">
      <c r="A686" t="s">
        <v>929</v>
      </c>
      <c r="B686" s="3">
        <v>45222</v>
      </c>
      <c r="C686" t="s">
        <v>3208</v>
      </c>
      <c r="D686" t="s">
        <v>6044</v>
      </c>
      <c r="E686">
        <v>3</v>
      </c>
      <c r="F686" t="str">
        <f>_xlfn.XLOOKUP(C686,customers!$A$1:$A$983,customers!$B$1:$B$983,,0)</f>
        <v>Emily Taylor</v>
      </c>
      <c r="G686" t="str">
        <f>_xlfn.XLOOKUP(C686,customers!$A:$A,customers!$C:$C,,0)</f>
        <v>emily.taylor817@outlook.com</v>
      </c>
      <c r="H686" t="str">
        <f>IF(_xlfn.XLOOKUP(C686,customers!$A:$A,customers!$G:$G,,0)=0,"",_xlfn.XLOOKUP(C686,customers!$A:$A,customers!$G:$G,,0))</f>
        <v>Japan</v>
      </c>
      <c r="I686" t="str">
        <f>IF(_xlfn.XLOOKUP(D686,product!$A:$A,product!$E:$E,,0)=0,"",_xlfn.XLOOKUP(D686,product!$A:$A,product!$E:$E,,0))</f>
        <v>BUSINESS</v>
      </c>
      <c r="J686" s="5">
        <f>IF(_xlfn.XLOOKUP(D686,product!$A:$A,product!$D:$D,,0)=0,"",_xlfn.XLOOKUP(D686,product!$A:$A,product!$D:$D,,0))</f>
        <v>24.08</v>
      </c>
      <c r="K686" s="7">
        <f t="shared" si="10"/>
        <v>72.239999999999995</v>
      </c>
      <c r="L686" s="10" t="str">
        <f>IF(_xlfn.XLOOKUP(D686,product!$A:$A,product!$F:$F,,0)=0,"",_xlfn.XLOOKUP(D686,product!$A:$A,product!$F:$F,,0))</f>
        <v>No</v>
      </c>
      <c r="M686" t="str">
        <f>IF(_xlfn.XLOOKUP(D686,product!$A:$A,product!G:G,,0)=0,"",_xlfn.XLOOKUP(D686,product!$A:$A,product!G:G,,0))</f>
        <v>None</v>
      </c>
      <c r="N686" t="str">
        <f>IF(_xlfn.XLOOKUP(D686,product!$A:$A,product!$B:$B,,0)=0,"",_xlfn.XLOOKUP(D686,product!$A:$A,product!$B:$B,,0))</f>
        <v>Journey Forest</v>
      </c>
    </row>
    <row r="687" spans="1:14" x14ac:dyDescent="0.35">
      <c r="A687" t="s">
        <v>946</v>
      </c>
      <c r="B687" s="3">
        <v>45619</v>
      </c>
      <c r="C687" t="s">
        <v>2888</v>
      </c>
      <c r="D687" t="s">
        <v>6045</v>
      </c>
      <c r="E687">
        <v>3</v>
      </c>
      <c r="F687" t="str">
        <f>_xlfn.XLOOKUP(C687,customers!$A$1:$A$983,customers!$B$1:$B$983,,0)</f>
        <v>John White</v>
      </c>
      <c r="G687" t="str">
        <f>_xlfn.XLOOKUP(C687,customers!$A:$A,customers!$C:$C,,0)</f>
        <v>john.white659@outlook.com</v>
      </c>
      <c r="H687" t="str">
        <f>IF(_xlfn.XLOOKUP(C687,customers!$A:$A,customers!$G:$G,,0)=0,"",_xlfn.XLOOKUP(C687,customers!$A:$A,customers!$G:$G,,0))</f>
        <v>Pakistan</v>
      </c>
      <c r="I687" t="str">
        <f>IF(_xlfn.XLOOKUP(D687,product!$A:$A,product!$E:$E,,0)=0,"",_xlfn.XLOOKUP(D687,product!$A:$A,product!$E:$E,,0))</f>
        <v>FICTION</v>
      </c>
      <c r="J687" s="5">
        <f>IF(_xlfn.XLOOKUP(D687,product!$A:$A,product!$D:$D,,0)=0,"",_xlfn.XLOOKUP(D687,product!$A:$A,product!$D:$D,,0))</f>
        <v>32.56</v>
      </c>
      <c r="K687" s="7">
        <f t="shared" si="10"/>
        <v>97.68</v>
      </c>
      <c r="L687" s="10" t="str">
        <f>IF(_xlfn.XLOOKUP(D687,product!$A:$A,product!$F:$F,,0)=0,"",_xlfn.XLOOKUP(D687,product!$A:$A,product!$F:$F,,0))</f>
        <v>Yes</v>
      </c>
      <c r="M687" t="str">
        <f>IF(_xlfn.XLOOKUP(D687,product!$A:$A,product!G:G,,0)=0,"",_xlfn.XLOOKUP(D687,product!$A:$A,product!G:G,,0))</f>
        <v>Silver</v>
      </c>
      <c r="N687" t="str">
        <f>IF(_xlfn.XLOOKUP(D687,product!$A:$A,product!$B:$B,,0)=0,"",_xlfn.XLOOKUP(D687,product!$A:$A,product!$B:$B,,0))</f>
        <v>Future Power</v>
      </c>
    </row>
    <row r="688" spans="1:14" x14ac:dyDescent="0.35">
      <c r="A688" t="s">
        <v>963</v>
      </c>
      <c r="B688" s="3">
        <v>45266</v>
      </c>
      <c r="C688" t="s">
        <v>1794</v>
      </c>
      <c r="D688" t="s">
        <v>6046</v>
      </c>
      <c r="E688">
        <v>3</v>
      </c>
      <c r="F688" t="str">
        <f>_xlfn.XLOOKUP(C688,customers!$A$1:$A$983,customers!$B$1:$B$983,,0)</f>
        <v>James Lee</v>
      </c>
      <c r="G688" t="str">
        <f>_xlfn.XLOOKUP(C688,customers!$A:$A,customers!$C:$C,,0)</f>
        <v>james.lee197@hotmail.com</v>
      </c>
      <c r="H688" t="str">
        <f>IF(_xlfn.XLOOKUP(C688,customers!$A:$A,customers!$G:$G,,0)=0,"",_xlfn.XLOOKUP(C688,customers!$A:$A,customers!$G:$G,,0))</f>
        <v>Spain</v>
      </c>
      <c r="I688" t="str">
        <f>IF(_xlfn.XLOOKUP(D688,product!$A:$A,product!$E:$E,,0)=0,"",_xlfn.XLOOKUP(D688,product!$A:$A,product!$E:$E,,0))</f>
        <v>HISTORY</v>
      </c>
      <c r="J688" s="5">
        <f>IF(_xlfn.XLOOKUP(D688,product!$A:$A,product!$D:$D,,0)=0,"",_xlfn.XLOOKUP(D688,product!$A:$A,product!$D:$D,,0))</f>
        <v>22.4</v>
      </c>
      <c r="K688" s="7">
        <f t="shared" si="10"/>
        <v>67.199999999999989</v>
      </c>
      <c r="L688" s="10" t="str">
        <f>IF(_xlfn.XLOOKUP(D688,product!$A:$A,product!$F:$F,,0)=0,"",_xlfn.XLOOKUP(D688,product!$A:$A,product!$F:$F,,0))</f>
        <v>Yes</v>
      </c>
      <c r="M688" t="str">
        <f>IF(_xlfn.XLOOKUP(D688,product!$A:$A,product!G:G,,0)=0,"",_xlfn.XLOOKUP(D688,product!$A:$A,product!G:G,,0))</f>
        <v>Gold</v>
      </c>
      <c r="N688" t="str">
        <f>IF(_xlfn.XLOOKUP(D688,product!$A:$A,product!$B:$B,,0)=0,"",_xlfn.XLOOKUP(D688,product!$A:$A,product!$B:$B,,0))</f>
        <v>Silent Data</v>
      </c>
    </row>
    <row r="689" spans="1:14" x14ac:dyDescent="0.35">
      <c r="A689" t="s">
        <v>980</v>
      </c>
      <c r="B689" s="3">
        <v>45369</v>
      </c>
      <c r="C689" t="s">
        <v>3177</v>
      </c>
      <c r="D689" t="s">
        <v>6047</v>
      </c>
      <c r="E689">
        <v>3</v>
      </c>
      <c r="F689" t="str">
        <f>_xlfn.XLOOKUP(C689,customers!$A$1:$A$983,customers!$B$1:$B$983,,0)</f>
        <v>Andrew Wright</v>
      </c>
      <c r="G689" t="str">
        <f>_xlfn.XLOOKUP(C689,customers!$A:$A,customers!$C:$C,,0)</f>
        <v>andrew.wright801@gmail.com</v>
      </c>
      <c r="H689" t="str">
        <f>IF(_xlfn.XLOOKUP(C689,customers!$A:$A,customers!$G:$G,,0)=0,"",_xlfn.XLOOKUP(C689,customers!$A:$A,customers!$G:$G,,0))</f>
        <v>Germany</v>
      </c>
      <c r="I689" t="str">
        <f>IF(_xlfn.XLOOKUP(D689,product!$A:$A,product!$E:$E,,0)=0,"",_xlfn.XLOOKUP(D689,product!$A:$A,product!$E:$E,,0))</f>
        <v>HISTORY</v>
      </c>
      <c r="J689" s="5">
        <f>IF(_xlfn.XLOOKUP(D689,product!$A:$A,product!$D:$D,,0)=0,"",_xlfn.XLOOKUP(D689,product!$A:$A,product!$D:$D,,0))</f>
        <v>31.85</v>
      </c>
      <c r="K689" s="7">
        <f t="shared" si="10"/>
        <v>95.550000000000011</v>
      </c>
      <c r="L689" s="10" t="str">
        <f>IF(_xlfn.XLOOKUP(D689,product!$A:$A,product!$F:$F,,0)=0,"",_xlfn.XLOOKUP(D689,product!$A:$A,product!$F:$F,,0))</f>
        <v>Yes</v>
      </c>
      <c r="M689" t="str">
        <f>IF(_xlfn.XLOOKUP(D689,product!$A:$A,product!G:G,,0)=0,"",_xlfn.XLOOKUP(D689,product!$A:$A,product!G:G,,0))</f>
        <v>None</v>
      </c>
      <c r="N689" t="str">
        <f>IF(_xlfn.XLOOKUP(D689,product!$A:$A,product!$B:$B,,0)=0,"",_xlfn.XLOOKUP(D689,product!$A:$A,product!$B:$B,,0))</f>
        <v>Secrets Forest</v>
      </c>
    </row>
    <row r="690" spans="1:14" x14ac:dyDescent="0.35">
      <c r="A690" t="s">
        <v>997</v>
      </c>
      <c r="B690" s="3">
        <v>45015</v>
      </c>
      <c r="C690" t="s">
        <v>3443</v>
      </c>
      <c r="D690" t="s">
        <v>6048</v>
      </c>
      <c r="E690">
        <v>3</v>
      </c>
      <c r="F690" t="str">
        <f>_xlfn.XLOOKUP(C690,customers!$A$1:$A$983,customers!$B$1:$B$983,,0)</f>
        <v>Laura Martin</v>
      </c>
      <c r="G690" t="str">
        <f>_xlfn.XLOOKUP(C690,customers!$A:$A,customers!$C:$C,,0)</f>
        <v>laura.martin936@outlook.com</v>
      </c>
      <c r="H690" t="str">
        <f>IF(_xlfn.XLOOKUP(C690,customers!$A:$A,customers!$G:$G,,0)=0,"",_xlfn.XLOOKUP(C690,customers!$A:$A,customers!$G:$G,,0))</f>
        <v/>
      </c>
      <c r="I690" t="str">
        <f>IF(_xlfn.XLOOKUP(D690,product!$A:$A,product!$E:$E,,0)=0,"",_xlfn.XLOOKUP(D690,product!$A:$A,product!$E:$E,,0))</f>
        <v>TECH</v>
      </c>
      <c r="J690" s="5">
        <f>IF(_xlfn.XLOOKUP(D690,product!$A:$A,product!$D:$D,,0)=0,"",_xlfn.XLOOKUP(D690,product!$A:$A,product!$D:$D,,0))</f>
        <v>28.62</v>
      </c>
      <c r="K690" s="7">
        <f t="shared" si="10"/>
        <v>85.86</v>
      </c>
      <c r="L690" s="10" t="str">
        <f>IF(_xlfn.XLOOKUP(D690,product!$A:$A,product!$F:$F,,0)=0,"",_xlfn.XLOOKUP(D690,product!$A:$A,product!$F:$F,,0))</f>
        <v>No</v>
      </c>
      <c r="M690" t="str">
        <f>IF(_xlfn.XLOOKUP(D690,product!$A:$A,product!G:G,,0)=0,"",_xlfn.XLOOKUP(D690,product!$A:$A,product!G:G,,0))</f>
        <v>Gold</v>
      </c>
      <c r="N690" t="str">
        <f>IF(_xlfn.XLOOKUP(D690,product!$A:$A,product!$B:$B,,0)=0,"",_xlfn.XLOOKUP(D690,product!$A:$A,product!$B:$B,,0))</f>
        <v>Future Mind</v>
      </c>
    </row>
    <row r="691" spans="1:14" x14ac:dyDescent="0.35">
      <c r="A691" t="s">
        <v>1014</v>
      </c>
      <c r="B691" s="3">
        <v>45458</v>
      </c>
      <c r="C691" t="s">
        <v>1273</v>
      </c>
      <c r="D691" t="s">
        <v>6049</v>
      </c>
      <c r="E691">
        <v>3</v>
      </c>
      <c r="F691" t="str">
        <f>_xlfn.XLOOKUP(C691,customers!$A$1:$A$983,customers!$B$1:$B$983,,0)</f>
        <v>Amelia Lewis</v>
      </c>
      <c r="G691" t="str">
        <f>_xlfn.XLOOKUP(C691,customers!$A:$A,customers!$C:$C,,0)</f>
        <v>amelia.lewis58@yahoo.com</v>
      </c>
      <c r="H691" t="str">
        <f>IF(_xlfn.XLOOKUP(C691,customers!$A:$A,customers!$G:$G,,0)=0,"",_xlfn.XLOOKUP(C691,customers!$A:$A,customers!$G:$G,,0))</f>
        <v>Sweden</v>
      </c>
      <c r="I691" t="str">
        <f>IF(_xlfn.XLOOKUP(D691,product!$A:$A,product!$E:$E,,0)=0,"",_xlfn.XLOOKUP(D691,product!$A:$A,product!$E:$E,,0))</f>
        <v>SCIENCE</v>
      </c>
      <c r="J691" s="5">
        <f>IF(_xlfn.XLOOKUP(D691,product!$A:$A,product!$D:$D,,0)=0,"",_xlfn.XLOOKUP(D691,product!$A:$A,product!$D:$D,,0))</f>
        <v>12.59</v>
      </c>
      <c r="K691" s="7">
        <f t="shared" si="10"/>
        <v>37.769999999999996</v>
      </c>
      <c r="L691" s="10" t="str">
        <f>IF(_xlfn.XLOOKUP(D691,product!$A:$A,product!$F:$F,,0)=0,"",_xlfn.XLOOKUP(D691,product!$A:$A,product!$F:$F,,0))</f>
        <v>No</v>
      </c>
      <c r="M691" t="str">
        <f>IF(_xlfn.XLOOKUP(D691,product!$A:$A,product!G:G,,0)=0,"",_xlfn.XLOOKUP(D691,product!$A:$A,product!G:G,,0))</f>
        <v>None</v>
      </c>
      <c r="N691" t="str">
        <f>IF(_xlfn.XLOOKUP(D691,product!$A:$A,product!$B:$B,,0)=0,"",_xlfn.XLOOKUP(D691,product!$A:$A,product!$B:$B,,0))</f>
        <v>Mind Data</v>
      </c>
    </row>
    <row r="692" spans="1:14" x14ac:dyDescent="0.35">
      <c r="A692" t="s">
        <v>1031</v>
      </c>
      <c r="B692" s="3">
        <v>45072</v>
      </c>
      <c r="C692" t="s">
        <v>2785</v>
      </c>
      <c r="D692" t="s">
        <v>6050</v>
      </c>
      <c r="E692">
        <v>3</v>
      </c>
      <c r="F692" t="str">
        <f>_xlfn.XLOOKUP(C692,customers!$A$1:$A$983,customers!$B$1:$B$983,,0)</f>
        <v>David Lewis</v>
      </c>
      <c r="G692" t="str">
        <f>_xlfn.XLOOKUP(C692,customers!$A:$A,customers!$C:$C,,0)</f>
        <v>david.lewis609@hotmail.com</v>
      </c>
      <c r="H692" t="str">
        <f>IF(_xlfn.XLOOKUP(C692,customers!$A:$A,customers!$G:$G,,0)=0,"",_xlfn.XLOOKUP(C692,customers!$A:$A,customers!$G:$G,,0))</f>
        <v>Spain</v>
      </c>
      <c r="I692" t="str">
        <f>IF(_xlfn.XLOOKUP(D692,product!$A:$A,product!$E:$E,,0)=0,"",_xlfn.XLOOKUP(D692,product!$A:$A,product!$E:$E,,0))</f>
        <v>BUSINESS</v>
      </c>
      <c r="J692" s="5">
        <f>IF(_xlfn.XLOOKUP(D692,product!$A:$A,product!$D:$D,,0)=0,"",_xlfn.XLOOKUP(D692,product!$A:$A,product!$D:$D,,0))</f>
        <v>29.97</v>
      </c>
      <c r="K692" s="7">
        <f t="shared" si="10"/>
        <v>89.91</v>
      </c>
      <c r="L692" s="10" t="str">
        <f>IF(_xlfn.XLOOKUP(D692,product!$A:$A,product!$F:$F,,0)=0,"",_xlfn.XLOOKUP(D692,product!$A:$A,product!$F:$F,,0))</f>
        <v>No</v>
      </c>
      <c r="M692" t="str">
        <f>IF(_xlfn.XLOOKUP(D692,product!$A:$A,product!G:G,,0)=0,"",_xlfn.XLOOKUP(D692,product!$A:$A,product!G:G,,0))</f>
        <v>None</v>
      </c>
      <c r="N692" t="str">
        <f>IF(_xlfn.XLOOKUP(D692,product!$A:$A,product!$B:$B,,0)=0,"",_xlfn.XLOOKUP(D692,product!$A:$A,product!$B:$B,,0))</f>
        <v>Forest Science</v>
      </c>
    </row>
    <row r="693" spans="1:14" x14ac:dyDescent="0.35">
      <c r="A693" t="s">
        <v>1048</v>
      </c>
      <c r="B693" s="3">
        <v>45575</v>
      </c>
      <c r="C693" t="s">
        <v>2718</v>
      </c>
      <c r="D693" t="s">
        <v>6051</v>
      </c>
      <c r="E693">
        <v>3</v>
      </c>
      <c r="F693" t="str">
        <f>_xlfn.XLOOKUP(C693,customers!$A$1:$A$983,customers!$B$1:$B$983,,0)</f>
        <v>Daniel Lopez</v>
      </c>
      <c r="G693" t="str">
        <f>_xlfn.XLOOKUP(C693,customers!$A:$A,customers!$C:$C,,0)</f>
        <v>daniel.lopez577@hotmail.com</v>
      </c>
      <c r="H693" t="str">
        <f>IF(_xlfn.XLOOKUP(C693,customers!$A:$A,customers!$G:$G,,0)=0,"",_xlfn.XLOOKUP(C693,customers!$A:$A,customers!$G:$G,,0))</f>
        <v>USA</v>
      </c>
      <c r="I693" t="str">
        <f>IF(_xlfn.XLOOKUP(D693,product!$A:$A,product!$E:$E,,0)=0,"",_xlfn.XLOOKUP(D693,product!$A:$A,product!$E:$E,,0))</f>
        <v>FICTION</v>
      </c>
      <c r="J693" s="5">
        <f>IF(_xlfn.XLOOKUP(D693,product!$A:$A,product!$D:$D,,0)=0,"",_xlfn.XLOOKUP(D693,product!$A:$A,product!$D:$D,,0))</f>
        <v>10.78</v>
      </c>
      <c r="K693" s="7">
        <f t="shared" si="10"/>
        <v>32.339999999999996</v>
      </c>
      <c r="L693" s="10" t="str">
        <f>IF(_xlfn.XLOOKUP(D693,product!$A:$A,product!$F:$F,,0)=0,"",_xlfn.XLOOKUP(D693,product!$A:$A,product!$F:$F,,0))</f>
        <v>No</v>
      </c>
      <c r="M693" t="str">
        <f>IF(_xlfn.XLOOKUP(D693,product!$A:$A,product!G:G,,0)=0,"",_xlfn.XLOOKUP(D693,product!$A:$A,product!G:G,,0))</f>
        <v>None</v>
      </c>
      <c r="N693" t="str">
        <f>IF(_xlfn.XLOOKUP(D693,product!$A:$A,product!$B:$B,,0)=0,"",_xlfn.XLOOKUP(D693,product!$A:$A,product!$B:$B,,0))</f>
        <v>Journey Data</v>
      </c>
    </row>
    <row r="694" spans="1:14" x14ac:dyDescent="0.35">
      <c r="A694" t="s">
        <v>15</v>
      </c>
      <c r="B694" s="3">
        <v>45137</v>
      </c>
      <c r="C694" t="s">
        <v>2896</v>
      </c>
      <c r="D694" t="s">
        <v>6052</v>
      </c>
      <c r="E694">
        <v>1</v>
      </c>
      <c r="F694" t="str">
        <f>_xlfn.XLOOKUP(C694,customers!$A$1:$A$983,customers!$B$1:$B$983,,0)</f>
        <v>Sarah Lewis</v>
      </c>
      <c r="G694" t="str">
        <f>_xlfn.XLOOKUP(C694,customers!$A:$A,customers!$C:$C,,0)</f>
        <v>sarah.lewis663@gmail.com</v>
      </c>
      <c r="H694" t="str">
        <f>IF(_xlfn.XLOOKUP(C694,customers!$A:$A,customers!$G:$G,,0)=0,"",_xlfn.XLOOKUP(C694,customers!$A:$A,customers!$G:$G,,0))</f>
        <v>Spain</v>
      </c>
      <c r="I694" t="str">
        <f>IF(_xlfn.XLOOKUP(D694,product!$A:$A,product!$E:$E,,0)=0,"",_xlfn.XLOOKUP(D694,product!$A:$A,product!$E:$E,,0))</f>
        <v>HISTORY</v>
      </c>
      <c r="J694" s="5">
        <f>IF(_xlfn.XLOOKUP(D694,product!$A:$A,product!$D:$D,,0)=0,"",_xlfn.XLOOKUP(D694,product!$A:$A,product!$D:$D,,0))</f>
        <v>26.88</v>
      </c>
      <c r="K694" s="7">
        <f t="shared" si="10"/>
        <v>26.88</v>
      </c>
      <c r="L694" s="10" t="str">
        <f>IF(_xlfn.XLOOKUP(D694,product!$A:$A,product!$F:$F,,0)=0,"",_xlfn.XLOOKUP(D694,product!$A:$A,product!$F:$F,,0))</f>
        <v>Yes</v>
      </c>
      <c r="M694" t="str">
        <f>IF(_xlfn.XLOOKUP(D694,product!$A:$A,product!G:G,,0)=0,"",_xlfn.XLOOKUP(D694,product!$A:$A,product!G:G,,0))</f>
        <v>None</v>
      </c>
      <c r="N694" t="str">
        <f>IF(_xlfn.XLOOKUP(D694,product!$A:$A,product!$B:$B,,0)=0,"",_xlfn.XLOOKUP(D694,product!$A:$A,product!$B:$B,,0))</f>
        <v>Data Future</v>
      </c>
    </row>
    <row r="695" spans="1:14" x14ac:dyDescent="0.35">
      <c r="A695" t="s">
        <v>37</v>
      </c>
      <c r="B695" s="3">
        <v>45524</v>
      </c>
      <c r="C695" t="s">
        <v>2789</v>
      </c>
      <c r="D695" t="s">
        <v>6053</v>
      </c>
      <c r="E695">
        <v>1</v>
      </c>
      <c r="F695" t="str">
        <f>_xlfn.XLOOKUP(C695,customers!$A$1:$A$983,customers!$B$1:$B$983,,0)</f>
        <v>Ella Garcia</v>
      </c>
      <c r="G695" t="str">
        <f>_xlfn.XLOOKUP(C695,customers!$A:$A,customers!$C:$C,,0)</f>
        <v>ella.garcia611@gmail.com</v>
      </c>
      <c r="H695" t="str">
        <f>IF(_xlfn.XLOOKUP(C695,customers!$A:$A,customers!$G:$G,,0)=0,"",_xlfn.XLOOKUP(C695,customers!$A:$A,customers!$G:$G,,0))</f>
        <v>Spain</v>
      </c>
      <c r="I695" t="str">
        <f>IF(_xlfn.XLOOKUP(D695,product!$A:$A,product!$E:$E,,0)=0,"",_xlfn.XLOOKUP(D695,product!$A:$A,product!$E:$E,,0))</f>
        <v>BUSINESS</v>
      </c>
      <c r="J695" s="5">
        <f>IF(_xlfn.XLOOKUP(D695,product!$A:$A,product!$D:$D,,0)=0,"",_xlfn.XLOOKUP(D695,product!$A:$A,product!$D:$D,,0))</f>
        <v>22.24</v>
      </c>
      <c r="K695" s="7">
        <f t="shared" si="10"/>
        <v>22.24</v>
      </c>
      <c r="L695" s="10" t="str">
        <f>IF(_xlfn.XLOOKUP(D695,product!$A:$A,product!$F:$F,,0)=0,"",_xlfn.XLOOKUP(D695,product!$A:$A,product!$F:$F,,0))</f>
        <v>No</v>
      </c>
      <c r="M695" t="str">
        <f>IF(_xlfn.XLOOKUP(D695,product!$A:$A,product!G:G,,0)=0,"",_xlfn.XLOOKUP(D695,product!$A:$A,product!G:G,,0))</f>
        <v>Gold</v>
      </c>
      <c r="N695" t="str">
        <f>IF(_xlfn.XLOOKUP(D695,product!$A:$A,product!$B:$B,,0)=0,"",_xlfn.XLOOKUP(D695,product!$A:$A,product!$B:$B,,0))</f>
        <v>Data Quantum</v>
      </c>
    </row>
    <row r="696" spans="1:14" x14ac:dyDescent="0.35">
      <c r="A696" t="s">
        <v>54</v>
      </c>
      <c r="B696" s="3">
        <v>44947</v>
      </c>
      <c r="C696" t="s">
        <v>1077</v>
      </c>
      <c r="D696" t="s">
        <v>6054</v>
      </c>
      <c r="E696">
        <v>1</v>
      </c>
      <c r="F696" t="str">
        <f>_xlfn.XLOOKUP(C696,customers!$A$1:$A$983,customers!$B$1:$B$983,,0)</f>
        <v>Joshua Hall</v>
      </c>
      <c r="G696" t="str">
        <f>_xlfn.XLOOKUP(C696,customers!$A:$A,customers!$C:$C,,0)</f>
        <v>joshua.hall11@outlook.com</v>
      </c>
      <c r="H696" t="str">
        <f>IF(_xlfn.XLOOKUP(C696,customers!$A:$A,customers!$G:$G,,0)=0,"",_xlfn.XLOOKUP(C696,customers!$A:$A,customers!$G:$G,,0))</f>
        <v>Pakistan</v>
      </c>
      <c r="I696" t="str">
        <f>IF(_xlfn.XLOOKUP(D696,product!$A:$A,product!$E:$E,,0)=0,"",_xlfn.XLOOKUP(D696,product!$A:$A,product!$E:$E,,0))</f>
        <v>TECH</v>
      </c>
      <c r="J696" s="5">
        <f>IF(_xlfn.XLOOKUP(D696,product!$A:$A,product!$D:$D,,0)=0,"",_xlfn.XLOOKUP(D696,product!$A:$A,product!$D:$D,,0))</f>
        <v>20.75</v>
      </c>
      <c r="K696" s="7">
        <f t="shared" si="10"/>
        <v>20.75</v>
      </c>
      <c r="L696" s="10" t="str">
        <f>IF(_xlfn.XLOOKUP(D696,product!$A:$A,product!$F:$F,,0)=0,"",_xlfn.XLOOKUP(D696,product!$A:$A,product!$F:$F,,0))</f>
        <v>Yes</v>
      </c>
      <c r="M696" t="str">
        <f>IF(_xlfn.XLOOKUP(D696,product!$A:$A,product!G:G,,0)=0,"",_xlfn.XLOOKUP(D696,product!$A:$A,product!G:G,,0))</f>
        <v>Gold</v>
      </c>
      <c r="N696" t="str">
        <f>IF(_xlfn.XLOOKUP(D696,product!$A:$A,product!$B:$B,,0)=0,"",_xlfn.XLOOKUP(D696,product!$A:$A,product!$B:$B,,0))</f>
        <v>Science Mind</v>
      </c>
    </row>
    <row r="697" spans="1:14" x14ac:dyDescent="0.35">
      <c r="A697" t="s">
        <v>141</v>
      </c>
      <c r="B697" s="3">
        <v>45389</v>
      </c>
      <c r="C697" t="s">
        <v>1622</v>
      </c>
      <c r="D697" t="s">
        <v>6055</v>
      </c>
      <c r="E697">
        <v>1</v>
      </c>
      <c r="F697" t="str">
        <f>_xlfn.XLOOKUP(C697,customers!$A$1:$A$983,customers!$B$1:$B$983,,0)</f>
        <v>Chloe Robinson</v>
      </c>
      <c r="G697" t="str">
        <f>_xlfn.XLOOKUP(C697,customers!$A:$A,customers!$C:$C,,0)</f>
        <v>chloe.robinson154@outlook.com</v>
      </c>
      <c r="H697" t="str">
        <f>IF(_xlfn.XLOOKUP(C697,customers!$A:$A,customers!$G:$G,,0)=0,"",_xlfn.XLOOKUP(C697,customers!$A:$A,customers!$G:$G,,0))</f>
        <v>USA</v>
      </c>
      <c r="I697" t="str">
        <f>IF(_xlfn.XLOOKUP(D697,product!$A:$A,product!$E:$E,,0)=0,"",_xlfn.XLOOKUP(D697,product!$A:$A,product!$E:$E,,0))</f>
        <v>FICTION</v>
      </c>
      <c r="J697" s="5">
        <f>IF(_xlfn.XLOOKUP(D697,product!$A:$A,product!$D:$D,,0)=0,"",_xlfn.XLOOKUP(D697,product!$A:$A,product!$D:$D,,0))</f>
        <v>25.77</v>
      </c>
      <c r="K697" s="7">
        <f t="shared" si="10"/>
        <v>25.77</v>
      </c>
      <c r="L697" s="10" t="str">
        <f>IF(_xlfn.XLOOKUP(D697,product!$A:$A,product!$F:$F,,0)=0,"",_xlfn.XLOOKUP(D697,product!$A:$A,product!$F:$F,,0))</f>
        <v>No</v>
      </c>
      <c r="M697" t="str">
        <f>IF(_xlfn.XLOOKUP(D697,product!$A:$A,product!G:G,,0)=0,"",_xlfn.XLOOKUP(D697,product!$A:$A,product!G:G,,0))</f>
        <v>Gold</v>
      </c>
      <c r="N697" t="str">
        <f>IF(_xlfn.XLOOKUP(D697,product!$A:$A,product!$B:$B,,0)=0,"",_xlfn.XLOOKUP(D697,product!$A:$A,product!$B:$B,,0))</f>
        <v>Forest Power</v>
      </c>
    </row>
    <row r="698" spans="1:14" x14ac:dyDescent="0.35">
      <c r="A698" t="s">
        <v>158</v>
      </c>
      <c r="B698" s="3">
        <v>45191</v>
      </c>
      <c r="C698" t="s">
        <v>2184</v>
      </c>
      <c r="D698" t="s">
        <v>6056</v>
      </c>
      <c r="E698">
        <v>2</v>
      </c>
      <c r="F698" t="str">
        <f>_xlfn.XLOOKUP(C698,customers!$A$1:$A$983,customers!$B$1:$B$983,,0)</f>
        <v>Emily Wright</v>
      </c>
      <c r="G698" t="str">
        <f>_xlfn.XLOOKUP(C698,customers!$A:$A,customers!$C:$C,,0)</f>
        <v>emily.wright330@gmail.com</v>
      </c>
      <c r="H698" t="str">
        <f>IF(_xlfn.XLOOKUP(C698,customers!$A:$A,customers!$G:$G,,0)=0,"",_xlfn.XLOOKUP(C698,customers!$A:$A,customers!$G:$G,,0))</f>
        <v>Spain</v>
      </c>
      <c r="I698" t="str">
        <f>IF(_xlfn.XLOOKUP(D698,product!$A:$A,product!$E:$E,,0)=0,"",_xlfn.XLOOKUP(D698,product!$A:$A,product!$E:$E,,0))</f>
        <v>FICTION</v>
      </c>
      <c r="J698" s="5">
        <f>IF(_xlfn.XLOOKUP(D698,product!$A:$A,product!$D:$D,,0)=0,"",_xlfn.XLOOKUP(D698,product!$A:$A,product!$D:$D,,0))</f>
        <v>36.630000000000003</v>
      </c>
      <c r="K698" s="7">
        <f t="shared" si="10"/>
        <v>73.260000000000005</v>
      </c>
      <c r="L698" s="10" t="str">
        <f>IF(_xlfn.XLOOKUP(D698,product!$A:$A,product!$F:$F,,0)=0,"",_xlfn.XLOOKUP(D698,product!$A:$A,product!$F:$F,,0))</f>
        <v>No</v>
      </c>
      <c r="M698" t="str">
        <f>IF(_xlfn.XLOOKUP(D698,product!$A:$A,product!G:G,,0)=0,"",_xlfn.XLOOKUP(D698,product!$A:$A,product!G:G,,0))</f>
        <v>None</v>
      </c>
      <c r="N698" t="str">
        <f>IF(_xlfn.XLOOKUP(D698,product!$A:$A,product!$B:$B,,0)=0,"",_xlfn.XLOOKUP(D698,product!$A:$A,product!$B:$B,,0))</f>
        <v>Quantum Silent</v>
      </c>
    </row>
    <row r="699" spans="1:14" x14ac:dyDescent="0.35">
      <c r="A699" t="s">
        <v>175</v>
      </c>
      <c r="B699" s="3">
        <v>45638</v>
      </c>
      <c r="C699" t="s">
        <v>2685</v>
      </c>
      <c r="D699" t="s">
        <v>6057</v>
      </c>
      <c r="E699">
        <v>2</v>
      </c>
      <c r="F699" t="str">
        <f>_xlfn.XLOOKUP(C699,customers!$A$1:$A$983,customers!$B$1:$B$983,,0)</f>
        <v>Emily Walker</v>
      </c>
      <c r="G699" t="str">
        <f>_xlfn.XLOOKUP(C699,customers!$A:$A,customers!$C:$C,,0)</f>
        <v>emily.walker561@yahoo.com</v>
      </c>
      <c r="H699" t="str">
        <f>IF(_xlfn.XLOOKUP(C699,customers!$A:$A,customers!$G:$G,,0)=0,"",_xlfn.XLOOKUP(C699,customers!$A:$A,customers!$G:$G,,0))</f>
        <v>Japan</v>
      </c>
      <c r="I699" t="str">
        <f>IF(_xlfn.XLOOKUP(D699,product!$A:$A,product!$E:$E,,0)=0,"",_xlfn.XLOOKUP(D699,product!$A:$A,product!$E:$E,,0))</f>
        <v>HISTORY</v>
      </c>
      <c r="J699" s="5">
        <f>IF(_xlfn.XLOOKUP(D699,product!$A:$A,product!$D:$D,,0)=0,"",_xlfn.XLOOKUP(D699,product!$A:$A,product!$D:$D,,0))</f>
        <v>23.59</v>
      </c>
      <c r="K699" s="7">
        <f t="shared" si="10"/>
        <v>47.18</v>
      </c>
      <c r="L699" s="10" t="str">
        <f>IF(_xlfn.XLOOKUP(D699,product!$A:$A,product!$F:$F,,0)=0,"",_xlfn.XLOOKUP(D699,product!$A:$A,product!$F:$F,,0))</f>
        <v>Yes</v>
      </c>
      <c r="M699" t="str">
        <f>IF(_xlfn.XLOOKUP(D699,product!$A:$A,product!G:G,,0)=0,"",_xlfn.XLOOKUP(D699,product!$A:$A,product!G:G,,0))</f>
        <v>Gold</v>
      </c>
      <c r="N699" t="str">
        <f>IF(_xlfn.XLOOKUP(D699,product!$A:$A,product!$B:$B,,0)=0,"",_xlfn.XLOOKUP(D699,product!$A:$A,product!$B:$B,,0))</f>
        <v>Mind Data</v>
      </c>
    </row>
    <row r="700" spans="1:14" x14ac:dyDescent="0.35">
      <c r="A700" t="s">
        <v>192</v>
      </c>
      <c r="B700" s="3">
        <v>45000</v>
      </c>
      <c r="C700" t="s">
        <v>1223</v>
      </c>
      <c r="D700" t="s">
        <v>6058</v>
      </c>
      <c r="E700">
        <v>2</v>
      </c>
      <c r="F700" t="str">
        <f>_xlfn.XLOOKUP(C700,customers!$A$1:$A$983,customers!$B$1:$B$983,,0)</f>
        <v>Sophia Thomas</v>
      </c>
      <c r="G700" t="str">
        <f>_xlfn.XLOOKUP(C700,customers!$A:$A,customers!$C:$C,,0)</f>
        <v>sophia.thomas45@outlook.com</v>
      </c>
      <c r="H700" t="str">
        <f>IF(_xlfn.XLOOKUP(C700,customers!$A:$A,customers!$G:$G,,0)=0,"",_xlfn.XLOOKUP(C700,customers!$A:$A,customers!$G:$G,,0))</f>
        <v>Germany</v>
      </c>
      <c r="I700" t="str">
        <f>IF(_xlfn.XLOOKUP(D700,product!$A:$A,product!$E:$E,,0)=0,"",_xlfn.XLOOKUP(D700,product!$A:$A,product!$E:$E,,0))</f>
        <v>SCIENCE</v>
      </c>
      <c r="J700" s="5">
        <f>IF(_xlfn.XLOOKUP(D700,product!$A:$A,product!$D:$D,,0)=0,"",_xlfn.XLOOKUP(D700,product!$A:$A,product!$D:$D,,0))</f>
        <v>36.93</v>
      </c>
      <c r="K700" s="7">
        <f t="shared" si="10"/>
        <v>73.86</v>
      </c>
      <c r="L700" s="10" t="str">
        <f>IF(_xlfn.XLOOKUP(D700,product!$A:$A,product!$F:$F,,0)=0,"",_xlfn.XLOOKUP(D700,product!$A:$A,product!$F:$F,,0))</f>
        <v>No</v>
      </c>
      <c r="M700" t="str">
        <f>IF(_xlfn.XLOOKUP(D700,product!$A:$A,product!G:G,,0)=0,"",_xlfn.XLOOKUP(D700,product!$A:$A,product!G:G,,0))</f>
        <v>None</v>
      </c>
      <c r="N700" t="str">
        <f>IF(_xlfn.XLOOKUP(D700,product!$A:$A,product!$B:$B,,0)=0,"",_xlfn.XLOOKUP(D700,product!$A:$A,product!$B:$B,,0))</f>
        <v>Forest Secrets</v>
      </c>
    </row>
    <row r="701" spans="1:14" x14ac:dyDescent="0.35">
      <c r="A701" t="s">
        <v>209</v>
      </c>
      <c r="B701" s="3">
        <v>45350</v>
      </c>
      <c r="C701" t="s">
        <v>2027</v>
      </c>
      <c r="D701" t="s">
        <v>6059</v>
      </c>
      <c r="E701">
        <v>2</v>
      </c>
      <c r="F701" t="str">
        <f>_xlfn.XLOOKUP(C701,customers!$A$1:$A$983,customers!$B$1:$B$983,,0)</f>
        <v>Steven Hill</v>
      </c>
      <c r="G701" t="str">
        <f>_xlfn.XLOOKUP(C701,customers!$A:$A,customers!$C:$C,,0)</f>
        <v>steven.hill270@hotmail.com</v>
      </c>
      <c r="H701" t="str">
        <f>IF(_xlfn.XLOOKUP(C701,customers!$A:$A,customers!$G:$G,,0)=0,"",_xlfn.XLOOKUP(C701,customers!$A:$A,customers!$G:$G,,0))</f>
        <v>Germany</v>
      </c>
      <c r="I701" t="str">
        <f>IF(_xlfn.XLOOKUP(D701,product!$A:$A,product!$E:$E,,0)=0,"",_xlfn.XLOOKUP(D701,product!$A:$A,product!$E:$E,,0))</f>
        <v>HISTORY</v>
      </c>
      <c r="J701" s="5">
        <f>IF(_xlfn.XLOOKUP(D701,product!$A:$A,product!$D:$D,,0)=0,"",_xlfn.XLOOKUP(D701,product!$A:$A,product!$D:$D,,0))</f>
        <v>26.73</v>
      </c>
      <c r="K701" s="7">
        <f t="shared" si="10"/>
        <v>53.46</v>
      </c>
      <c r="L701" s="10" t="str">
        <f>IF(_xlfn.XLOOKUP(D701,product!$A:$A,product!$F:$F,,0)=0,"",_xlfn.XLOOKUP(D701,product!$A:$A,product!$F:$F,,0))</f>
        <v>No</v>
      </c>
      <c r="M701" t="str">
        <f>IF(_xlfn.XLOOKUP(D701,product!$A:$A,product!G:G,,0)=0,"",_xlfn.XLOOKUP(D701,product!$A:$A,product!G:G,,0))</f>
        <v>Silver</v>
      </c>
      <c r="N701" t="str">
        <f>IF(_xlfn.XLOOKUP(D701,product!$A:$A,product!$B:$B,,0)=0,"",_xlfn.XLOOKUP(D701,product!$A:$A,product!$B:$B,,0))</f>
        <v>Silent Future</v>
      </c>
    </row>
    <row r="702" spans="1:14" x14ac:dyDescent="0.35">
      <c r="A702" t="s">
        <v>226</v>
      </c>
      <c r="B702" s="3">
        <v>45143</v>
      </c>
      <c r="C702" t="s">
        <v>2226</v>
      </c>
      <c r="D702" t="s">
        <v>6060</v>
      </c>
      <c r="E702">
        <v>2</v>
      </c>
      <c r="F702" t="str">
        <f>_xlfn.XLOOKUP(C702,customers!$A$1:$A$983,customers!$B$1:$B$983,,0)</f>
        <v>George Robinson</v>
      </c>
      <c r="G702" t="str">
        <f>_xlfn.XLOOKUP(C702,customers!$A:$A,customers!$C:$C,,0)</f>
        <v>george.robinson348@outlook.com</v>
      </c>
      <c r="H702" t="str">
        <f>IF(_xlfn.XLOOKUP(C702,customers!$A:$A,customers!$G:$G,,0)=0,"",_xlfn.XLOOKUP(C702,customers!$A:$A,customers!$G:$G,,0))</f>
        <v>Spain</v>
      </c>
      <c r="I702" t="str">
        <f>IF(_xlfn.XLOOKUP(D702,product!$A:$A,product!$E:$E,,0)=0,"",_xlfn.XLOOKUP(D702,product!$A:$A,product!$E:$E,,0))</f>
        <v>TECH</v>
      </c>
      <c r="J702" s="5">
        <f>IF(_xlfn.XLOOKUP(D702,product!$A:$A,product!$D:$D,,0)=0,"",_xlfn.XLOOKUP(D702,product!$A:$A,product!$D:$D,,0))</f>
        <v>27.95</v>
      </c>
      <c r="K702" s="7">
        <f t="shared" si="10"/>
        <v>55.9</v>
      </c>
      <c r="L702" s="10" t="str">
        <f>IF(_xlfn.XLOOKUP(D702,product!$A:$A,product!$F:$F,,0)=0,"",_xlfn.XLOOKUP(D702,product!$A:$A,product!$F:$F,,0))</f>
        <v>Yes</v>
      </c>
      <c r="M702" t="str">
        <f>IF(_xlfn.XLOOKUP(D702,product!$A:$A,product!G:G,,0)=0,"",_xlfn.XLOOKUP(D702,product!$A:$A,product!G:G,,0))</f>
        <v>None</v>
      </c>
      <c r="N702" t="str">
        <f>IF(_xlfn.XLOOKUP(D702,product!$A:$A,product!$B:$B,,0)=0,"",_xlfn.XLOOKUP(D702,product!$A:$A,product!$B:$B,,0))</f>
        <v>Mind Data</v>
      </c>
    </row>
    <row r="703" spans="1:14" x14ac:dyDescent="0.35">
      <c r="A703" t="s">
        <v>243</v>
      </c>
      <c r="B703" s="3">
        <v>45423</v>
      </c>
      <c r="C703" t="s">
        <v>2199</v>
      </c>
      <c r="D703" t="s">
        <v>6061</v>
      </c>
      <c r="E703">
        <v>2</v>
      </c>
      <c r="F703" t="str">
        <f>_xlfn.XLOOKUP(C703,customers!$A$1:$A$983,customers!$B$1:$B$983,,0)</f>
        <v>Ryan Martinez</v>
      </c>
      <c r="G703" t="str">
        <f>_xlfn.XLOOKUP(C703,customers!$A:$A,customers!$C:$C,,0)</f>
        <v>ryan.martinez336@hotmail.com</v>
      </c>
      <c r="H703" t="str">
        <f>IF(_xlfn.XLOOKUP(C703,customers!$A:$A,customers!$G:$G,,0)=0,"",_xlfn.XLOOKUP(C703,customers!$A:$A,customers!$G:$G,,0))</f>
        <v>Japan</v>
      </c>
      <c r="I703" t="str">
        <f>IF(_xlfn.XLOOKUP(D703,product!$A:$A,product!$E:$E,,0)=0,"",_xlfn.XLOOKUP(D703,product!$A:$A,product!$E:$E,,0))</f>
        <v>TECH</v>
      </c>
      <c r="J703" s="5">
        <f>IF(_xlfn.XLOOKUP(D703,product!$A:$A,product!$D:$D,,0)=0,"",_xlfn.XLOOKUP(D703,product!$A:$A,product!$D:$D,,0))</f>
        <v>29.72</v>
      </c>
      <c r="K703" s="7">
        <f t="shared" si="10"/>
        <v>59.44</v>
      </c>
      <c r="L703" s="10" t="str">
        <f>IF(_xlfn.XLOOKUP(D703,product!$A:$A,product!$F:$F,,0)=0,"",_xlfn.XLOOKUP(D703,product!$A:$A,product!$F:$F,,0))</f>
        <v>Yes</v>
      </c>
      <c r="M703" t="str">
        <f>IF(_xlfn.XLOOKUP(D703,product!$A:$A,product!G:G,,0)=0,"",_xlfn.XLOOKUP(D703,product!$A:$A,product!G:G,,0))</f>
        <v>None</v>
      </c>
      <c r="N703" t="str">
        <f>IF(_xlfn.XLOOKUP(D703,product!$A:$A,product!$B:$B,,0)=0,"",_xlfn.XLOOKUP(D703,product!$A:$A,product!$B:$B,,0))</f>
        <v>Secrets Power</v>
      </c>
    </row>
    <row r="704" spans="1:14" x14ac:dyDescent="0.35">
      <c r="A704" t="s">
        <v>260</v>
      </c>
      <c r="B704" s="3">
        <v>45236</v>
      </c>
      <c r="C704" t="s">
        <v>3184</v>
      </c>
      <c r="D704" t="s">
        <v>6062</v>
      </c>
      <c r="E704">
        <v>2</v>
      </c>
      <c r="F704" t="str">
        <f>_xlfn.XLOOKUP(C704,customers!$A$1:$A$983,customers!$B$1:$B$983,,0)</f>
        <v>Steven Lopez</v>
      </c>
      <c r="G704" t="str">
        <f>_xlfn.XLOOKUP(C704,customers!$A:$A,customers!$C:$C,,0)</f>
        <v>steven.lopez805@hotmail.com</v>
      </c>
      <c r="H704" t="str">
        <f>IF(_xlfn.XLOOKUP(C704,customers!$A:$A,customers!$G:$G,,0)=0,"",_xlfn.XLOOKUP(C704,customers!$A:$A,customers!$G:$G,,0))</f>
        <v>Sweden</v>
      </c>
      <c r="I704" t="str">
        <f>IF(_xlfn.XLOOKUP(D704,product!$A:$A,product!$E:$E,,0)=0,"",_xlfn.XLOOKUP(D704,product!$A:$A,product!$E:$E,,0))</f>
        <v>BUSINESS</v>
      </c>
      <c r="J704" s="5">
        <f>IF(_xlfn.XLOOKUP(D704,product!$A:$A,product!$D:$D,,0)=0,"",_xlfn.XLOOKUP(D704,product!$A:$A,product!$D:$D,,0))</f>
        <v>32.07</v>
      </c>
      <c r="K704" s="7">
        <f t="shared" si="10"/>
        <v>64.14</v>
      </c>
      <c r="L704" s="10" t="str">
        <f>IF(_xlfn.XLOOKUP(D704,product!$A:$A,product!$F:$F,,0)=0,"",_xlfn.XLOOKUP(D704,product!$A:$A,product!$F:$F,,0))</f>
        <v>Yes</v>
      </c>
      <c r="M704" t="str">
        <f>IF(_xlfn.XLOOKUP(D704,product!$A:$A,product!G:G,,0)=0,"",_xlfn.XLOOKUP(D704,product!$A:$A,product!G:G,,0))</f>
        <v>None</v>
      </c>
      <c r="N704" t="str">
        <f>IF(_xlfn.XLOOKUP(D704,product!$A:$A,product!$B:$B,,0)=0,"",_xlfn.XLOOKUP(D704,product!$A:$A,product!$B:$B,,0))</f>
        <v>Silent Secrets</v>
      </c>
    </row>
    <row r="705" spans="1:14" x14ac:dyDescent="0.35">
      <c r="A705" t="s">
        <v>277</v>
      </c>
      <c r="B705" s="3">
        <v>45476</v>
      </c>
      <c r="C705" t="s">
        <v>1877</v>
      </c>
      <c r="D705" t="s">
        <v>6063</v>
      </c>
      <c r="E705">
        <v>2</v>
      </c>
      <c r="F705" t="str">
        <f>_xlfn.XLOOKUP(C705,customers!$A$1:$A$983,customers!$B$1:$B$983,,0)</f>
        <v>Lucy King</v>
      </c>
      <c r="G705" t="str">
        <f>_xlfn.XLOOKUP(C705,customers!$A:$A,customers!$C:$C,,0)</f>
        <v>lucy.king222@outlook.com</v>
      </c>
      <c r="H705" t="str">
        <f>IF(_xlfn.XLOOKUP(C705,customers!$A:$A,customers!$G:$G,,0)=0,"",_xlfn.XLOOKUP(C705,customers!$A:$A,customers!$G:$G,,0))</f>
        <v>Spain</v>
      </c>
      <c r="I705" t="str">
        <f>IF(_xlfn.XLOOKUP(D705,product!$A:$A,product!$E:$E,,0)=0,"",_xlfn.XLOOKUP(D705,product!$A:$A,product!$E:$E,,0))</f>
        <v>SCIENCE</v>
      </c>
      <c r="J705" s="5">
        <f>IF(_xlfn.XLOOKUP(D705,product!$A:$A,product!$D:$D,,0)=0,"",_xlfn.XLOOKUP(D705,product!$A:$A,product!$D:$D,,0))</f>
        <v>30.59</v>
      </c>
      <c r="K705" s="7">
        <f t="shared" si="10"/>
        <v>61.18</v>
      </c>
      <c r="L705" s="10" t="str">
        <f>IF(_xlfn.XLOOKUP(D705,product!$A:$A,product!$F:$F,,0)=0,"",_xlfn.XLOOKUP(D705,product!$A:$A,product!$F:$F,,0))</f>
        <v>Yes</v>
      </c>
      <c r="M705" t="str">
        <f>IF(_xlfn.XLOOKUP(D705,product!$A:$A,product!G:G,,0)=0,"",_xlfn.XLOOKUP(D705,product!$A:$A,product!G:G,,0))</f>
        <v>Gold</v>
      </c>
      <c r="N705" t="str">
        <f>IF(_xlfn.XLOOKUP(D705,product!$A:$A,product!$B:$B,,0)=0,"",_xlfn.XLOOKUP(D705,product!$A:$A,product!$B:$B,,0))</f>
        <v>Data Secrets</v>
      </c>
    </row>
    <row r="706" spans="1:14" x14ac:dyDescent="0.35">
      <c r="A706" t="s">
        <v>294</v>
      </c>
      <c r="B706" s="3">
        <v>45097</v>
      </c>
      <c r="C706" t="s">
        <v>2966</v>
      </c>
      <c r="D706" t="s">
        <v>6064</v>
      </c>
      <c r="E706">
        <v>2</v>
      </c>
      <c r="F706" t="str">
        <f>_xlfn.XLOOKUP(C706,customers!$A$1:$A$983,customers!$B$1:$B$983,,0)</f>
        <v>Joshua Lopez</v>
      </c>
      <c r="G706" t="str">
        <f>_xlfn.XLOOKUP(C706,customers!$A:$A,customers!$C:$C,,0)</f>
        <v>joshua.lopez697@gmail.com</v>
      </c>
      <c r="H706" t="str">
        <f>IF(_xlfn.XLOOKUP(C706,customers!$A:$A,customers!$G:$G,,0)=0,"",_xlfn.XLOOKUP(C706,customers!$A:$A,customers!$G:$G,,0))</f>
        <v>Sweden</v>
      </c>
      <c r="I706" t="str">
        <f>IF(_xlfn.XLOOKUP(D706,product!$A:$A,product!$E:$E,,0)=0,"",_xlfn.XLOOKUP(D706,product!$A:$A,product!$E:$E,,0))</f>
        <v>HISTORY</v>
      </c>
      <c r="J706" s="5">
        <f>IF(_xlfn.XLOOKUP(D706,product!$A:$A,product!$D:$D,,0)=0,"",_xlfn.XLOOKUP(D706,product!$A:$A,product!$D:$D,,0))</f>
        <v>36.04</v>
      </c>
      <c r="K706" s="7">
        <f t="shared" si="10"/>
        <v>72.08</v>
      </c>
      <c r="L706" s="10" t="str">
        <f>IF(_xlfn.XLOOKUP(D706,product!$A:$A,product!$F:$F,,0)=0,"",_xlfn.XLOOKUP(D706,product!$A:$A,product!$F:$F,,0))</f>
        <v>Yes</v>
      </c>
      <c r="M706" t="str">
        <f>IF(_xlfn.XLOOKUP(D706,product!$A:$A,product!G:G,,0)=0,"",_xlfn.XLOOKUP(D706,product!$A:$A,product!G:G,,0))</f>
        <v>None</v>
      </c>
      <c r="N706" t="str">
        <f>IF(_xlfn.XLOOKUP(D706,product!$A:$A,product!$B:$B,,0)=0,"",_xlfn.XLOOKUP(D706,product!$A:$A,product!$B:$B,,0))</f>
        <v>Science Journey</v>
      </c>
    </row>
    <row r="707" spans="1:14" x14ac:dyDescent="0.35">
      <c r="A707" t="s">
        <v>311</v>
      </c>
      <c r="B707" s="3">
        <v>45536</v>
      </c>
      <c r="C707" t="s">
        <v>3275</v>
      </c>
      <c r="D707" t="s">
        <v>6065</v>
      </c>
      <c r="E707">
        <v>2</v>
      </c>
      <c r="F707" t="str">
        <f>_xlfn.XLOOKUP(C707,customers!$A$1:$A$983,customers!$B$1:$B$983,,0)</f>
        <v>Charlotte King</v>
      </c>
      <c r="G707" t="str">
        <f>_xlfn.XLOOKUP(C707,customers!$A:$A,customers!$C:$C,,0)</f>
        <v>charlotte.king851@yahoo.com</v>
      </c>
      <c r="H707" t="str">
        <f>IF(_xlfn.XLOOKUP(C707,customers!$A:$A,customers!$G:$G,,0)=0,"",_xlfn.XLOOKUP(C707,customers!$A:$A,customers!$G:$G,,0))</f>
        <v>Singapore</v>
      </c>
      <c r="I707" t="str">
        <f>IF(_xlfn.XLOOKUP(D707,product!$A:$A,product!$E:$E,,0)=0,"",_xlfn.XLOOKUP(D707,product!$A:$A,product!$E:$E,,0))</f>
        <v>BUSINESS</v>
      </c>
      <c r="J707" s="5">
        <f>IF(_xlfn.XLOOKUP(D707,product!$A:$A,product!$D:$D,,0)=0,"",_xlfn.XLOOKUP(D707,product!$A:$A,product!$D:$D,,0))</f>
        <v>19.309999999999999</v>
      </c>
      <c r="K707" s="7">
        <f t="shared" ref="K707:K770" si="11">J707*E707</f>
        <v>38.619999999999997</v>
      </c>
      <c r="L707" s="10" t="str">
        <f>IF(_xlfn.XLOOKUP(D707,product!$A:$A,product!$F:$F,,0)=0,"",_xlfn.XLOOKUP(D707,product!$A:$A,product!$F:$F,,0))</f>
        <v>No</v>
      </c>
      <c r="M707" t="str">
        <f>IF(_xlfn.XLOOKUP(D707,product!$A:$A,product!G:G,,0)=0,"",_xlfn.XLOOKUP(D707,product!$A:$A,product!G:G,,0))</f>
        <v>Silver</v>
      </c>
      <c r="N707" t="str">
        <f>IF(_xlfn.XLOOKUP(D707,product!$A:$A,product!$B:$B,,0)=0,"",_xlfn.XLOOKUP(D707,product!$A:$A,product!$B:$B,,0))</f>
        <v>Data Mind</v>
      </c>
    </row>
    <row r="708" spans="1:14" x14ac:dyDescent="0.35">
      <c r="A708" t="s">
        <v>328</v>
      </c>
      <c r="B708" s="3">
        <v>45017</v>
      </c>
      <c r="C708" t="s">
        <v>2097</v>
      </c>
      <c r="D708" t="s">
        <v>6066</v>
      </c>
      <c r="E708">
        <v>2</v>
      </c>
      <c r="F708" t="str">
        <f>_xlfn.XLOOKUP(C708,customers!$A$1:$A$983,customers!$B$1:$B$983,,0)</f>
        <v>Mia Lee</v>
      </c>
      <c r="G708" t="str">
        <f>_xlfn.XLOOKUP(C708,customers!$A:$A,customers!$C:$C,,0)</f>
        <v>mia.lee295@outlook.com</v>
      </c>
      <c r="H708" t="str">
        <f>IF(_xlfn.XLOOKUP(C708,customers!$A:$A,customers!$G:$G,,0)=0,"",_xlfn.XLOOKUP(C708,customers!$A:$A,customers!$G:$G,,0))</f>
        <v>Japan</v>
      </c>
      <c r="I708" t="str">
        <f>IF(_xlfn.XLOOKUP(D708,product!$A:$A,product!$E:$E,,0)=0,"",_xlfn.XLOOKUP(D708,product!$A:$A,product!$E:$E,,0))</f>
        <v>TECH</v>
      </c>
      <c r="J708" s="5">
        <f>IF(_xlfn.XLOOKUP(D708,product!$A:$A,product!$D:$D,,0)=0,"",_xlfn.XLOOKUP(D708,product!$A:$A,product!$D:$D,,0))</f>
        <v>19.989999999999998</v>
      </c>
      <c r="K708" s="7">
        <f t="shared" si="11"/>
        <v>39.979999999999997</v>
      </c>
      <c r="L708" s="10" t="str">
        <f>IF(_xlfn.XLOOKUP(D708,product!$A:$A,product!$F:$F,,0)=0,"",_xlfn.XLOOKUP(D708,product!$A:$A,product!$F:$F,,0))</f>
        <v>Yes</v>
      </c>
      <c r="M708" t="str">
        <f>IF(_xlfn.XLOOKUP(D708,product!$A:$A,product!G:G,,0)=0,"",_xlfn.XLOOKUP(D708,product!$A:$A,product!G:G,,0))</f>
        <v>Silver</v>
      </c>
      <c r="N708" t="str">
        <f>IF(_xlfn.XLOOKUP(D708,product!$A:$A,product!$B:$B,,0)=0,"",_xlfn.XLOOKUP(D708,product!$A:$A,product!$B:$B,,0))</f>
        <v>Future Forest</v>
      </c>
    </row>
    <row r="709" spans="1:14" x14ac:dyDescent="0.35">
      <c r="A709" t="s">
        <v>345</v>
      </c>
      <c r="B709" s="3">
        <v>45292</v>
      </c>
      <c r="C709" t="s">
        <v>3530</v>
      </c>
      <c r="D709" t="s">
        <v>6067</v>
      </c>
      <c r="E709">
        <v>2</v>
      </c>
      <c r="F709" t="str">
        <f>_xlfn.XLOOKUP(C709,customers!$A$1:$A$983,customers!$B$1:$B$983,,0)</f>
        <v>Isabella Lewis</v>
      </c>
      <c r="G709" t="str">
        <f>_xlfn.XLOOKUP(C709,customers!$A:$A,customers!$C:$C,,0)</f>
        <v>isabella.lewis980@outlook.com</v>
      </c>
      <c r="H709" t="str">
        <f>IF(_xlfn.XLOOKUP(C709,customers!$A:$A,customers!$G:$G,,0)=0,"",_xlfn.XLOOKUP(C709,customers!$A:$A,customers!$G:$G,,0))</f>
        <v>Canada</v>
      </c>
      <c r="I709" t="str">
        <f>IF(_xlfn.XLOOKUP(D709,product!$A:$A,product!$E:$E,,0)=0,"",_xlfn.XLOOKUP(D709,product!$A:$A,product!$E:$E,,0))</f>
        <v>BUSINESS</v>
      </c>
      <c r="J709" s="5">
        <f>IF(_xlfn.XLOOKUP(D709,product!$A:$A,product!$D:$D,,0)=0,"",_xlfn.XLOOKUP(D709,product!$A:$A,product!$D:$D,,0))</f>
        <v>25.89</v>
      </c>
      <c r="K709" s="7">
        <f t="shared" si="11"/>
        <v>51.78</v>
      </c>
      <c r="L709" s="10" t="str">
        <f>IF(_xlfn.XLOOKUP(D709,product!$A:$A,product!$F:$F,,0)=0,"",_xlfn.XLOOKUP(D709,product!$A:$A,product!$F:$F,,0))</f>
        <v>No</v>
      </c>
      <c r="M709" t="str">
        <f>IF(_xlfn.XLOOKUP(D709,product!$A:$A,product!G:G,,0)=0,"",_xlfn.XLOOKUP(D709,product!$A:$A,product!G:G,,0))</f>
        <v>Silver</v>
      </c>
      <c r="N709" t="str">
        <f>IF(_xlfn.XLOOKUP(D709,product!$A:$A,product!$B:$B,,0)=0,"",_xlfn.XLOOKUP(D709,product!$A:$A,product!$B:$B,,0))</f>
        <v>Silent Quantum</v>
      </c>
    </row>
    <row r="710" spans="1:14" x14ac:dyDescent="0.35">
      <c r="A710" t="s">
        <v>362</v>
      </c>
      <c r="B710" s="3">
        <v>45214</v>
      </c>
      <c r="C710" t="s">
        <v>2831</v>
      </c>
      <c r="D710" t="s">
        <v>6068</v>
      </c>
      <c r="E710">
        <v>2</v>
      </c>
      <c r="F710" t="str">
        <f>_xlfn.XLOOKUP(C710,customers!$A$1:$A$983,customers!$B$1:$B$983,,0)</f>
        <v>Robert Rodriguez</v>
      </c>
      <c r="G710" t="str">
        <f>_xlfn.XLOOKUP(C710,customers!$A:$A,customers!$C:$C,,0)</f>
        <v>robert.rodriguez631@gmail.com</v>
      </c>
      <c r="H710" t="str">
        <f>IF(_xlfn.XLOOKUP(C710,customers!$A:$A,customers!$G:$G,,0)=0,"",_xlfn.XLOOKUP(C710,customers!$A:$A,customers!$G:$G,,0))</f>
        <v>USA</v>
      </c>
      <c r="I710" t="str">
        <f>IF(_xlfn.XLOOKUP(D710,product!$A:$A,product!$E:$E,,0)=0,"",_xlfn.XLOOKUP(D710,product!$A:$A,product!$E:$E,,0))</f>
        <v>FICTION</v>
      </c>
      <c r="J710" s="5">
        <f>IF(_xlfn.XLOOKUP(D710,product!$A:$A,product!$D:$D,,0)=0,"",_xlfn.XLOOKUP(D710,product!$A:$A,product!$D:$D,,0))</f>
        <v>20.29</v>
      </c>
      <c r="K710" s="7">
        <f t="shared" si="11"/>
        <v>40.58</v>
      </c>
      <c r="L710" s="10" t="str">
        <f>IF(_xlfn.XLOOKUP(D710,product!$A:$A,product!$F:$F,,0)=0,"",_xlfn.XLOOKUP(D710,product!$A:$A,product!$F:$F,,0))</f>
        <v>No</v>
      </c>
      <c r="M710" t="str">
        <f>IF(_xlfn.XLOOKUP(D710,product!$A:$A,product!G:G,,0)=0,"",_xlfn.XLOOKUP(D710,product!$A:$A,product!G:G,,0))</f>
        <v>Gold</v>
      </c>
      <c r="N710" t="str">
        <f>IF(_xlfn.XLOOKUP(D710,product!$A:$A,product!$B:$B,,0)=0,"",_xlfn.XLOOKUP(D710,product!$A:$A,product!$B:$B,,0))</f>
        <v>Power Secrets</v>
      </c>
    </row>
    <row r="711" spans="1:14" x14ac:dyDescent="0.35">
      <c r="A711" t="s">
        <v>379</v>
      </c>
      <c r="B711" s="3">
        <v>45610</v>
      </c>
      <c r="C711" t="s">
        <v>3257</v>
      </c>
      <c r="D711" t="s">
        <v>6069</v>
      </c>
      <c r="E711">
        <v>2</v>
      </c>
      <c r="F711" t="str">
        <f>_xlfn.XLOOKUP(C711,customers!$A$1:$A$983,customers!$B$1:$B$983,,0)</f>
        <v>Thomas Jackson</v>
      </c>
      <c r="G711" t="str">
        <f>_xlfn.XLOOKUP(C711,customers!$A:$A,customers!$C:$C,,0)</f>
        <v>thomas.jackson842@outlook.com</v>
      </c>
      <c r="H711" t="str">
        <f>IF(_xlfn.XLOOKUP(C711,customers!$A:$A,customers!$G:$G,,0)=0,"",_xlfn.XLOOKUP(C711,customers!$A:$A,customers!$G:$G,,0))</f>
        <v>Oman</v>
      </c>
      <c r="I711" t="str">
        <f>IF(_xlfn.XLOOKUP(D711,product!$A:$A,product!$E:$E,,0)=0,"",_xlfn.XLOOKUP(D711,product!$A:$A,product!$E:$E,,0))</f>
        <v>BUSINESS</v>
      </c>
      <c r="J711" s="5">
        <f>IF(_xlfn.XLOOKUP(D711,product!$A:$A,product!$D:$D,,0)=0,"",_xlfn.XLOOKUP(D711,product!$A:$A,product!$D:$D,,0))</f>
        <v>31.96</v>
      </c>
      <c r="K711" s="7">
        <f t="shared" si="11"/>
        <v>63.92</v>
      </c>
      <c r="L711" s="10" t="str">
        <f>IF(_xlfn.XLOOKUP(D711,product!$A:$A,product!$F:$F,,0)=0,"",_xlfn.XLOOKUP(D711,product!$A:$A,product!$F:$F,,0))</f>
        <v>Yes</v>
      </c>
      <c r="M711" t="str">
        <f>IF(_xlfn.XLOOKUP(D711,product!$A:$A,product!G:G,,0)=0,"",_xlfn.XLOOKUP(D711,product!$A:$A,product!G:G,,0))</f>
        <v>Silver</v>
      </c>
      <c r="N711" t="str">
        <f>IF(_xlfn.XLOOKUP(D711,product!$A:$A,product!$B:$B,,0)=0,"",_xlfn.XLOOKUP(D711,product!$A:$A,product!$B:$B,,0))</f>
        <v>Quantum Data</v>
      </c>
    </row>
    <row r="712" spans="1:14" x14ac:dyDescent="0.35">
      <c r="A712" t="s">
        <v>396</v>
      </c>
      <c r="B712" s="3">
        <v>45278</v>
      </c>
      <c r="C712" t="s">
        <v>2902</v>
      </c>
      <c r="D712" t="s">
        <v>6070</v>
      </c>
      <c r="E712">
        <v>2</v>
      </c>
      <c r="F712" t="str">
        <f>_xlfn.XLOOKUP(C712,customers!$A$1:$A$983,customers!$B$1:$B$983,,0)</f>
        <v>Edward Jackson</v>
      </c>
      <c r="G712" t="str">
        <f>_xlfn.XLOOKUP(C712,customers!$A:$A,customers!$C:$C,,0)</f>
        <v>edward.jackson666@outlook.com</v>
      </c>
      <c r="H712" t="str">
        <f>IF(_xlfn.XLOOKUP(C712,customers!$A:$A,customers!$G:$G,,0)=0,"",_xlfn.XLOOKUP(C712,customers!$A:$A,customers!$G:$G,,0))</f>
        <v>Germany</v>
      </c>
      <c r="I712" t="str">
        <f>IF(_xlfn.XLOOKUP(D712,product!$A:$A,product!$E:$E,,0)=0,"",_xlfn.XLOOKUP(D712,product!$A:$A,product!$E:$E,,0))</f>
        <v>SCIENCE</v>
      </c>
      <c r="J712" s="5">
        <f>IF(_xlfn.XLOOKUP(D712,product!$A:$A,product!$D:$D,,0)=0,"",_xlfn.XLOOKUP(D712,product!$A:$A,product!$D:$D,,0))</f>
        <v>14.79</v>
      </c>
      <c r="K712" s="7">
        <f t="shared" si="11"/>
        <v>29.58</v>
      </c>
      <c r="L712" s="10" t="str">
        <f>IF(_xlfn.XLOOKUP(D712,product!$A:$A,product!$F:$F,,0)=0,"",_xlfn.XLOOKUP(D712,product!$A:$A,product!$F:$F,,0))</f>
        <v>No</v>
      </c>
      <c r="M712" t="str">
        <f>IF(_xlfn.XLOOKUP(D712,product!$A:$A,product!G:G,,0)=0,"",_xlfn.XLOOKUP(D712,product!$A:$A,product!G:G,,0))</f>
        <v>Silver</v>
      </c>
      <c r="N712" t="str">
        <f>IF(_xlfn.XLOOKUP(D712,product!$A:$A,product!$B:$B,,0)=0,"",_xlfn.XLOOKUP(D712,product!$A:$A,product!$B:$B,,0))</f>
        <v>Science Forest</v>
      </c>
    </row>
    <row r="713" spans="1:14" x14ac:dyDescent="0.35">
      <c r="A713" t="s">
        <v>413</v>
      </c>
      <c r="B713" s="3">
        <v>45353</v>
      </c>
      <c r="C713" t="s">
        <v>2358</v>
      </c>
      <c r="D713" t="s">
        <v>6071</v>
      </c>
      <c r="E713">
        <v>2</v>
      </c>
      <c r="F713" t="str">
        <f>_xlfn.XLOOKUP(C713,customers!$A$1:$A$983,customers!$B$1:$B$983,,0)</f>
        <v>Zoe Johnson</v>
      </c>
      <c r="G713" t="str">
        <f>_xlfn.XLOOKUP(C713,customers!$A:$A,customers!$C:$C,,0)</f>
        <v>zoe.johnson406@hotmail.com</v>
      </c>
      <c r="H713" t="str">
        <f>IF(_xlfn.XLOOKUP(C713,customers!$A:$A,customers!$G:$G,,0)=0,"",_xlfn.XLOOKUP(C713,customers!$A:$A,customers!$G:$G,,0))</f>
        <v>USA</v>
      </c>
      <c r="I713" t="str">
        <f>IF(_xlfn.XLOOKUP(D713,product!$A:$A,product!$E:$E,,0)=0,"",_xlfn.XLOOKUP(D713,product!$A:$A,product!$E:$E,,0))</f>
        <v>FICTION</v>
      </c>
      <c r="J713" s="5">
        <f>IF(_xlfn.XLOOKUP(D713,product!$A:$A,product!$D:$D,,0)=0,"",_xlfn.XLOOKUP(D713,product!$A:$A,product!$D:$D,,0))</f>
        <v>27.73</v>
      </c>
      <c r="K713" s="7">
        <f t="shared" si="11"/>
        <v>55.46</v>
      </c>
      <c r="L713" s="10" t="str">
        <f>IF(_xlfn.XLOOKUP(D713,product!$A:$A,product!$F:$F,,0)=0,"",_xlfn.XLOOKUP(D713,product!$A:$A,product!$F:$F,,0))</f>
        <v>No</v>
      </c>
      <c r="M713" t="str">
        <f>IF(_xlfn.XLOOKUP(D713,product!$A:$A,product!G:G,,0)=0,"",_xlfn.XLOOKUP(D713,product!$A:$A,product!G:G,,0))</f>
        <v>Silver</v>
      </c>
      <c r="N713" t="str">
        <f>IF(_xlfn.XLOOKUP(D713,product!$A:$A,product!$B:$B,,0)=0,"",_xlfn.XLOOKUP(D713,product!$A:$A,product!$B:$B,,0))</f>
        <v>Mind Secrets</v>
      </c>
    </row>
    <row r="714" spans="1:14" x14ac:dyDescent="0.35">
      <c r="A714" t="s">
        <v>430</v>
      </c>
      <c r="B714" s="3">
        <v>44967</v>
      </c>
      <c r="C714" t="s">
        <v>3495</v>
      </c>
      <c r="D714" t="s">
        <v>6072</v>
      </c>
      <c r="E714">
        <v>2</v>
      </c>
      <c r="F714" t="str">
        <f>_xlfn.XLOOKUP(C714,customers!$A$1:$A$983,customers!$B$1:$B$983,,0)</f>
        <v>Robert Baker</v>
      </c>
      <c r="G714" t="str">
        <f>_xlfn.XLOOKUP(C714,customers!$A:$A,customers!$C:$C,,0)</f>
        <v>robert.baker962@yahoo.com</v>
      </c>
      <c r="H714" t="str">
        <f>IF(_xlfn.XLOOKUP(C714,customers!$A:$A,customers!$G:$G,,0)=0,"",_xlfn.XLOOKUP(C714,customers!$A:$A,customers!$G:$G,,0))</f>
        <v>Russia</v>
      </c>
      <c r="I714" t="str">
        <f>IF(_xlfn.XLOOKUP(D714,product!$A:$A,product!$E:$E,,0)=0,"",_xlfn.XLOOKUP(D714,product!$A:$A,product!$E:$E,,0))</f>
        <v>TECH</v>
      </c>
      <c r="J714" s="5">
        <f>IF(_xlfn.XLOOKUP(D714,product!$A:$A,product!$D:$D,,0)=0,"",_xlfn.XLOOKUP(D714,product!$A:$A,product!$D:$D,,0))</f>
        <v>21.34</v>
      </c>
      <c r="K714" s="7">
        <f t="shared" si="11"/>
        <v>42.68</v>
      </c>
      <c r="L714" s="10" t="str">
        <f>IF(_xlfn.XLOOKUP(D714,product!$A:$A,product!$F:$F,,0)=0,"",_xlfn.XLOOKUP(D714,product!$A:$A,product!$F:$F,,0))</f>
        <v>Yes</v>
      </c>
      <c r="M714" t="str">
        <f>IF(_xlfn.XLOOKUP(D714,product!$A:$A,product!G:G,,0)=0,"",_xlfn.XLOOKUP(D714,product!$A:$A,product!G:G,,0))</f>
        <v>None</v>
      </c>
      <c r="N714" t="str">
        <f>IF(_xlfn.XLOOKUP(D714,product!$A:$A,product!$B:$B,,0)=0,"",_xlfn.XLOOKUP(D714,product!$A:$A,product!$B:$B,,0))</f>
        <v>Quantum Future</v>
      </c>
    </row>
    <row r="715" spans="1:14" x14ac:dyDescent="0.35">
      <c r="A715" t="s">
        <v>447</v>
      </c>
      <c r="B715" s="3">
        <v>45444</v>
      </c>
      <c r="C715" t="s">
        <v>2953</v>
      </c>
      <c r="D715" t="s">
        <v>6073</v>
      </c>
      <c r="E715">
        <v>2</v>
      </c>
      <c r="F715" t="str">
        <f>_xlfn.XLOOKUP(C715,customers!$A$1:$A$983,customers!$B$1:$B$983,,0)</f>
        <v>James Robinson</v>
      </c>
      <c r="G715" t="str">
        <f>_xlfn.XLOOKUP(C715,customers!$A:$A,customers!$C:$C,,0)</f>
        <v>james.robinson691@yahoo.com</v>
      </c>
      <c r="H715" t="str">
        <f>IF(_xlfn.XLOOKUP(C715,customers!$A:$A,customers!$G:$G,,0)=0,"",_xlfn.XLOOKUP(C715,customers!$A:$A,customers!$G:$G,,0))</f>
        <v>Japan</v>
      </c>
      <c r="I715" t="str">
        <f>IF(_xlfn.XLOOKUP(D715,product!$A:$A,product!$E:$E,,0)=0,"",_xlfn.XLOOKUP(D715,product!$A:$A,product!$E:$E,,0))</f>
        <v>HISTORY</v>
      </c>
      <c r="J715" s="5">
        <f>IF(_xlfn.XLOOKUP(D715,product!$A:$A,product!$D:$D,,0)=0,"",_xlfn.XLOOKUP(D715,product!$A:$A,product!$D:$D,,0))</f>
        <v>29.76</v>
      </c>
      <c r="K715" s="7">
        <f t="shared" si="11"/>
        <v>59.52</v>
      </c>
      <c r="L715" s="10" t="str">
        <f>IF(_xlfn.XLOOKUP(D715,product!$A:$A,product!$F:$F,,0)=0,"",_xlfn.XLOOKUP(D715,product!$A:$A,product!$F:$F,,0))</f>
        <v>No</v>
      </c>
      <c r="M715" t="str">
        <f>IF(_xlfn.XLOOKUP(D715,product!$A:$A,product!G:G,,0)=0,"",_xlfn.XLOOKUP(D715,product!$A:$A,product!G:G,,0))</f>
        <v>Silver</v>
      </c>
      <c r="N715" t="str">
        <f>IF(_xlfn.XLOOKUP(D715,product!$A:$A,product!$B:$B,,0)=0,"",_xlfn.XLOOKUP(D715,product!$A:$A,product!$B:$B,,0))</f>
        <v>Future Quantum</v>
      </c>
    </row>
    <row r="716" spans="1:14" x14ac:dyDescent="0.35">
      <c r="A716" t="s">
        <v>464</v>
      </c>
      <c r="B716" s="3">
        <v>44992</v>
      </c>
      <c r="C716" t="s">
        <v>3218</v>
      </c>
      <c r="D716" t="s">
        <v>6074</v>
      </c>
      <c r="E716">
        <v>2</v>
      </c>
      <c r="F716" t="str">
        <f>_xlfn.XLOOKUP(C716,customers!$A$1:$A$983,customers!$B$1:$B$983,,0)</f>
        <v>Anthony Smith</v>
      </c>
      <c r="G716" t="str">
        <f>_xlfn.XLOOKUP(C716,customers!$A:$A,customers!$C:$C,,0)</f>
        <v>anthony.smith822@hotmail.com</v>
      </c>
      <c r="H716" t="str">
        <f>IF(_xlfn.XLOOKUP(C716,customers!$A:$A,customers!$G:$G,,0)=0,"",_xlfn.XLOOKUP(C716,customers!$A:$A,customers!$G:$G,,0))</f>
        <v>Japan</v>
      </c>
      <c r="I716" t="str">
        <f>IF(_xlfn.XLOOKUP(D716,product!$A:$A,product!$E:$E,,0)=0,"",_xlfn.XLOOKUP(D716,product!$A:$A,product!$E:$E,,0))</f>
        <v>HISTORY</v>
      </c>
      <c r="J716" s="5">
        <f>IF(_xlfn.XLOOKUP(D716,product!$A:$A,product!$D:$D,,0)=0,"",_xlfn.XLOOKUP(D716,product!$A:$A,product!$D:$D,,0))</f>
        <v>29.15</v>
      </c>
      <c r="K716" s="7">
        <f t="shared" si="11"/>
        <v>58.3</v>
      </c>
      <c r="L716" s="10" t="str">
        <f>IF(_xlfn.XLOOKUP(D716,product!$A:$A,product!$F:$F,,0)=0,"",_xlfn.XLOOKUP(D716,product!$A:$A,product!$F:$F,,0))</f>
        <v>No</v>
      </c>
      <c r="M716" t="str">
        <f>IF(_xlfn.XLOOKUP(D716,product!$A:$A,product!G:G,,0)=0,"",_xlfn.XLOOKUP(D716,product!$A:$A,product!G:G,,0))</f>
        <v>None</v>
      </c>
      <c r="N716" t="str">
        <f>IF(_xlfn.XLOOKUP(D716,product!$A:$A,product!$B:$B,,0)=0,"",_xlfn.XLOOKUP(D716,product!$A:$A,product!$B:$B,,0))</f>
        <v>Journey Forest</v>
      </c>
    </row>
    <row r="717" spans="1:14" x14ac:dyDescent="0.35">
      <c r="A717" t="s">
        <v>481</v>
      </c>
      <c r="B717" s="3">
        <v>45336</v>
      </c>
      <c r="C717" t="s">
        <v>2878</v>
      </c>
      <c r="D717" t="s">
        <v>6075</v>
      </c>
      <c r="E717">
        <v>2</v>
      </c>
      <c r="F717" t="str">
        <f>_xlfn.XLOOKUP(C717,customers!$A$1:$A$983,customers!$B$1:$B$983,,0)</f>
        <v>John Lee</v>
      </c>
      <c r="G717" t="str">
        <f>_xlfn.XLOOKUP(C717,customers!$A:$A,customers!$C:$C,,0)</f>
        <v>john.lee654@yahoo.com</v>
      </c>
      <c r="H717" t="str">
        <f>IF(_xlfn.XLOOKUP(C717,customers!$A:$A,customers!$G:$G,,0)=0,"",_xlfn.XLOOKUP(C717,customers!$A:$A,customers!$G:$G,,0))</f>
        <v>Spain</v>
      </c>
      <c r="I717" t="str">
        <f>IF(_xlfn.XLOOKUP(D717,product!$A:$A,product!$E:$E,,0)=0,"",_xlfn.XLOOKUP(D717,product!$A:$A,product!$E:$E,,0))</f>
        <v>BUSINESS</v>
      </c>
      <c r="J717" s="5">
        <f>IF(_xlfn.XLOOKUP(D717,product!$A:$A,product!$D:$D,,0)=0,"",_xlfn.XLOOKUP(D717,product!$A:$A,product!$D:$D,,0))</f>
        <v>35.93</v>
      </c>
      <c r="K717" s="7">
        <f t="shared" si="11"/>
        <v>71.86</v>
      </c>
      <c r="L717" s="10" t="str">
        <f>IF(_xlfn.XLOOKUP(D717,product!$A:$A,product!$F:$F,,0)=0,"",_xlfn.XLOOKUP(D717,product!$A:$A,product!$F:$F,,0))</f>
        <v>Yes</v>
      </c>
      <c r="M717" t="str">
        <f>IF(_xlfn.XLOOKUP(D717,product!$A:$A,product!G:G,,0)=0,"",_xlfn.XLOOKUP(D717,product!$A:$A,product!G:G,,0))</f>
        <v>None</v>
      </c>
      <c r="N717" t="str">
        <f>IF(_xlfn.XLOOKUP(D717,product!$A:$A,product!$B:$B,,0)=0,"",_xlfn.XLOOKUP(D717,product!$A:$A,product!$B:$B,,0))</f>
        <v>Future Science</v>
      </c>
    </row>
    <row r="718" spans="1:14" x14ac:dyDescent="0.35">
      <c r="A718" t="s">
        <v>498</v>
      </c>
      <c r="B718" s="3">
        <v>45154</v>
      </c>
      <c r="C718" t="s">
        <v>2840</v>
      </c>
      <c r="D718" t="s">
        <v>6076</v>
      </c>
      <c r="E718">
        <v>2</v>
      </c>
      <c r="F718" t="str">
        <f>_xlfn.XLOOKUP(C718,customers!$A$1:$A$983,customers!$B$1:$B$983,,0)</f>
        <v>Zoe Smith</v>
      </c>
      <c r="G718" t="str">
        <f>_xlfn.XLOOKUP(C718,customers!$A:$A,customers!$C:$C,,0)</f>
        <v>zoe.smith635@gmail.com</v>
      </c>
      <c r="H718" t="str">
        <f>IF(_xlfn.XLOOKUP(C718,customers!$A:$A,customers!$G:$G,,0)=0,"",_xlfn.XLOOKUP(C718,customers!$A:$A,customers!$G:$G,,0))</f>
        <v>Egypt</v>
      </c>
      <c r="I718" t="str">
        <f>IF(_xlfn.XLOOKUP(D718,product!$A:$A,product!$E:$E,,0)=0,"",_xlfn.XLOOKUP(D718,product!$A:$A,product!$E:$E,,0))</f>
        <v>HISTORY</v>
      </c>
      <c r="J718" s="5">
        <f>IF(_xlfn.XLOOKUP(D718,product!$A:$A,product!$D:$D,,0)=0,"",_xlfn.XLOOKUP(D718,product!$A:$A,product!$D:$D,,0))</f>
        <v>26.22</v>
      </c>
      <c r="K718" s="7">
        <f t="shared" si="11"/>
        <v>52.44</v>
      </c>
      <c r="L718" s="10" t="str">
        <f>IF(_xlfn.XLOOKUP(D718,product!$A:$A,product!$F:$F,,0)=0,"",_xlfn.XLOOKUP(D718,product!$A:$A,product!$F:$F,,0))</f>
        <v>Yes</v>
      </c>
      <c r="M718" t="str">
        <f>IF(_xlfn.XLOOKUP(D718,product!$A:$A,product!G:G,,0)=0,"",_xlfn.XLOOKUP(D718,product!$A:$A,product!G:G,,0))</f>
        <v>None</v>
      </c>
      <c r="N718" t="str">
        <f>IF(_xlfn.XLOOKUP(D718,product!$A:$A,product!$B:$B,,0)=0,"",_xlfn.XLOOKUP(D718,product!$A:$A,product!$B:$B,,0))</f>
        <v>Quantum Forest</v>
      </c>
    </row>
    <row r="719" spans="1:14" x14ac:dyDescent="0.35">
      <c r="A719" t="s">
        <v>515</v>
      </c>
      <c r="B719" s="3">
        <v>45441</v>
      </c>
      <c r="C719" t="s">
        <v>1277</v>
      </c>
      <c r="D719" t="s">
        <v>6077</v>
      </c>
      <c r="E719">
        <v>2</v>
      </c>
      <c r="F719" t="str">
        <f>_xlfn.XLOOKUP(C719,customers!$A$1:$A$983,customers!$B$1:$B$983,,0)</f>
        <v>Sarah Green</v>
      </c>
      <c r="G719" t="str">
        <f>_xlfn.XLOOKUP(C719,customers!$A:$A,customers!$C:$C,,0)</f>
        <v>sarah.green59@outlook.com</v>
      </c>
      <c r="H719" t="str">
        <f>IF(_xlfn.XLOOKUP(C719,customers!$A:$A,customers!$G:$G,,0)=0,"",_xlfn.XLOOKUP(C719,customers!$A:$A,customers!$G:$G,,0))</f>
        <v>Egypt</v>
      </c>
      <c r="I719" t="str">
        <f>IF(_xlfn.XLOOKUP(D719,product!$A:$A,product!$E:$E,,0)=0,"",_xlfn.XLOOKUP(D719,product!$A:$A,product!$E:$E,,0))</f>
        <v>TECH</v>
      </c>
      <c r="J719" s="5">
        <f>IF(_xlfn.XLOOKUP(D719,product!$A:$A,product!$D:$D,,0)=0,"",_xlfn.XLOOKUP(D719,product!$A:$A,product!$D:$D,,0))</f>
        <v>23.23</v>
      </c>
      <c r="K719" s="7">
        <f t="shared" si="11"/>
        <v>46.46</v>
      </c>
      <c r="L719" s="10" t="str">
        <f>IF(_xlfn.XLOOKUP(D719,product!$A:$A,product!$F:$F,,0)=0,"",_xlfn.XLOOKUP(D719,product!$A:$A,product!$F:$F,,0))</f>
        <v>Yes</v>
      </c>
      <c r="M719" t="str">
        <f>IF(_xlfn.XLOOKUP(D719,product!$A:$A,product!G:G,,0)=0,"",_xlfn.XLOOKUP(D719,product!$A:$A,product!G:G,,0))</f>
        <v>None</v>
      </c>
      <c r="N719" t="str">
        <f>IF(_xlfn.XLOOKUP(D719,product!$A:$A,product!$B:$B,,0)=0,"",_xlfn.XLOOKUP(D719,product!$A:$A,product!$B:$B,,0))</f>
        <v>Mind Quantum</v>
      </c>
    </row>
    <row r="720" spans="1:14" x14ac:dyDescent="0.35">
      <c r="A720" t="s">
        <v>532</v>
      </c>
      <c r="B720" s="3">
        <v>45241</v>
      </c>
      <c r="C720" t="s">
        <v>2116</v>
      </c>
      <c r="D720" t="s">
        <v>6078</v>
      </c>
      <c r="E720">
        <v>2</v>
      </c>
      <c r="F720" t="str">
        <f>_xlfn.XLOOKUP(C720,customers!$A$1:$A$983,customers!$B$1:$B$983,,0)</f>
        <v>Olivia Martin</v>
      </c>
      <c r="G720" t="str">
        <f>_xlfn.XLOOKUP(C720,customers!$A:$A,customers!$C:$C,,0)</f>
        <v>olivia.martin302@hotmail.com</v>
      </c>
      <c r="H720" t="str">
        <f>IF(_xlfn.XLOOKUP(C720,customers!$A:$A,customers!$G:$G,,0)=0,"",_xlfn.XLOOKUP(C720,customers!$A:$A,customers!$G:$G,,0))</f>
        <v>Egypt</v>
      </c>
      <c r="I720" t="str">
        <f>IF(_xlfn.XLOOKUP(D720,product!$A:$A,product!$E:$E,,0)=0,"",_xlfn.XLOOKUP(D720,product!$A:$A,product!$E:$E,,0))</f>
        <v>TECH</v>
      </c>
      <c r="J720" s="5">
        <f>IF(_xlfn.XLOOKUP(D720,product!$A:$A,product!$D:$D,,0)=0,"",_xlfn.XLOOKUP(D720,product!$A:$A,product!$D:$D,,0))</f>
        <v>29.64</v>
      </c>
      <c r="K720" s="7">
        <f t="shared" si="11"/>
        <v>59.28</v>
      </c>
      <c r="L720" s="10" t="str">
        <f>IF(_xlfn.XLOOKUP(D720,product!$A:$A,product!$F:$F,,0)=0,"",_xlfn.XLOOKUP(D720,product!$A:$A,product!$F:$F,,0))</f>
        <v>No</v>
      </c>
      <c r="M720" t="str">
        <f>IF(_xlfn.XLOOKUP(D720,product!$A:$A,product!G:G,,0)=0,"",_xlfn.XLOOKUP(D720,product!$A:$A,product!G:G,,0))</f>
        <v>Silver</v>
      </c>
      <c r="N720" t="str">
        <f>IF(_xlfn.XLOOKUP(D720,product!$A:$A,product!$B:$B,,0)=0,"",_xlfn.XLOOKUP(D720,product!$A:$A,product!$B:$B,,0))</f>
        <v>Science Silent</v>
      </c>
    </row>
    <row r="721" spans="1:14" x14ac:dyDescent="0.35">
      <c r="A721" t="s">
        <v>549</v>
      </c>
      <c r="B721" s="3">
        <v>45495</v>
      </c>
      <c r="C721" t="s">
        <v>2838</v>
      </c>
      <c r="D721" t="s">
        <v>6079</v>
      </c>
      <c r="E721">
        <v>2</v>
      </c>
      <c r="F721" t="str">
        <f>_xlfn.XLOOKUP(C721,customers!$A$1:$A$983,customers!$B$1:$B$983,,0)</f>
        <v>Emily Anderson</v>
      </c>
      <c r="G721" t="str">
        <f>_xlfn.XLOOKUP(C721,customers!$A:$A,customers!$C:$C,,0)</f>
        <v>emily.anderson634@outlook.com</v>
      </c>
      <c r="H721" t="str">
        <f>IF(_xlfn.XLOOKUP(C721,customers!$A:$A,customers!$G:$G,,0)=0,"",_xlfn.XLOOKUP(C721,customers!$A:$A,customers!$G:$G,,0))</f>
        <v>Sweden</v>
      </c>
      <c r="I721" t="str">
        <f>IF(_xlfn.XLOOKUP(D721,product!$A:$A,product!$E:$E,,0)=0,"",_xlfn.XLOOKUP(D721,product!$A:$A,product!$E:$E,,0))</f>
        <v>FICTION</v>
      </c>
      <c r="J721" s="5">
        <f>IF(_xlfn.XLOOKUP(D721,product!$A:$A,product!$D:$D,,0)=0,"",_xlfn.XLOOKUP(D721,product!$A:$A,product!$D:$D,,0))</f>
        <v>18.96</v>
      </c>
      <c r="K721" s="7">
        <f t="shared" si="11"/>
        <v>37.92</v>
      </c>
      <c r="L721" s="10" t="str">
        <f>IF(_xlfn.XLOOKUP(D721,product!$A:$A,product!$F:$F,,0)=0,"",_xlfn.XLOOKUP(D721,product!$A:$A,product!$F:$F,,0))</f>
        <v>No</v>
      </c>
      <c r="M721" t="str">
        <f>IF(_xlfn.XLOOKUP(D721,product!$A:$A,product!G:G,,0)=0,"",_xlfn.XLOOKUP(D721,product!$A:$A,product!G:G,,0))</f>
        <v>Silver</v>
      </c>
      <c r="N721" t="str">
        <f>IF(_xlfn.XLOOKUP(D721,product!$A:$A,product!$B:$B,,0)=0,"",_xlfn.XLOOKUP(D721,product!$A:$A,product!$B:$B,,0))</f>
        <v>Secrets Data</v>
      </c>
    </row>
    <row r="722" spans="1:14" x14ac:dyDescent="0.35">
      <c r="A722" t="s">
        <v>566</v>
      </c>
      <c r="B722" s="3">
        <v>45095</v>
      </c>
      <c r="C722" t="s">
        <v>2675</v>
      </c>
      <c r="D722" t="s">
        <v>6080</v>
      </c>
      <c r="E722">
        <v>2</v>
      </c>
      <c r="F722" t="str">
        <f>_xlfn.XLOOKUP(C722,customers!$A$1:$A$983,customers!$B$1:$B$983,,0)</f>
        <v>Hannah Rodriguez</v>
      </c>
      <c r="G722" t="str">
        <f>_xlfn.XLOOKUP(C722,customers!$A:$A,customers!$C:$C,,0)</f>
        <v>hannah.rodriguez556@gmail.com</v>
      </c>
      <c r="H722" t="str">
        <f>IF(_xlfn.XLOOKUP(C722,customers!$A:$A,customers!$G:$G,,0)=0,"",_xlfn.XLOOKUP(C722,customers!$A:$A,customers!$G:$G,,0))</f>
        <v>Japan</v>
      </c>
      <c r="I722" t="str">
        <f>IF(_xlfn.XLOOKUP(D722,product!$A:$A,product!$E:$E,,0)=0,"",_xlfn.XLOOKUP(D722,product!$A:$A,product!$E:$E,,0))</f>
        <v>SCIENCE</v>
      </c>
      <c r="J722" s="5">
        <f>IF(_xlfn.XLOOKUP(D722,product!$A:$A,product!$D:$D,,0)=0,"",_xlfn.XLOOKUP(D722,product!$A:$A,product!$D:$D,,0))</f>
        <v>10.01</v>
      </c>
      <c r="K722" s="7">
        <f t="shared" si="11"/>
        <v>20.02</v>
      </c>
      <c r="L722" s="10" t="str">
        <f>IF(_xlfn.XLOOKUP(D722,product!$A:$A,product!$F:$F,,0)=0,"",_xlfn.XLOOKUP(D722,product!$A:$A,product!$F:$F,,0))</f>
        <v>No</v>
      </c>
      <c r="M722" t="str">
        <f>IF(_xlfn.XLOOKUP(D722,product!$A:$A,product!G:G,,0)=0,"",_xlfn.XLOOKUP(D722,product!$A:$A,product!G:G,,0))</f>
        <v>Gold</v>
      </c>
      <c r="N722" t="str">
        <f>IF(_xlfn.XLOOKUP(D722,product!$A:$A,product!$B:$B,,0)=0,"",_xlfn.XLOOKUP(D722,product!$A:$A,product!$B:$B,,0))</f>
        <v>Science Future</v>
      </c>
    </row>
    <row r="723" spans="1:14" x14ac:dyDescent="0.35">
      <c r="A723" t="s">
        <v>583</v>
      </c>
      <c r="B723" s="3">
        <v>45554</v>
      </c>
      <c r="C723" t="s">
        <v>3311</v>
      </c>
      <c r="D723" t="s">
        <v>6081</v>
      </c>
      <c r="E723">
        <v>2</v>
      </c>
      <c r="F723" t="str">
        <f>_xlfn.XLOOKUP(C723,customers!$A$1:$A$983,customers!$B$1:$B$983,,0)</f>
        <v>Charlotte Harris</v>
      </c>
      <c r="G723" t="str">
        <f>_xlfn.XLOOKUP(C723,customers!$A:$A,customers!$C:$C,,0)</f>
        <v>charlotte.harris869@outlook.com</v>
      </c>
      <c r="H723" t="str">
        <f>IF(_xlfn.XLOOKUP(C723,customers!$A:$A,customers!$G:$G,,0)=0,"",_xlfn.XLOOKUP(C723,customers!$A:$A,customers!$G:$G,,0))</f>
        <v>Denmark</v>
      </c>
      <c r="I723" t="str">
        <f>IF(_xlfn.XLOOKUP(D723,product!$A:$A,product!$E:$E,,0)=0,"",_xlfn.XLOOKUP(D723,product!$A:$A,product!$E:$E,,0))</f>
        <v>SCIENCE</v>
      </c>
      <c r="J723" s="5">
        <f>IF(_xlfn.XLOOKUP(D723,product!$A:$A,product!$D:$D,,0)=0,"",_xlfn.XLOOKUP(D723,product!$A:$A,product!$D:$D,,0))</f>
        <v>11.88</v>
      </c>
      <c r="K723" s="7">
        <f t="shared" si="11"/>
        <v>23.76</v>
      </c>
      <c r="L723" s="10" t="str">
        <f>IF(_xlfn.XLOOKUP(D723,product!$A:$A,product!$F:$F,,0)=0,"",_xlfn.XLOOKUP(D723,product!$A:$A,product!$F:$F,,0))</f>
        <v>No</v>
      </c>
      <c r="M723" t="str">
        <f>IF(_xlfn.XLOOKUP(D723,product!$A:$A,product!G:G,,0)=0,"",_xlfn.XLOOKUP(D723,product!$A:$A,product!G:G,,0))</f>
        <v>None</v>
      </c>
      <c r="N723" t="str">
        <f>IF(_xlfn.XLOOKUP(D723,product!$A:$A,product!$B:$B,,0)=0,"",_xlfn.XLOOKUP(D723,product!$A:$A,product!$B:$B,,0))</f>
        <v>Forest Silent</v>
      </c>
    </row>
    <row r="724" spans="1:14" x14ac:dyDescent="0.35">
      <c r="A724" t="s">
        <v>600</v>
      </c>
      <c r="B724" s="3">
        <v>45025</v>
      </c>
      <c r="C724" t="s">
        <v>2602</v>
      </c>
      <c r="D724" t="s">
        <v>6082</v>
      </c>
      <c r="E724">
        <v>2</v>
      </c>
      <c r="F724" t="str">
        <f>_xlfn.XLOOKUP(C724,customers!$A$1:$A$983,customers!$B$1:$B$983,,0)</f>
        <v>Robert Scott</v>
      </c>
      <c r="G724" t="str">
        <f>_xlfn.XLOOKUP(C724,customers!$A:$A,customers!$C:$C,,0)</f>
        <v>robert.scott521@hotmail.com</v>
      </c>
      <c r="H724" t="str">
        <f>IF(_xlfn.XLOOKUP(C724,customers!$A:$A,customers!$G:$G,,0)=0,"",_xlfn.XLOOKUP(C724,customers!$A:$A,customers!$G:$G,,0))</f>
        <v>Spain</v>
      </c>
      <c r="I724" t="str">
        <f>IF(_xlfn.XLOOKUP(D724,product!$A:$A,product!$E:$E,,0)=0,"",_xlfn.XLOOKUP(D724,product!$A:$A,product!$E:$E,,0))</f>
        <v>SCIENCE</v>
      </c>
      <c r="J724" s="5">
        <f>IF(_xlfn.XLOOKUP(D724,product!$A:$A,product!$D:$D,,0)=0,"",_xlfn.XLOOKUP(D724,product!$A:$A,product!$D:$D,,0))</f>
        <v>33.33</v>
      </c>
      <c r="K724" s="7">
        <f t="shared" si="11"/>
        <v>66.66</v>
      </c>
      <c r="L724" s="10" t="str">
        <f>IF(_xlfn.XLOOKUP(D724,product!$A:$A,product!$F:$F,,0)=0,"",_xlfn.XLOOKUP(D724,product!$A:$A,product!$F:$F,,0))</f>
        <v>Yes</v>
      </c>
      <c r="M724" t="str">
        <f>IF(_xlfn.XLOOKUP(D724,product!$A:$A,product!G:G,,0)=0,"",_xlfn.XLOOKUP(D724,product!$A:$A,product!G:G,,0))</f>
        <v>Gold</v>
      </c>
      <c r="N724" t="str">
        <f>IF(_xlfn.XLOOKUP(D724,product!$A:$A,product!$B:$B,,0)=0,"",_xlfn.XLOOKUP(D724,product!$A:$A,product!$B:$B,,0))</f>
        <v>Journey Future</v>
      </c>
    </row>
    <row r="725" spans="1:14" x14ac:dyDescent="0.35">
      <c r="A725" t="s">
        <v>617</v>
      </c>
      <c r="B725" s="3">
        <v>45316</v>
      </c>
      <c r="C725" t="s">
        <v>1855</v>
      </c>
      <c r="D725" t="s">
        <v>6083</v>
      </c>
      <c r="E725">
        <v>2</v>
      </c>
      <c r="F725" t="str">
        <f>_xlfn.XLOOKUP(C725,customers!$A$1:$A$983,customers!$B$1:$B$983,,0)</f>
        <v>John Walker</v>
      </c>
      <c r="G725" t="str">
        <f>_xlfn.XLOOKUP(C725,customers!$A:$A,customers!$C:$C,,0)</f>
        <v>john.walker215@outlook.com</v>
      </c>
      <c r="H725" t="str">
        <f>IF(_xlfn.XLOOKUP(C725,customers!$A:$A,customers!$G:$G,,0)=0,"",_xlfn.XLOOKUP(C725,customers!$A:$A,customers!$G:$G,,0))</f>
        <v>Spain</v>
      </c>
      <c r="I725" t="str">
        <f>IF(_xlfn.XLOOKUP(D725,product!$A:$A,product!$E:$E,,0)=0,"",_xlfn.XLOOKUP(D725,product!$A:$A,product!$E:$E,,0))</f>
        <v>TECH</v>
      </c>
      <c r="J725" s="5">
        <f>IF(_xlfn.XLOOKUP(D725,product!$A:$A,product!$D:$D,,0)=0,"",_xlfn.XLOOKUP(D725,product!$A:$A,product!$D:$D,,0))</f>
        <v>20.22</v>
      </c>
      <c r="K725" s="7">
        <f t="shared" si="11"/>
        <v>40.44</v>
      </c>
      <c r="L725" s="10" t="str">
        <f>IF(_xlfn.XLOOKUP(D725,product!$A:$A,product!$F:$F,,0)=0,"",_xlfn.XLOOKUP(D725,product!$A:$A,product!$F:$F,,0))</f>
        <v>No</v>
      </c>
      <c r="M725" t="str">
        <f>IF(_xlfn.XLOOKUP(D725,product!$A:$A,product!G:G,,0)=0,"",_xlfn.XLOOKUP(D725,product!$A:$A,product!G:G,,0))</f>
        <v>Silver</v>
      </c>
      <c r="N725" t="str">
        <f>IF(_xlfn.XLOOKUP(D725,product!$A:$A,product!$B:$B,,0)=0,"",_xlfn.XLOOKUP(D725,product!$A:$A,product!$B:$B,,0))</f>
        <v>Forest Mind</v>
      </c>
    </row>
    <row r="726" spans="1:14" x14ac:dyDescent="0.35">
      <c r="A726" t="s">
        <v>634</v>
      </c>
      <c r="B726" s="3">
        <v>45227</v>
      </c>
      <c r="C726" t="s">
        <v>3301</v>
      </c>
      <c r="D726" t="s">
        <v>6084</v>
      </c>
      <c r="E726">
        <v>2</v>
      </c>
      <c r="F726" t="str">
        <f>_xlfn.XLOOKUP(C726,customers!$A$1:$A$983,customers!$B$1:$B$983,,0)</f>
        <v>Amelia Martinez</v>
      </c>
      <c r="G726" t="str">
        <f>_xlfn.XLOOKUP(C726,customers!$A:$A,customers!$C:$C,,0)</f>
        <v>amelia.martinez864@yahoo.com</v>
      </c>
      <c r="H726" t="str">
        <f>IF(_xlfn.XLOOKUP(C726,customers!$A:$A,customers!$G:$G,,0)=0,"",_xlfn.XLOOKUP(C726,customers!$A:$A,customers!$G:$G,,0))</f>
        <v>Japan</v>
      </c>
      <c r="I726" t="str">
        <f>IF(_xlfn.XLOOKUP(D726,product!$A:$A,product!$E:$E,,0)=0,"",_xlfn.XLOOKUP(D726,product!$A:$A,product!$E:$E,,0))</f>
        <v>TECH</v>
      </c>
      <c r="J726" s="5">
        <f>IF(_xlfn.XLOOKUP(D726,product!$A:$A,product!$D:$D,,0)=0,"",_xlfn.XLOOKUP(D726,product!$A:$A,product!$D:$D,,0))</f>
        <v>36.25</v>
      </c>
      <c r="K726" s="7">
        <f t="shared" si="11"/>
        <v>72.5</v>
      </c>
      <c r="L726" s="10" t="str">
        <f>IF(_xlfn.XLOOKUP(D726,product!$A:$A,product!$F:$F,,0)=0,"",_xlfn.XLOOKUP(D726,product!$A:$A,product!$F:$F,,0))</f>
        <v>No</v>
      </c>
      <c r="M726" t="str">
        <f>IF(_xlfn.XLOOKUP(D726,product!$A:$A,product!G:G,,0)=0,"",_xlfn.XLOOKUP(D726,product!$A:$A,product!G:G,,0))</f>
        <v>Platinum</v>
      </c>
      <c r="N726" t="str">
        <f>IF(_xlfn.XLOOKUP(D726,product!$A:$A,product!$B:$B,,0)=0,"",_xlfn.XLOOKUP(D726,product!$A:$A,product!$B:$B,,0))</f>
        <v>Future Quantum</v>
      </c>
    </row>
    <row r="727" spans="1:14" x14ac:dyDescent="0.35">
      <c r="A727" t="s">
        <v>651</v>
      </c>
      <c r="B727" s="3">
        <v>45603</v>
      </c>
      <c r="C727" t="s">
        <v>2409</v>
      </c>
      <c r="D727" t="s">
        <v>6085</v>
      </c>
      <c r="E727">
        <v>2</v>
      </c>
      <c r="F727" t="str">
        <f>_xlfn.XLOOKUP(C727,customers!$A$1:$A$983,customers!$B$1:$B$983,,0)</f>
        <v>Ava Thompson</v>
      </c>
      <c r="G727" t="str">
        <f>_xlfn.XLOOKUP(C727,customers!$A:$A,customers!$C:$C,,0)</f>
        <v>ava.thompson429@outlook.com</v>
      </c>
      <c r="H727" t="str">
        <f>IF(_xlfn.XLOOKUP(C727,customers!$A:$A,customers!$G:$G,,0)=0,"",_xlfn.XLOOKUP(C727,customers!$A:$A,customers!$G:$G,,0))</f>
        <v>Spain</v>
      </c>
      <c r="I727" t="str">
        <f>IF(_xlfn.XLOOKUP(D727,product!$A:$A,product!$E:$E,,0)=0,"",_xlfn.XLOOKUP(D727,product!$A:$A,product!$E:$E,,0))</f>
        <v>FICTION</v>
      </c>
      <c r="J727" s="5">
        <f>IF(_xlfn.XLOOKUP(D727,product!$A:$A,product!$D:$D,,0)=0,"",_xlfn.XLOOKUP(D727,product!$A:$A,product!$D:$D,,0))</f>
        <v>13.61</v>
      </c>
      <c r="K727" s="7">
        <f t="shared" si="11"/>
        <v>27.22</v>
      </c>
      <c r="L727" s="10" t="str">
        <f>IF(_xlfn.XLOOKUP(D727,product!$A:$A,product!$F:$F,,0)=0,"",_xlfn.XLOOKUP(D727,product!$A:$A,product!$F:$F,,0))</f>
        <v>No</v>
      </c>
      <c r="M727" t="str">
        <f>IF(_xlfn.XLOOKUP(D727,product!$A:$A,product!G:G,,0)=0,"",_xlfn.XLOOKUP(D727,product!$A:$A,product!G:G,,0))</f>
        <v>None</v>
      </c>
      <c r="N727" t="str">
        <f>IF(_xlfn.XLOOKUP(D727,product!$A:$A,product!$B:$B,,0)=0,"",_xlfn.XLOOKUP(D727,product!$A:$A,product!$B:$B,,0))</f>
        <v>Silent Mind</v>
      </c>
    </row>
    <row r="728" spans="1:14" x14ac:dyDescent="0.35">
      <c r="A728" t="s">
        <v>668</v>
      </c>
      <c r="B728" s="3">
        <v>45274</v>
      </c>
      <c r="C728" t="s">
        <v>1716</v>
      </c>
      <c r="D728" t="s">
        <v>6086</v>
      </c>
      <c r="E728">
        <v>2</v>
      </c>
      <c r="F728" t="str">
        <f>_xlfn.XLOOKUP(C728,customers!$A$1:$A$983,customers!$B$1:$B$983,,0)</f>
        <v>Edward Walker</v>
      </c>
      <c r="G728" t="str">
        <f>_xlfn.XLOOKUP(C728,customers!$A:$A,customers!$C:$C,,0)</f>
        <v>edward.walker175@outlook.com</v>
      </c>
      <c r="H728" t="str">
        <f>IF(_xlfn.XLOOKUP(C728,customers!$A:$A,customers!$G:$G,,0)=0,"",_xlfn.XLOOKUP(C728,customers!$A:$A,customers!$G:$G,,0))</f>
        <v>Sweden</v>
      </c>
      <c r="I728" t="str">
        <f>IF(_xlfn.XLOOKUP(D728,product!$A:$A,product!$E:$E,,0)=0,"",_xlfn.XLOOKUP(D728,product!$A:$A,product!$E:$E,,0))</f>
        <v>HISTORY</v>
      </c>
      <c r="J728" s="5">
        <f>IF(_xlfn.XLOOKUP(D728,product!$A:$A,product!$D:$D,,0)=0,"",_xlfn.XLOOKUP(D728,product!$A:$A,product!$D:$D,,0))</f>
        <v>24.69</v>
      </c>
      <c r="K728" s="7">
        <f t="shared" si="11"/>
        <v>49.38</v>
      </c>
      <c r="L728" s="10" t="str">
        <f>IF(_xlfn.XLOOKUP(D728,product!$A:$A,product!$F:$F,,0)=0,"",_xlfn.XLOOKUP(D728,product!$A:$A,product!$F:$F,,0))</f>
        <v>Yes</v>
      </c>
      <c r="M728" t="str">
        <f>IF(_xlfn.XLOOKUP(D728,product!$A:$A,product!G:G,,0)=0,"",_xlfn.XLOOKUP(D728,product!$A:$A,product!G:G,,0))</f>
        <v>None</v>
      </c>
      <c r="N728" t="str">
        <f>IF(_xlfn.XLOOKUP(D728,product!$A:$A,product!$B:$B,,0)=0,"",_xlfn.XLOOKUP(D728,product!$A:$A,product!$B:$B,,0))</f>
        <v>Data Mind</v>
      </c>
    </row>
    <row r="729" spans="1:14" x14ac:dyDescent="0.35">
      <c r="A729" t="s">
        <v>685</v>
      </c>
      <c r="B729" s="3">
        <v>45377</v>
      </c>
      <c r="C729" t="s">
        <v>1627</v>
      </c>
      <c r="D729" t="s">
        <v>6087</v>
      </c>
      <c r="E729">
        <v>2</v>
      </c>
      <c r="F729" t="str">
        <f>_xlfn.XLOOKUP(C729,customers!$A$1:$A$983,customers!$B$1:$B$983,,0)</f>
        <v>Peter Hall</v>
      </c>
      <c r="G729" t="str">
        <f>_xlfn.XLOOKUP(C729,customers!$A:$A,customers!$C:$C,,0)</f>
        <v>peter.hall155@hotmail.com</v>
      </c>
      <c r="H729" t="str">
        <f>IF(_xlfn.XLOOKUP(C729,customers!$A:$A,customers!$G:$G,,0)=0,"",_xlfn.XLOOKUP(C729,customers!$A:$A,customers!$G:$G,,0))</f>
        <v>Pakistan</v>
      </c>
      <c r="I729" t="str">
        <f>IF(_xlfn.XLOOKUP(D729,product!$A:$A,product!$E:$E,,0)=0,"",_xlfn.XLOOKUP(D729,product!$A:$A,product!$E:$E,,0))</f>
        <v>HISTORY</v>
      </c>
      <c r="J729" s="5">
        <f>IF(_xlfn.XLOOKUP(D729,product!$A:$A,product!$D:$D,,0)=0,"",_xlfn.XLOOKUP(D729,product!$A:$A,product!$D:$D,,0))</f>
        <v>20.45</v>
      </c>
      <c r="K729" s="7">
        <f t="shared" si="11"/>
        <v>40.9</v>
      </c>
      <c r="L729" s="10" t="str">
        <f>IF(_xlfn.XLOOKUP(D729,product!$A:$A,product!$F:$F,,0)=0,"",_xlfn.XLOOKUP(D729,product!$A:$A,product!$F:$F,,0))</f>
        <v>Yes</v>
      </c>
      <c r="M729" t="str">
        <f>IF(_xlfn.XLOOKUP(D729,product!$A:$A,product!G:G,,0)=0,"",_xlfn.XLOOKUP(D729,product!$A:$A,product!G:G,,0))</f>
        <v>None</v>
      </c>
      <c r="N729" t="str">
        <f>IF(_xlfn.XLOOKUP(D729,product!$A:$A,product!$B:$B,,0)=0,"",_xlfn.XLOOKUP(D729,product!$A:$A,product!$B:$B,,0))</f>
        <v>Science Power</v>
      </c>
    </row>
    <row r="730" spans="1:14" x14ac:dyDescent="0.35">
      <c r="A730" t="s">
        <v>702</v>
      </c>
      <c r="B730" s="3">
        <v>44978</v>
      </c>
      <c r="C730" t="s">
        <v>2581</v>
      </c>
      <c r="D730" t="s">
        <v>6088</v>
      </c>
      <c r="E730">
        <v>2</v>
      </c>
      <c r="F730" t="str">
        <f>_xlfn.XLOOKUP(C730,customers!$A$1:$A$983,customers!$B$1:$B$983,,0)</f>
        <v>George Green</v>
      </c>
      <c r="G730" t="str">
        <f>_xlfn.XLOOKUP(C730,customers!$A:$A,customers!$C:$C,,0)</f>
        <v>george.green511@outlook.com</v>
      </c>
      <c r="H730" t="str">
        <f>IF(_xlfn.XLOOKUP(C730,customers!$A:$A,customers!$G:$G,,0)=0,"",_xlfn.XLOOKUP(C730,customers!$A:$A,customers!$G:$G,,0))</f>
        <v>Japan</v>
      </c>
      <c r="I730" t="str">
        <f>IF(_xlfn.XLOOKUP(D730,product!$A:$A,product!$E:$E,,0)=0,"",_xlfn.XLOOKUP(D730,product!$A:$A,product!$E:$E,,0))</f>
        <v>HISTORY</v>
      </c>
      <c r="J730" s="5">
        <f>IF(_xlfn.XLOOKUP(D730,product!$A:$A,product!$D:$D,,0)=0,"",_xlfn.XLOOKUP(D730,product!$A:$A,product!$D:$D,,0))</f>
        <v>27.01</v>
      </c>
      <c r="K730" s="7">
        <f t="shared" si="11"/>
        <v>54.02</v>
      </c>
      <c r="L730" s="10" t="str">
        <f>IF(_xlfn.XLOOKUP(D730,product!$A:$A,product!$F:$F,,0)=0,"",_xlfn.XLOOKUP(D730,product!$A:$A,product!$F:$F,,0))</f>
        <v>Yes</v>
      </c>
      <c r="M730" t="str">
        <f>IF(_xlfn.XLOOKUP(D730,product!$A:$A,product!G:G,,0)=0,"",_xlfn.XLOOKUP(D730,product!$A:$A,product!G:G,,0))</f>
        <v>None</v>
      </c>
      <c r="N730" t="str">
        <f>IF(_xlfn.XLOOKUP(D730,product!$A:$A,product!$B:$B,,0)=0,"",_xlfn.XLOOKUP(D730,product!$A:$A,product!$B:$B,,0))</f>
        <v>Silent Data</v>
      </c>
    </row>
    <row r="731" spans="1:14" x14ac:dyDescent="0.35">
      <c r="A731" t="s">
        <v>719</v>
      </c>
      <c r="B731" s="3">
        <v>45454</v>
      </c>
      <c r="C731" t="s">
        <v>2121</v>
      </c>
      <c r="D731" t="s">
        <v>6089</v>
      </c>
      <c r="E731">
        <v>2</v>
      </c>
      <c r="F731" t="str">
        <f>_xlfn.XLOOKUP(C731,customers!$A$1:$A$983,customers!$B$1:$B$983,,0)</f>
        <v>Chloe Wright</v>
      </c>
      <c r="G731" t="str">
        <f>_xlfn.XLOOKUP(C731,customers!$A:$A,customers!$C:$C,,0)</f>
        <v>chloe.wright304@gmail.com</v>
      </c>
      <c r="H731" t="str">
        <f>IF(_xlfn.XLOOKUP(C731,customers!$A:$A,customers!$G:$G,,0)=0,"",_xlfn.XLOOKUP(C731,customers!$A:$A,customers!$G:$G,,0))</f>
        <v>Japan</v>
      </c>
      <c r="I731" t="str">
        <f>IF(_xlfn.XLOOKUP(D731,product!$A:$A,product!$E:$E,,0)=0,"",_xlfn.XLOOKUP(D731,product!$A:$A,product!$E:$E,,0))</f>
        <v>FICTION</v>
      </c>
      <c r="J731" s="5">
        <f>IF(_xlfn.XLOOKUP(D731,product!$A:$A,product!$D:$D,,0)=0,"",_xlfn.XLOOKUP(D731,product!$A:$A,product!$D:$D,,0))</f>
        <v>36.93</v>
      </c>
      <c r="K731" s="7">
        <f t="shared" si="11"/>
        <v>73.86</v>
      </c>
      <c r="L731" s="10" t="str">
        <f>IF(_xlfn.XLOOKUP(D731,product!$A:$A,product!$F:$F,,0)=0,"",_xlfn.XLOOKUP(D731,product!$A:$A,product!$F:$F,,0))</f>
        <v>Yes</v>
      </c>
      <c r="M731" t="str">
        <f>IF(_xlfn.XLOOKUP(D731,product!$A:$A,product!G:G,,0)=0,"",_xlfn.XLOOKUP(D731,product!$A:$A,product!G:G,,0))</f>
        <v>None</v>
      </c>
      <c r="N731" t="str">
        <f>IF(_xlfn.XLOOKUP(D731,product!$A:$A,product!$B:$B,,0)=0,"",_xlfn.XLOOKUP(D731,product!$A:$A,product!$B:$B,,0))</f>
        <v>Power Quantum</v>
      </c>
    </row>
    <row r="732" spans="1:14" x14ac:dyDescent="0.35">
      <c r="A732" t="s">
        <v>736</v>
      </c>
      <c r="B732" s="3">
        <v>45060</v>
      </c>
      <c r="C732" t="s">
        <v>1203</v>
      </c>
      <c r="D732" t="s">
        <v>6090</v>
      </c>
      <c r="E732">
        <v>2</v>
      </c>
      <c r="F732" t="str">
        <f>_xlfn.XLOOKUP(C732,customers!$A$1:$A$983,customers!$B$1:$B$983,,0)</f>
        <v>William Adams</v>
      </c>
      <c r="G732" t="str">
        <f>_xlfn.XLOOKUP(C732,customers!$A:$A,customers!$C:$C,,0)</f>
        <v>william.adams40@hotmail.com</v>
      </c>
      <c r="H732" t="str">
        <f>IF(_xlfn.XLOOKUP(C732,customers!$A:$A,customers!$G:$G,,0)=0,"",_xlfn.XLOOKUP(C732,customers!$A:$A,customers!$G:$G,,0))</f>
        <v>Sweden</v>
      </c>
      <c r="I732" t="str">
        <f>IF(_xlfn.XLOOKUP(D732,product!$A:$A,product!$E:$E,,0)=0,"",_xlfn.XLOOKUP(D732,product!$A:$A,product!$E:$E,,0))</f>
        <v>SCIENCE</v>
      </c>
      <c r="J732" s="5">
        <f>IF(_xlfn.XLOOKUP(D732,product!$A:$A,product!$D:$D,,0)=0,"",_xlfn.XLOOKUP(D732,product!$A:$A,product!$D:$D,,0))</f>
        <v>14.74</v>
      </c>
      <c r="K732" s="7">
        <f t="shared" si="11"/>
        <v>29.48</v>
      </c>
      <c r="L732" s="10" t="str">
        <f>IF(_xlfn.XLOOKUP(D732,product!$A:$A,product!$F:$F,,0)=0,"",_xlfn.XLOOKUP(D732,product!$A:$A,product!$F:$F,,0))</f>
        <v>Yes</v>
      </c>
      <c r="M732" t="str">
        <f>IF(_xlfn.XLOOKUP(D732,product!$A:$A,product!G:G,,0)=0,"",_xlfn.XLOOKUP(D732,product!$A:$A,product!G:G,,0))</f>
        <v>Silver</v>
      </c>
      <c r="N732" t="str">
        <f>IF(_xlfn.XLOOKUP(D732,product!$A:$A,product!$B:$B,,0)=0,"",_xlfn.XLOOKUP(D732,product!$A:$A,product!$B:$B,,0))</f>
        <v>Science Power</v>
      </c>
    </row>
    <row r="733" spans="1:14" x14ac:dyDescent="0.35">
      <c r="A733" t="s">
        <v>753</v>
      </c>
      <c r="B733" s="3">
        <v>45583</v>
      </c>
      <c r="C733" t="s">
        <v>1565</v>
      </c>
      <c r="D733" t="s">
        <v>6091</v>
      </c>
      <c r="E733">
        <v>2</v>
      </c>
      <c r="F733" t="str">
        <f>_xlfn.XLOOKUP(C733,customers!$A$1:$A$983,customers!$B$1:$B$983,,0)</f>
        <v>Charlotte Thomas</v>
      </c>
      <c r="G733" t="str">
        <f>_xlfn.XLOOKUP(C733,customers!$A:$A,customers!$C:$C,,0)</f>
        <v>charlotte.thomas141@gmail.com</v>
      </c>
      <c r="H733" t="str">
        <f>IF(_xlfn.XLOOKUP(C733,customers!$A:$A,customers!$G:$G,,0)=0,"",_xlfn.XLOOKUP(C733,customers!$A:$A,customers!$G:$G,,0))</f>
        <v>Spain</v>
      </c>
      <c r="I733" t="str">
        <f>IF(_xlfn.XLOOKUP(D733,product!$A:$A,product!$E:$E,,0)=0,"",_xlfn.XLOOKUP(D733,product!$A:$A,product!$E:$E,,0))</f>
        <v>HISTORY</v>
      </c>
      <c r="J733" s="5">
        <f>IF(_xlfn.XLOOKUP(D733,product!$A:$A,product!$D:$D,,0)=0,"",_xlfn.XLOOKUP(D733,product!$A:$A,product!$D:$D,,0))</f>
        <v>33.56</v>
      </c>
      <c r="K733" s="7">
        <f t="shared" si="11"/>
        <v>67.12</v>
      </c>
      <c r="L733" s="10" t="str">
        <f>IF(_xlfn.XLOOKUP(D733,product!$A:$A,product!$F:$F,,0)=0,"",_xlfn.XLOOKUP(D733,product!$A:$A,product!$F:$F,,0))</f>
        <v>No</v>
      </c>
      <c r="M733" t="str">
        <f>IF(_xlfn.XLOOKUP(D733,product!$A:$A,product!G:G,,0)=0,"",_xlfn.XLOOKUP(D733,product!$A:$A,product!G:G,,0))</f>
        <v>Silver</v>
      </c>
      <c r="N733" t="str">
        <f>IF(_xlfn.XLOOKUP(D733,product!$A:$A,product!$B:$B,,0)=0,"",_xlfn.XLOOKUP(D733,product!$A:$A,product!$B:$B,,0))</f>
        <v>Future Power</v>
      </c>
    </row>
    <row r="734" spans="1:14" x14ac:dyDescent="0.35">
      <c r="A734" t="s">
        <v>770</v>
      </c>
      <c r="B734" s="3">
        <v>45136</v>
      </c>
      <c r="C734" t="s">
        <v>2620</v>
      </c>
      <c r="D734" t="s">
        <v>6092</v>
      </c>
      <c r="E734">
        <v>2</v>
      </c>
      <c r="F734" t="str">
        <f>_xlfn.XLOOKUP(C734,customers!$A$1:$A$983,customers!$B$1:$B$983,,0)</f>
        <v>Isabella Lewis</v>
      </c>
      <c r="G734" t="str">
        <f>_xlfn.XLOOKUP(C734,customers!$A:$A,customers!$C:$C,,0)</f>
        <v>isabella.lewis530@hotmail.com</v>
      </c>
      <c r="H734" t="str">
        <f>IF(_xlfn.XLOOKUP(C734,customers!$A:$A,customers!$G:$G,,0)=0,"",_xlfn.XLOOKUP(C734,customers!$A:$A,customers!$G:$G,,0))</f>
        <v>Spain</v>
      </c>
      <c r="I734" t="str">
        <f>IF(_xlfn.XLOOKUP(D734,product!$A:$A,product!$E:$E,,0)=0,"",_xlfn.XLOOKUP(D734,product!$A:$A,product!$E:$E,,0))</f>
        <v>FICTION</v>
      </c>
      <c r="J734" s="5">
        <f>IF(_xlfn.XLOOKUP(D734,product!$A:$A,product!$D:$D,,0)=0,"",_xlfn.XLOOKUP(D734,product!$A:$A,product!$D:$D,,0))</f>
        <v>25.84</v>
      </c>
      <c r="K734" s="7">
        <f t="shared" si="11"/>
        <v>51.68</v>
      </c>
      <c r="L734" s="10" t="str">
        <f>IF(_xlfn.XLOOKUP(D734,product!$A:$A,product!$F:$F,,0)=0,"",_xlfn.XLOOKUP(D734,product!$A:$A,product!$F:$F,,0))</f>
        <v>Yes</v>
      </c>
      <c r="M734" t="str">
        <f>IF(_xlfn.XLOOKUP(D734,product!$A:$A,product!G:G,,0)=0,"",_xlfn.XLOOKUP(D734,product!$A:$A,product!G:G,,0))</f>
        <v>Silver</v>
      </c>
      <c r="N734" t="str">
        <f>IF(_xlfn.XLOOKUP(D734,product!$A:$A,product!$B:$B,,0)=0,"",_xlfn.XLOOKUP(D734,product!$A:$A,product!$B:$B,,0))</f>
        <v>Silent Mind</v>
      </c>
    </row>
    <row r="735" spans="1:14" x14ac:dyDescent="0.35">
      <c r="A735" t="s">
        <v>787</v>
      </c>
      <c r="B735" s="3">
        <v>45511</v>
      </c>
      <c r="C735" t="s">
        <v>3340</v>
      </c>
      <c r="D735" t="s">
        <v>6093</v>
      </c>
      <c r="E735">
        <v>2</v>
      </c>
      <c r="F735" t="str">
        <f>_xlfn.XLOOKUP(C735,customers!$A$1:$A$983,customers!$B$1:$B$983,,0)</f>
        <v>William White</v>
      </c>
      <c r="G735" t="str">
        <f>_xlfn.XLOOKUP(C735,customers!$A:$A,customers!$C:$C,,0)</f>
        <v>william.white884@yahoo.com</v>
      </c>
      <c r="H735" t="str">
        <f>IF(_xlfn.XLOOKUP(C735,customers!$A:$A,customers!$G:$G,,0)=0,"",_xlfn.XLOOKUP(C735,customers!$A:$A,customers!$G:$G,,0))</f>
        <v>Pakistan</v>
      </c>
      <c r="I735" t="str">
        <f>IF(_xlfn.XLOOKUP(D735,product!$A:$A,product!$E:$E,,0)=0,"",_xlfn.XLOOKUP(D735,product!$A:$A,product!$E:$E,,0))</f>
        <v>FICTION</v>
      </c>
      <c r="J735" s="5">
        <f>IF(_xlfn.XLOOKUP(D735,product!$A:$A,product!$D:$D,,0)=0,"",_xlfn.XLOOKUP(D735,product!$A:$A,product!$D:$D,,0))</f>
        <v>35.799999999999997</v>
      </c>
      <c r="K735" s="7">
        <f t="shared" si="11"/>
        <v>71.599999999999994</v>
      </c>
      <c r="L735" s="10" t="str">
        <f>IF(_xlfn.XLOOKUP(D735,product!$A:$A,product!$F:$F,,0)=0,"",_xlfn.XLOOKUP(D735,product!$A:$A,product!$F:$F,,0))</f>
        <v>No</v>
      </c>
      <c r="M735" t="str">
        <f>IF(_xlfn.XLOOKUP(D735,product!$A:$A,product!G:G,,0)=0,"",_xlfn.XLOOKUP(D735,product!$A:$A,product!G:G,,0))</f>
        <v>None</v>
      </c>
      <c r="N735" t="str">
        <f>IF(_xlfn.XLOOKUP(D735,product!$A:$A,product!$B:$B,,0)=0,"",_xlfn.XLOOKUP(D735,product!$A:$A,product!$B:$B,,0))</f>
        <v>Science Journey</v>
      </c>
    </row>
    <row r="736" spans="1:14" x14ac:dyDescent="0.35">
      <c r="A736" t="s">
        <v>804</v>
      </c>
      <c r="B736" s="3">
        <v>44945</v>
      </c>
      <c r="C736" t="s">
        <v>1983</v>
      </c>
      <c r="D736" t="s">
        <v>6094</v>
      </c>
      <c r="E736">
        <v>2</v>
      </c>
      <c r="F736" t="str">
        <f>_xlfn.XLOOKUP(C736,customers!$A$1:$A$983,customers!$B$1:$B$983,,0)</f>
        <v>Edward Clark</v>
      </c>
      <c r="G736" t="str">
        <f>_xlfn.XLOOKUP(C736,customers!$A:$A,customers!$C:$C,,0)</f>
        <v>edward.clark255@yahoo.com</v>
      </c>
      <c r="H736" t="str">
        <f>IF(_xlfn.XLOOKUP(C736,customers!$A:$A,customers!$G:$G,,0)=0,"",_xlfn.XLOOKUP(C736,customers!$A:$A,customers!$G:$G,,0))</f>
        <v>Japan</v>
      </c>
      <c r="I736" t="str">
        <f>IF(_xlfn.XLOOKUP(D736,product!$A:$A,product!$E:$E,,0)=0,"",_xlfn.XLOOKUP(D736,product!$A:$A,product!$E:$E,,0))</f>
        <v>TECH</v>
      </c>
      <c r="J736" s="5">
        <f>IF(_xlfn.XLOOKUP(D736,product!$A:$A,product!$D:$D,,0)=0,"",_xlfn.XLOOKUP(D736,product!$A:$A,product!$D:$D,,0))</f>
        <v>37.979999999999997</v>
      </c>
      <c r="K736" s="7">
        <f t="shared" si="11"/>
        <v>75.959999999999994</v>
      </c>
      <c r="L736" s="10" t="str">
        <f>IF(_xlfn.XLOOKUP(D736,product!$A:$A,product!$F:$F,,0)=0,"",_xlfn.XLOOKUP(D736,product!$A:$A,product!$F:$F,,0))</f>
        <v>No</v>
      </c>
      <c r="M736" t="str">
        <f>IF(_xlfn.XLOOKUP(D736,product!$A:$A,product!G:G,,0)=0,"",_xlfn.XLOOKUP(D736,product!$A:$A,product!G:G,,0))</f>
        <v>Silver</v>
      </c>
      <c r="N736" t="str">
        <f>IF(_xlfn.XLOOKUP(D736,product!$A:$A,product!$B:$B,,0)=0,"",_xlfn.XLOOKUP(D736,product!$A:$A,product!$B:$B,,0))</f>
        <v>Quantum Data</v>
      </c>
    </row>
    <row r="737" spans="1:14" x14ac:dyDescent="0.35">
      <c r="A737" t="s">
        <v>821</v>
      </c>
      <c r="B737" s="3">
        <v>45399</v>
      </c>
      <c r="C737" t="s">
        <v>1612</v>
      </c>
      <c r="D737" t="s">
        <v>6095</v>
      </c>
      <c r="E737">
        <v>2</v>
      </c>
      <c r="F737" t="str">
        <f>_xlfn.XLOOKUP(C737,customers!$A$1:$A$983,customers!$B$1:$B$983,,0)</f>
        <v>Andrew Robinson</v>
      </c>
      <c r="G737" t="str">
        <f>_xlfn.XLOOKUP(C737,customers!$A:$A,customers!$C:$C,,0)</f>
        <v>andrew.robinson152@yahoo.com</v>
      </c>
      <c r="H737" t="str">
        <f>IF(_xlfn.XLOOKUP(C737,customers!$A:$A,customers!$G:$G,,0)=0,"",_xlfn.XLOOKUP(C737,customers!$A:$A,customers!$G:$G,,0))</f>
        <v>Spain</v>
      </c>
      <c r="I737" t="str">
        <f>IF(_xlfn.XLOOKUP(D737,product!$A:$A,product!$E:$E,,0)=0,"",_xlfn.XLOOKUP(D737,product!$A:$A,product!$E:$E,,0))</f>
        <v>FICTION</v>
      </c>
      <c r="J737" s="5">
        <f>IF(_xlfn.XLOOKUP(D737,product!$A:$A,product!$D:$D,,0)=0,"",_xlfn.XLOOKUP(D737,product!$A:$A,product!$D:$D,,0))</f>
        <v>22.25</v>
      </c>
      <c r="K737" s="7">
        <f t="shared" si="11"/>
        <v>44.5</v>
      </c>
      <c r="L737" s="10" t="str">
        <f>IF(_xlfn.XLOOKUP(D737,product!$A:$A,product!$F:$F,,0)=0,"",_xlfn.XLOOKUP(D737,product!$A:$A,product!$F:$F,,0))</f>
        <v>Yes</v>
      </c>
      <c r="M737" t="str">
        <f>IF(_xlfn.XLOOKUP(D737,product!$A:$A,product!G:G,,0)=0,"",_xlfn.XLOOKUP(D737,product!$A:$A,product!G:G,,0))</f>
        <v>Silver</v>
      </c>
      <c r="N737" t="str">
        <f>IF(_xlfn.XLOOKUP(D737,product!$A:$A,product!$B:$B,,0)=0,"",_xlfn.XLOOKUP(D737,product!$A:$A,product!$B:$B,,0))</f>
        <v>Secrets Quantum</v>
      </c>
    </row>
    <row r="738" spans="1:14" x14ac:dyDescent="0.35">
      <c r="A738" t="s">
        <v>838</v>
      </c>
      <c r="B738" s="3">
        <v>45177</v>
      </c>
      <c r="C738" t="s">
        <v>2477</v>
      </c>
      <c r="D738" t="s">
        <v>6096</v>
      </c>
      <c r="E738">
        <v>2</v>
      </c>
      <c r="F738" t="str">
        <f>_xlfn.XLOOKUP(C738,customers!$A$1:$A$983,customers!$B$1:$B$983,,0)</f>
        <v>Ryan Scott</v>
      </c>
      <c r="G738" t="str">
        <f>_xlfn.XLOOKUP(C738,customers!$A:$A,customers!$C:$C,,0)</f>
        <v>ryan.scott460@yahoo.com</v>
      </c>
      <c r="H738" t="str">
        <f>IF(_xlfn.XLOOKUP(C738,customers!$A:$A,customers!$G:$G,,0)=0,"",_xlfn.XLOOKUP(C738,customers!$A:$A,customers!$G:$G,,0))</f>
        <v>USA</v>
      </c>
      <c r="I738" t="str">
        <f>IF(_xlfn.XLOOKUP(D738,product!$A:$A,product!$E:$E,,0)=0,"",_xlfn.XLOOKUP(D738,product!$A:$A,product!$E:$E,,0))</f>
        <v>TECH</v>
      </c>
      <c r="J738" s="5">
        <f>IF(_xlfn.XLOOKUP(D738,product!$A:$A,product!$D:$D,,0)=0,"",_xlfn.XLOOKUP(D738,product!$A:$A,product!$D:$D,,0))</f>
        <v>35.01</v>
      </c>
      <c r="K738" s="7">
        <f t="shared" si="11"/>
        <v>70.02</v>
      </c>
      <c r="L738" s="10" t="str">
        <f>IF(_xlfn.XLOOKUP(D738,product!$A:$A,product!$F:$F,,0)=0,"",_xlfn.XLOOKUP(D738,product!$A:$A,product!$F:$F,,0))</f>
        <v>No</v>
      </c>
      <c r="M738" t="str">
        <f>IF(_xlfn.XLOOKUP(D738,product!$A:$A,product!G:G,,0)=0,"",_xlfn.XLOOKUP(D738,product!$A:$A,product!G:G,,0))</f>
        <v>None</v>
      </c>
      <c r="N738" t="str">
        <f>IF(_xlfn.XLOOKUP(D738,product!$A:$A,product!$B:$B,,0)=0,"",_xlfn.XLOOKUP(D738,product!$A:$A,product!$B:$B,,0))</f>
        <v>Data Forest</v>
      </c>
    </row>
    <row r="739" spans="1:14" x14ac:dyDescent="0.35">
      <c r="A739" t="s">
        <v>855</v>
      </c>
      <c r="B739" s="3">
        <v>45646</v>
      </c>
      <c r="C739" t="s">
        <v>2521</v>
      </c>
      <c r="D739" t="s">
        <v>6097</v>
      </c>
      <c r="E739">
        <v>2</v>
      </c>
      <c r="F739" t="str">
        <f>_xlfn.XLOOKUP(C739,customers!$A$1:$A$983,customers!$B$1:$B$983,,0)</f>
        <v>James Young</v>
      </c>
      <c r="G739" t="str">
        <f>_xlfn.XLOOKUP(C739,customers!$A:$A,customers!$C:$C,,0)</f>
        <v>james.young482@yahoo.com</v>
      </c>
      <c r="H739" t="str">
        <f>IF(_xlfn.XLOOKUP(C739,customers!$A:$A,customers!$G:$G,,0)=0,"",_xlfn.XLOOKUP(C739,customers!$A:$A,customers!$G:$G,,0))</f>
        <v>Egypt</v>
      </c>
      <c r="I739" t="str">
        <f>IF(_xlfn.XLOOKUP(D739,product!$A:$A,product!$E:$E,,0)=0,"",_xlfn.XLOOKUP(D739,product!$A:$A,product!$E:$E,,0))</f>
        <v>FICTION</v>
      </c>
      <c r="J739" s="5">
        <f>IF(_xlfn.XLOOKUP(D739,product!$A:$A,product!$D:$D,,0)=0,"",_xlfn.XLOOKUP(D739,product!$A:$A,product!$D:$D,,0))</f>
        <v>25.65</v>
      </c>
      <c r="K739" s="7">
        <f t="shared" si="11"/>
        <v>51.3</v>
      </c>
      <c r="L739" s="10" t="str">
        <f>IF(_xlfn.XLOOKUP(D739,product!$A:$A,product!$F:$F,,0)=0,"",_xlfn.XLOOKUP(D739,product!$A:$A,product!$F:$F,,0))</f>
        <v>No</v>
      </c>
      <c r="M739" t="str">
        <f>IF(_xlfn.XLOOKUP(D739,product!$A:$A,product!G:G,,0)=0,"",_xlfn.XLOOKUP(D739,product!$A:$A,product!G:G,,0))</f>
        <v>Silver</v>
      </c>
      <c r="N739" t="str">
        <f>IF(_xlfn.XLOOKUP(D739,product!$A:$A,product!$B:$B,,0)=0,"",_xlfn.XLOOKUP(D739,product!$A:$A,product!$B:$B,,0))</f>
        <v>Secrets Forest</v>
      </c>
    </row>
    <row r="740" spans="1:14" x14ac:dyDescent="0.35">
      <c r="A740" t="s">
        <v>872</v>
      </c>
      <c r="B740" s="3">
        <v>45013</v>
      </c>
      <c r="C740" t="s">
        <v>1480</v>
      </c>
      <c r="D740" t="s">
        <v>6098</v>
      </c>
      <c r="E740">
        <v>2</v>
      </c>
      <c r="F740" t="str">
        <f>_xlfn.XLOOKUP(C740,customers!$A$1:$A$983,customers!$B$1:$B$983,,0)</f>
        <v>David Wright</v>
      </c>
      <c r="G740" t="str">
        <f>_xlfn.XLOOKUP(C740,customers!$A:$A,customers!$C:$C,,0)</f>
        <v>david.wright117@hotmail.com</v>
      </c>
      <c r="H740" t="str">
        <f>IF(_xlfn.XLOOKUP(C740,customers!$A:$A,customers!$G:$G,,0)=0,"",_xlfn.XLOOKUP(C740,customers!$A:$A,customers!$G:$G,,0))</f>
        <v>Germany</v>
      </c>
      <c r="I740" t="str">
        <f>IF(_xlfn.XLOOKUP(D740,product!$A:$A,product!$E:$E,,0)=0,"",_xlfn.XLOOKUP(D740,product!$A:$A,product!$E:$E,,0))</f>
        <v>FICTION</v>
      </c>
      <c r="J740" s="5">
        <f>IF(_xlfn.XLOOKUP(D740,product!$A:$A,product!$D:$D,,0)=0,"",_xlfn.XLOOKUP(D740,product!$A:$A,product!$D:$D,,0))</f>
        <v>17.739999999999998</v>
      </c>
      <c r="K740" s="7">
        <f t="shared" si="11"/>
        <v>35.479999999999997</v>
      </c>
      <c r="L740" s="10" t="str">
        <f>IF(_xlfn.XLOOKUP(D740,product!$A:$A,product!$F:$F,,0)=0,"",_xlfn.XLOOKUP(D740,product!$A:$A,product!$F:$F,,0))</f>
        <v>No</v>
      </c>
      <c r="M740" t="str">
        <f>IF(_xlfn.XLOOKUP(D740,product!$A:$A,product!G:G,,0)=0,"",_xlfn.XLOOKUP(D740,product!$A:$A,product!G:G,,0))</f>
        <v>Silver</v>
      </c>
      <c r="N740" t="str">
        <f>IF(_xlfn.XLOOKUP(D740,product!$A:$A,product!$B:$B,,0)=0,"",_xlfn.XLOOKUP(D740,product!$A:$A,product!$B:$B,,0))</f>
        <v>Silent Quantum</v>
      </c>
    </row>
    <row r="741" spans="1:14" x14ac:dyDescent="0.35">
      <c r="A741" t="s">
        <v>889</v>
      </c>
      <c r="B741" s="3">
        <v>45327</v>
      </c>
      <c r="C741" t="s">
        <v>1678</v>
      </c>
      <c r="D741" t="s">
        <v>6099</v>
      </c>
      <c r="E741">
        <v>2</v>
      </c>
      <c r="F741" t="str">
        <f>_xlfn.XLOOKUP(C741,customers!$A$1:$A$983,customers!$B$1:$B$983,,0)</f>
        <v>Sarah Smith</v>
      </c>
      <c r="G741" t="str">
        <f>_xlfn.XLOOKUP(C741,customers!$A:$A,customers!$C:$C,,0)</f>
        <v>sarah.smith166@hotmail.com</v>
      </c>
      <c r="H741" t="str">
        <f>IF(_xlfn.XLOOKUP(C741,customers!$A:$A,customers!$G:$G,,0)=0,"",_xlfn.XLOOKUP(C741,customers!$A:$A,customers!$G:$G,,0))</f>
        <v>Sweden</v>
      </c>
      <c r="I741" t="str">
        <f>IF(_xlfn.XLOOKUP(D741,product!$A:$A,product!$E:$E,,0)=0,"",_xlfn.XLOOKUP(D741,product!$A:$A,product!$E:$E,,0))</f>
        <v>BUSINESS</v>
      </c>
      <c r="J741" s="5">
        <f>IF(_xlfn.XLOOKUP(D741,product!$A:$A,product!$D:$D,,0)=0,"",_xlfn.XLOOKUP(D741,product!$A:$A,product!$D:$D,,0))</f>
        <v>24.38</v>
      </c>
      <c r="K741" s="7">
        <f t="shared" si="11"/>
        <v>48.76</v>
      </c>
      <c r="L741" s="10" t="str">
        <f>IF(_xlfn.XLOOKUP(D741,product!$A:$A,product!$F:$F,,0)=0,"",_xlfn.XLOOKUP(D741,product!$A:$A,product!$F:$F,,0))</f>
        <v>No</v>
      </c>
      <c r="M741" t="str">
        <f>IF(_xlfn.XLOOKUP(D741,product!$A:$A,product!G:G,,0)=0,"",_xlfn.XLOOKUP(D741,product!$A:$A,product!G:G,,0))</f>
        <v>Gold</v>
      </c>
      <c r="N741" t="str">
        <f>IF(_xlfn.XLOOKUP(D741,product!$A:$A,product!$B:$B,,0)=0,"",_xlfn.XLOOKUP(D741,product!$A:$A,product!$B:$B,,0))</f>
        <v>Forest Quantum</v>
      </c>
    </row>
    <row r="742" spans="1:14" x14ac:dyDescent="0.35">
      <c r="A742" t="s">
        <v>906</v>
      </c>
      <c r="B742" s="3">
        <v>45165</v>
      </c>
      <c r="C742" t="s">
        <v>2746</v>
      </c>
      <c r="D742" t="s">
        <v>6100</v>
      </c>
      <c r="E742">
        <v>2</v>
      </c>
      <c r="F742" t="str">
        <f>_xlfn.XLOOKUP(C742,customers!$A$1:$A$983,customers!$B$1:$B$983,,0)</f>
        <v>Andrew Thompson</v>
      </c>
      <c r="G742" t="str">
        <f>_xlfn.XLOOKUP(C742,customers!$A:$A,customers!$C:$C,,0)</f>
        <v>andrew.thompson590@yahoo.com</v>
      </c>
      <c r="H742" t="str">
        <f>IF(_xlfn.XLOOKUP(C742,customers!$A:$A,customers!$G:$G,,0)=0,"",_xlfn.XLOOKUP(C742,customers!$A:$A,customers!$G:$G,,0))</f>
        <v>Egypt</v>
      </c>
      <c r="I742" t="str">
        <f>IF(_xlfn.XLOOKUP(D742,product!$A:$A,product!$E:$E,,0)=0,"",_xlfn.XLOOKUP(D742,product!$A:$A,product!$E:$E,,0))</f>
        <v>SCIENCE</v>
      </c>
      <c r="J742" s="5">
        <f>IF(_xlfn.XLOOKUP(D742,product!$A:$A,product!$D:$D,,0)=0,"",_xlfn.XLOOKUP(D742,product!$A:$A,product!$D:$D,,0))</f>
        <v>32.92</v>
      </c>
      <c r="K742" s="7">
        <f t="shared" si="11"/>
        <v>65.84</v>
      </c>
      <c r="L742" s="10" t="str">
        <f>IF(_xlfn.XLOOKUP(D742,product!$A:$A,product!$F:$F,,0)=0,"",_xlfn.XLOOKUP(D742,product!$A:$A,product!$F:$F,,0))</f>
        <v>No</v>
      </c>
      <c r="M742" t="str">
        <f>IF(_xlfn.XLOOKUP(D742,product!$A:$A,product!G:G,,0)=0,"",_xlfn.XLOOKUP(D742,product!$A:$A,product!G:G,,0))</f>
        <v>Silver</v>
      </c>
      <c r="N742" t="str">
        <f>IF(_xlfn.XLOOKUP(D742,product!$A:$A,product!$B:$B,,0)=0,"",_xlfn.XLOOKUP(D742,product!$A:$A,product!$B:$B,,0))</f>
        <v>Secrets Future</v>
      </c>
    </row>
    <row r="743" spans="1:14" x14ac:dyDescent="0.35">
      <c r="A743" t="s">
        <v>923</v>
      </c>
      <c r="B743" s="3">
        <v>45428</v>
      </c>
      <c r="C743" t="s">
        <v>2648</v>
      </c>
      <c r="D743" t="s">
        <v>6101</v>
      </c>
      <c r="E743">
        <v>2</v>
      </c>
      <c r="F743" t="str">
        <f>_xlfn.XLOOKUP(C743,customers!$A$1:$A$983,customers!$B$1:$B$983,,0)</f>
        <v>Jessica Anderson</v>
      </c>
      <c r="G743" t="str">
        <f>_xlfn.XLOOKUP(C743,customers!$A:$A,customers!$C:$C,,0)</f>
        <v>jessica.anderson543@outlook.com</v>
      </c>
      <c r="H743" t="str">
        <f>IF(_xlfn.XLOOKUP(C743,customers!$A:$A,customers!$G:$G,,0)=0,"",_xlfn.XLOOKUP(C743,customers!$A:$A,customers!$G:$G,,0))</f>
        <v>Japan</v>
      </c>
      <c r="I743" t="str">
        <f>IF(_xlfn.XLOOKUP(D743,product!$A:$A,product!$E:$E,,0)=0,"",_xlfn.XLOOKUP(D743,product!$A:$A,product!$E:$E,,0))</f>
        <v>HISTORY</v>
      </c>
      <c r="J743" s="5">
        <f>IF(_xlfn.XLOOKUP(D743,product!$A:$A,product!$D:$D,,0)=0,"",_xlfn.XLOOKUP(D743,product!$A:$A,product!$D:$D,,0))</f>
        <v>21.75</v>
      </c>
      <c r="K743" s="7">
        <f t="shared" si="11"/>
        <v>43.5</v>
      </c>
      <c r="L743" s="10" t="str">
        <f>IF(_xlfn.XLOOKUP(D743,product!$A:$A,product!$F:$F,,0)=0,"",_xlfn.XLOOKUP(D743,product!$A:$A,product!$F:$F,,0))</f>
        <v>No</v>
      </c>
      <c r="M743" t="str">
        <f>IF(_xlfn.XLOOKUP(D743,product!$A:$A,product!G:G,,0)=0,"",_xlfn.XLOOKUP(D743,product!$A:$A,product!G:G,,0))</f>
        <v>None</v>
      </c>
      <c r="N743" t="str">
        <f>IF(_xlfn.XLOOKUP(D743,product!$A:$A,product!$B:$B,,0)=0,"",_xlfn.XLOOKUP(D743,product!$A:$A,product!$B:$B,,0))</f>
        <v>Future Data</v>
      </c>
    </row>
    <row r="744" spans="1:14" x14ac:dyDescent="0.35">
      <c r="A744" t="s">
        <v>940</v>
      </c>
      <c r="B744" s="3">
        <v>45249</v>
      </c>
      <c r="C744" t="s">
        <v>2407</v>
      </c>
      <c r="D744" t="s">
        <v>6102</v>
      </c>
      <c r="E744">
        <v>2</v>
      </c>
      <c r="F744" t="str">
        <f>_xlfn.XLOOKUP(C744,customers!$A$1:$A$983,customers!$B$1:$B$983,,0)</f>
        <v>David Jackson</v>
      </c>
      <c r="G744" t="str">
        <f>_xlfn.XLOOKUP(C744,customers!$A:$A,customers!$C:$C,,0)</f>
        <v>david.jackson428@hotmail.com</v>
      </c>
      <c r="H744" t="str">
        <f>IF(_xlfn.XLOOKUP(C744,customers!$A:$A,customers!$G:$G,,0)=0,"",_xlfn.XLOOKUP(C744,customers!$A:$A,customers!$G:$G,,0))</f>
        <v>Egypt</v>
      </c>
      <c r="I744" t="str">
        <f>IF(_xlfn.XLOOKUP(D744,product!$A:$A,product!$E:$E,,0)=0,"",_xlfn.XLOOKUP(D744,product!$A:$A,product!$E:$E,,0))</f>
        <v>HISTORY</v>
      </c>
      <c r="J744" s="5">
        <f>IF(_xlfn.XLOOKUP(D744,product!$A:$A,product!$D:$D,,0)=0,"",_xlfn.XLOOKUP(D744,product!$A:$A,product!$D:$D,,0))</f>
        <v>29.88</v>
      </c>
      <c r="K744" s="7">
        <f t="shared" si="11"/>
        <v>59.76</v>
      </c>
      <c r="L744" s="10" t="str">
        <f>IF(_xlfn.XLOOKUP(D744,product!$A:$A,product!$F:$F,,0)=0,"",_xlfn.XLOOKUP(D744,product!$A:$A,product!$F:$F,,0))</f>
        <v>No</v>
      </c>
      <c r="M744" t="str">
        <f>IF(_xlfn.XLOOKUP(D744,product!$A:$A,product!G:G,,0)=0,"",_xlfn.XLOOKUP(D744,product!$A:$A,product!G:G,,0))</f>
        <v>Gold</v>
      </c>
      <c r="N744" t="str">
        <f>IF(_xlfn.XLOOKUP(D744,product!$A:$A,product!$B:$B,,0)=0,"",_xlfn.XLOOKUP(D744,product!$A:$A,product!$B:$B,,0))</f>
        <v>Future Science</v>
      </c>
    </row>
    <row r="745" spans="1:14" x14ac:dyDescent="0.35">
      <c r="A745" t="s">
        <v>957</v>
      </c>
      <c r="B745" s="3">
        <v>45484</v>
      </c>
      <c r="C745" t="s">
        <v>2673</v>
      </c>
      <c r="D745" t="s">
        <v>6103</v>
      </c>
      <c r="E745">
        <v>2</v>
      </c>
      <c r="F745" t="str">
        <f>_xlfn.XLOOKUP(C745,customers!$A$1:$A$983,customers!$B$1:$B$983,,0)</f>
        <v>Ella Martin</v>
      </c>
      <c r="G745" t="str">
        <f>_xlfn.XLOOKUP(C745,customers!$A:$A,customers!$C:$C,,0)</f>
        <v>ella.martin555@yahoo.com</v>
      </c>
      <c r="H745" t="str">
        <f>IF(_xlfn.XLOOKUP(C745,customers!$A:$A,customers!$G:$G,,0)=0,"",_xlfn.XLOOKUP(C745,customers!$A:$A,customers!$G:$G,,0))</f>
        <v>Spain</v>
      </c>
      <c r="I745" t="str">
        <f>IF(_xlfn.XLOOKUP(D745,product!$A:$A,product!$E:$E,,0)=0,"",_xlfn.XLOOKUP(D745,product!$A:$A,product!$E:$E,,0))</f>
        <v>HISTORY</v>
      </c>
      <c r="J745" s="5">
        <f>IF(_xlfn.XLOOKUP(D745,product!$A:$A,product!$D:$D,,0)=0,"",_xlfn.XLOOKUP(D745,product!$A:$A,product!$D:$D,,0))</f>
        <v>19.79</v>
      </c>
      <c r="K745" s="7">
        <f t="shared" si="11"/>
        <v>39.58</v>
      </c>
      <c r="L745" s="10" t="str">
        <f>IF(_xlfn.XLOOKUP(D745,product!$A:$A,product!$F:$F,,0)=0,"",_xlfn.XLOOKUP(D745,product!$A:$A,product!$F:$F,,0))</f>
        <v>No</v>
      </c>
      <c r="M745" t="str">
        <f>IF(_xlfn.XLOOKUP(D745,product!$A:$A,product!G:G,,0)=0,"",_xlfn.XLOOKUP(D745,product!$A:$A,product!G:G,,0))</f>
        <v>Silver</v>
      </c>
      <c r="N745" t="str">
        <f>IF(_xlfn.XLOOKUP(D745,product!$A:$A,product!$B:$B,,0)=0,"",_xlfn.XLOOKUP(D745,product!$A:$A,product!$B:$B,,0))</f>
        <v>Journey Future</v>
      </c>
    </row>
    <row r="746" spans="1:14" x14ac:dyDescent="0.35">
      <c r="A746" t="s">
        <v>974</v>
      </c>
      <c r="B746" s="3">
        <v>45082</v>
      </c>
      <c r="C746" t="s">
        <v>3175</v>
      </c>
      <c r="D746" t="s">
        <v>6104</v>
      </c>
      <c r="E746">
        <v>2</v>
      </c>
      <c r="F746" t="str">
        <f>_xlfn.XLOOKUP(C746,customers!$A$1:$A$983,customers!$B$1:$B$983,,0)</f>
        <v>Sophia Young</v>
      </c>
      <c r="G746" t="str">
        <f>_xlfn.XLOOKUP(C746,customers!$A:$A,customers!$C:$C,,0)</f>
        <v>sophia.young800@hotmail.com</v>
      </c>
      <c r="H746" t="str">
        <f>IF(_xlfn.XLOOKUP(C746,customers!$A:$A,customers!$G:$G,,0)=0,"",_xlfn.XLOOKUP(C746,customers!$A:$A,customers!$G:$G,,0))</f>
        <v>Costa Rica</v>
      </c>
      <c r="I746" t="str">
        <f>IF(_xlfn.XLOOKUP(D746,product!$A:$A,product!$E:$E,,0)=0,"",_xlfn.XLOOKUP(D746,product!$A:$A,product!$E:$E,,0))</f>
        <v>FICTION</v>
      </c>
      <c r="J746" s="5">
        <f>IF(_xlfn.XLOOKUP(D746,product!$A:$A,product!$D:$D,,0)=0,"",_xlfn.XLOOKUP(D746,product!$A:$A,product!$D:$D,,0))</f>
        <v>22.5</v>
      </c>
      <c r="K746" s="7">
        <f t="shared" si="11"/>
        <v>45</v>
      </c>
      <c r="L746" s="10" t="str">
        <f>IF(_xlfn.XLOOKUP(D746,product!$A:$A,product!$F:$F,,0)=0,"",_xlfn.XLOOKUP(D746,product!$A:$A,product!$F:$F,,0))</f>
        <v>Yes</v>
      </c>
      <c r="M746" t="str">
        <f>IF(_xlfn.XLOOKUP(D746,product!$A:$A,product!G:G,,0)=0,"",_xlfn.XLOOKUP(D746,product!$A:$A,product!G:G,,0))</f>
        <v>None</v>
      </c>
      <c r="N746" t="str">
        <f>IF(_xlfn.XLOOKUP(D746,product!$A:$A,product!$B:$B,,0)=0,"",_xlfn.XLOOKUP(D746,product!$A:$A,product!$B:$B,,0))</f>
        <v>Data Quantum</v>
      </c>
    </row>
    <row r="747" spans="1:14" x14ac:dyDescent="0.35">
      <c r="A747" t="s">
        <v>991</v>
      </c>
      <c r="B747" s="3">
        <v>45563</v>
      </c>
      <c r="C747" t="s">
        <v>2614</v>
      </c>
      <c r="D747" t="s">
        <v>6105</v>
      </c>
      <c r="E747">
        <v>2</v>
      </c>
      <c r="F747" t="str">
        <f>_xlfn.XLOOKUP(C747,customers!$A$1:$A$983,customers!$B$1:$B$983,,0)</f>
        <v>Amelia Brown</v>
      </c>
      <c r="G747" t="str">
        <f>_xlfn.XLOOKUP(C747,customers!$A:$A,customers!$C:$C,,0)</f>
        <v>amelia.brown527@hotmail.com</v>
      </c>
      <c r="H747" t="str">
        <f>IF(_xlfn.XLOOKUP(C747,customers!$A:$A,customers!$G:$G,,0)=0,"",_xlfn.XLOOKUP(C747,customers!$A:$A,customers!$G:$G,,0))</f>
        <v>Egypt</v>
      </c>
      <c r="I747" t="str">
        <f>IF(_xlfn.XLOOKUP(D747,product!$A:$A,product!$E:$E,,0)=0,"",_xlfn.XLOOKUP(D747,product!$A:$A,product!$E:$E,,0))</f>
        <v>FICTION</v>
      </c>
      <c r="J747" s="5">
        <f>IF(_xlfn.XLOOKUP(D747,product!$A:$A,product!$D:$D,,0)=0,"",_xlfn.XLOOKUP(D747,product!$A:$A,product!$D:$D,,0))</f>
        <v>28.88</v>
      </c>
      <c r="K747" s="7">
        <f t="shared" si="11"/>
        <v>57.76</v>
      </c>
      <c r="L747" s="10" t="str">
        <f>IF(_xlfn.XLOOKUP(D747,product!$A:$A,product!$F:$F,,0)=0,"",_xlfn.XLOOKUP(D747,product!$A:$A,product!$F:$F,,0))</f>
        <v>Yes</v>
      </c>
      <c r="M747" t="str">
        <f>IF(_xlfn.XLOOKUP(D747,product!$A:$A,product!G:G,,0)=0,"",_xlfn.XLOOKUP(D747,product!$A:$A,product!G:G,,0))</f>
        <v>None</v>
      </c>
      <c r="N747" t="str">
        <f>IF(_xlfn.XLOOKUP(D747,product!$A:$A,product!$B:$B,,0)=0,"",_xlfn.XLOOKUP(D747,product!$A:$A,product!$B:$B,,0))</f>
        <v>Data Science</v>
      </c>
    </row>
    <row r="748" spans="1:14" x14ac:dyDescent="0.35">
      <c r="A748" t="s">
        <v>1008</v>
      </c>
      <c r="B748" s="3">
        <v>45038</v>
      </c>
      <c r="C748" t="s">
        <v>3049</v>
      </c>
      <c r="D748" t="s">
        <v>6106</v>
      </c>
      <c r="E748">
        <v>2</v>
      </c>
      <c r="F748" t="str">
        <f>_xlfn.XLOOKUP(C748,customers!$A$1:$A$983,customers!$B$1:$B$983,,0)</f>
        <v>James Taylor</v>
      </c>
      <c r="G748" t="str">
        <f>_xlfn.XLOOKUP(C748,customers!$A:$A,customers!$C:$C,,0)</f>
        <v>james.taylor737@outlook.com</v>
      </c>
      <c r="H748" t="str">
        <f>IF(_xlfn.XLOOKUP(C748,customers!$A:$A,customers!$G:$G,,0)=0,"",_xlfn.XLOOKUP(C748,customers!$A:$A,customers!$G:$G,,0))</f>
        <v>Spain</v>
      </c>
      <c r="I748" t="str">
        <f>IF(_xlfn.XLOOKUP(D748,product!$A:$A,product!$E:$E,,0)=0,"",_xlfn.XLOOKUP(D748,product!$A:$A,product!$E:$E,,0))</f>
        <v>HISTORY</v>
      </c>
      <c r="J748" s="5">
        <f>IF(_xlfn.XLOOKUP(D748,product!$A:$A,product!$D:$D,,0)=0,"",_xlfn.XLOOKUP(D748,product!$A:$A,product!$D:$D,,0))</f>
        <v>38.49</v>
      </c>
      <c r="K748" s="7">
        <f t="shared" si="11"/>
        <v>76.98</v>
      </c>
      <c r="L748" s="10" t="str">
        <f>IF(_xlfn.XLOOKUP(D748,product!$A:$A,product!$F:$F,,0)=0,"",_xlfn.XLOOKUP(D748,product!$A:$A,product!$F:$F,,0))</f>
        <v>No</v>
      </c>
      <c r="M748" t="str">
        <f>IF(_xlfn.XLOOKUP(D748,product!$A:$A,product!G:G,,0)=0,"",_xlfn.XLOOKUP(D748,product!$A:$A,product!G:G,,0))</f>
        <v>Silver</v>
      </c>
      <c r="N748" t="str">
        <f>IF(_xlfn.XLOOKUP(D748,product!$A:$A,product!$B:$B,,0)=0,"",_xlfn.XLOOKUP(D748,product!$A:$A,product!$B:$B,,0))</f>
        <v>Data Science</v>
      </c>
    </row>
    <row r="749" spans="1:14" x14ac:dyDescent="0.35">
      <c r="A749" t="s">
        <v>1025</v>
      </c>
      <c r="B749" s="3">
        <v>45299</v>
      </c>
      <c r="C749" t="s">
        <v>2137</v>
      </c>
      <c r="D749" t="s">
        <v>6107</v>
      </c>
      <c r="E749">
        <v>2</v>
      </c>
      <c r="F749" t="str">
        <f>_xlfn.XLOOKUP(C749,customers!$A$1:$A$983,customers!$B$1:$B$983,,0)</f>
        <v>Ryan Young</v>
      </c>
      <c r="G749" t="str">
        <f>_xlfn.XLOOKUP(C749,customers!$A:$A,customers!$C:$C,,0)</f>
        <v>ryan.young310@hotmail.com</v>
      </c>
      <c r="H749" t="str">
        <f>IF(_xlfn.XLOOKUP(C749,customers!$A:$A,customers!$G:$G,,0)=0,"",_xlfn.XLOOKUP(C749,customers!$A:$A,customers!$G:$G,,0))</f>
        <v>Sweden</v>
      </c>
      <c r="I749" t="str">
        <f>IF(_xlfn.XLOOKUP(D749,product!$A:$A,product!$E:$E,,0)=0,"",_xlfn.XLOOKUP(D749,product!$A:$A,product!$E:$E,,0))</f>
        <v>BUSINESS</v>
      </c>
      <c r="J749" s="5">
        <f>IF(_xlfn.XLOOKUP(D749,product!$A:$A,product!$D:$D,,0)=0,"",_xlfn.XLOOKUP(D749,product!$A:$A,product!$D:$D,,0))</f>
        <v>23.16</v>
      </c>
      <c r="K749" s="7">
        <f t="shared" si="11"/>
        <v>46.32</v>
      </c>
      <c r="L749" s="10" t="str">
        <f>IF(_xlfn.XLOOKUP(D749,product!$A:$A,product!$F:$F,,0)=0,"",_xlfn.XLOOKUP(D749,product!$A:$A,product!$F:$F,,0))</f>
        <v>Yes</v>
      </c>
      <c r="M749" t="str">
        <f>IF(_xlfn.XLOOKUP(D749,product!$A:$A,product!G:G,,0)=0,"",_xlfn.XLOOKUP(D749,product!$A:$A,product!G:G,,0))</f>
        <v>Platinum</v>
      </c>
      <c r="N749" t="str">
        <f>IF(_xlfn.XLOOKUP(D749,product!$A:$A,product!$B:$B,,0)=0,"",_xlfn.XLOOKUP(D749,product!$A:$A,product!$B:$B,,0))</f>
        <v>Science Silent</v>
      </c>
    </row>
    <row r="750" spans="1:14" x14ac:dyDescent="0.35">
      <c r="A750" t="s">
        <v>1042</v>
      </c>
      <c r="B750" s="3">
        <v>45212</v>
      </c>
      <c r="C750" t="s">
        <v>1113</v>
      </c>
      <c r="D750" t="s">
        <v>6108</v>
      </c>
      <c r="E750">
        <v>2</v>
      </c>
      <c r="F750" t="str">
        <f>_xlfn.XLOOKUP(C750,customers!$A$1:$A$983,customers!$B$1:$B$983,,0)</f>
        <v>Ava Young</v>
      </c>
      <c r="G750" t="str">
        <f>_xlfn.XLOOKUP(C750,customers!$A:$A,customers!$C:$C,,0)</f>
        <v>ava.young19@outlook.com</v>
      </c>
      <c r="H750" t="str">
        <f>IF(_xlfn.XLOOKUP(C750,customers!$A:$A,customers!$G:$G,,0)=0,"",_xlfn.XLOOKUP(C750,customers!$A:$A,customers!$G:$G,,0))</f>
        <v>USA</v>
      </c>
      <c r="I750" t="str">
        <f>IF(_xlfn.XLOOKUP(D750,product!$A:$A,product!$E:$E,,0)=0,"",_xlfn.XLOOKUP(D750,product!$A:$A,product!$E:$E,,0))</f>
        <v>BUSINESS</v>
      </c>
      <c r="J750" s="5">
        <f>IF(_xlfn.XLOOKUP(D750,product!$A:$A,product!$D:$D,,0)=0,"",_xlfn.XLOOKUP(D750,product!$A:$A,product!$D:$D,,0))</f>
        <v>28.29</v>
      </c>
      <c r="K750" s="7">
        <f t="shared" si="11"/>
        <v>56.58</v>
      </c>
      <c r="L750" s="10" t="str">
        <f>IF(_xlfn.XLOOKUP(D750,product!$A:$A,product!$F:$F,,0)=0,"",_xlfn.XLOOKUP(D750,product!$A:$A,product!$F:$F,,0))</f>
        <v>No</v>
      </c>
      <c r="M750" t="str">
        <f>IF(_xlfn.XLOOKUP(D750,product!$A:$A,product!G:G,,0)=0,"",_xlfn.XLOOKUP(D750,product!$A:$A,product!G:G,,0))</f>
        <v>None</v>
      </c>
      <c r="N750" t="str">
        <f>IF(_xlfn.XLOOKUP(D750,product!$A:$A,product!$B:$B,,0)=0,"",_xlfn.XLOOKUP(D750,product!$A:$A,product!$B:$B,,0))</f>
        <v>Silent Power</v>
      </c>
    </row>
    <row r="751" spans="1:14" x14ac:dyDescent="0.35">
      <c r="A751" t="s">
        <v>1059</v>
      </c>
      <c r="B751" s="3">
        <v>45621</v>
      </c>
      <c r="C751" t="s">
        <v>2178</v>
      </c>
      <c r="D751" t="s">
        <v>6109</v>
      </c>
      <c r="E751">
        <v>2</v>
      </c>
      <c r="F751" t="str">
        <f>_xlfn.XLOOKUP(C751,customers!$A$1:$A$983,customers!$B$1:$B$983,,0)</f>
        <v>Isabella Harris</v>
      </c>
      <c r="G751" t="str">
        <f>_xlfn.XLOOKUP(C751,customers!$A:$A,customers!$C:$C,,0)</f>
        <v>isabella.harris327@yahoo.com</v>
      </c>
      <c r="H751" t="str">
        <f>IF(_xlfn.XLOOKUP(C751,customers!$A:$A,customers!$G:$G,,0)=0,"",_xlfn.XLOOKUP(C751,customers!$A:$A,customers!$G:$G,,0))</f>
        <v>Japan</v>
      </c>
      <c r="I751" t="str">
        <f>IF(_xlfn.XLOOKUP(D751,product!$A:$A,product!$E:$E,,0)=0,"",_xlfn.XLOOKUP(D751,product!$A:$A,product!$E:$E,,0))</f>
        <v>TECH</v>
      </c>
      <c r="J751" s="5">
        <f>IF(_xlfn.XLOOKUP(D751,product!$A:$A,product!$D:$D,,0)=0,"",_xlfn.XLOOKUP(D751,product!$A:$A,product!$D:$D,,0))</f>
        <v>35.06</v>
      </c>
      <c r="K751" s="7">
        <f t="shared" si="11"/>
        <v>70.12</v>
      </c>
      <c r="L751" s="10" t="str">
        <f>IF(_xlfn.XLOOKUP(D751,product!$A:$A,product!$F:$F,,0)=0,"",_xlfn.XLOOKUP(D751,product!$A:$A,product!$F:$F,,0))</f>
        <v>No</v>
      </c>
      <c r="M751" t="str">
        <f>IF(_xlfn.XLOOKUP(D751,product!$A:$A,product!G:G,,0)=0,"",_xlfn.XLOOKUP(D751,product!$A:$A,product!G:G,,0))</f>
        <v>Gold</v>
      </c>
      <c r="N751" t="str">
        <f>IF(_xlfn.XLOOKUP(D751,product!$A:$A,product!$B:$B,,0)=0,"",_xlfn.XLOOKUP(D751,product!$A:$A,product!$B:$B,,0))</f>
        <v>Mind Future</v>
      </c>
    </row>
    <row r="752" spans="1:14" x14ac:dyDescent="0.35">
      <c r="A752" t="s">
        <v>11</v>
      </c>
      <c r="B752" s="3">
        <v>45290</v>
      </c>
      <c r="C752" t="s">
        <v>3327</v>
      </c>
      <c r="D752" t="s">
        <v>6110</v>
      </c>
      <c r="E752">
        <v>1</v>
      </c>
      <c r="F752" t="str">
        <f>_xlfn.XLOOKUP(C752,customers!$A$1:$A$983,customers!$B$1:$B$983,,0)</f>
        <v>David Jackson</v>
      </c>
      <c r="G752" t="str">
        <f>_xlfn.XLOOKUP(C752,customers!$A:$A,customers!$C:$C,,0)</f>
        <v>david.jackson877@gmail.com</v>
      </c>
      <c r="H752" t="str">
        <f>IF(_xlfn.XLOOKUP(C752,customers!$A:$A,customers!$G:$G,,0)=0,"",_xlfn.XLOOKUP(C752,customers!$A:$A,customers!$G:$G,,0))</f>
        <v>France</v>
      </c>
      <c r="I752" t="str">
        <f>IF(_xlfn.XLOOKUP(D752,product!$A:$A,product!$E:$E,,0)=0,"",_xlfn.XLOOKUP(D752,product!$A:$A,product!$E:$E,,0))</f>
        <v>HISTORY</v>
      </c>
      <c r="J752" s="5">
        <f>IF(_xlfn.XLOOKUP(D752,product!$A:$A,product!$D:$D,,0)=0,"",_xlfn.XLOOKUP(D752,product!$A:$A,product!$D:$D,,0))</f>
        <v>27.29</v>
      </c>
      <c r="K752" s="7">
        <f t="shared" si="11"/>
        <v>27.29</v>
      </c>
      <c r="L752" s="10" t="str">
        <f>IF(_xlfn.XLOOKUP(D752,product!$A:$A,product!$F:$F,,0)=0,"",_xlfn.XLOOKUP(D752,product!$A:$A,product!$F:$F,,0))</f>
        <v>No</v>
      </c>
      <c r="M752" t="str">
        <f>IF(_xlfn.XLOOKUP(D752,product!$A:$A,product!G:G,,0)=0,"",_xlfn.XLOOKUP(D752,product!$A:$A,product!G:G,,0))</f>
        <v>None</v>
      </c>
      <c r="N752" t="str">
        <f>IF(_xlfn.XLOOKUP(D752,product!$A:$A,product!$B:$B,,0)=0,"",_xlfn.XLOOKUP(D752,product!$A:$A,product!$B:$B,,0))</f>
        <v>Quantum Silent</v>
      </c>
    </row>
    <row r="753" spans="1:14" x14ac:dyDescent="0.35">
      <c r="A753" t="s">
        <v>31</v>
      </c>
      <c r="B753" s="3">
        <v>45365</v>
      </c>
      <c r="C753" t="s">
        <v>1307</v>
      </c>
      <c r="D753" t="s">
        <v>6111</v>
      </c>
      <c r="E753">
        <v>2</v>
      </c>
      <c r="F753" t="str">
        <f>_xlfn.XLOOKUP(C753,customers!$A$1:$A$983,customers!$B$1:$B$983,,0)</f>
        <v>Isabella Smith</v>
      </c>
      <c r="G753" t="str">
        <f>_xlfn.XLOOKUP(C753,customers!$A:$A,customers!$C:$C,,0)</f>
        <v>isabella.smith66@hotmail.com</v>
      </c>
      <c r="H753" t="str">
        <f>IF(_xlfn.XLOOKUP(C753,customers!$A:$A,customers!$G:$G,,0)=0,"",_xlfn.XLOOKUP(C753,customers!$A:$A,customers!$G:$G,,0))</f>
        <v>Japan</v>
      </c>
      <c r="I753" t="str">
        <f>IF(_xlfn.XLOOKUP(D753,product!$A:$A,product!$E:$E,,0)=0,"",_xlfn.XLOOKUP(D753,product!$A:$A,product!$E:$E,,0))</f>
        <v>BUSINESS</v>
      </c>
      <c r="J753" s="5">
        <f>IF(_xlfn.XLOOKUP(D753,product!$A:$A,product!$D:$D,,0)=0,"",_xlfn.XLOOKUP(D753,product!$A:$A,product!$D:$D,,0))</f>
        <v>24.18</v>
      </c>
      <c r="K753" s="7">
        <f t="shared" si="11"/>
        <v>48.36</v>
      </c>
      <c r="L753" s="10" t="str">
        <f>IF(_xlfn.XLOOKUP(D753,product!$A:$A,product!$F:$F,,0)=0,"",_xlfn.XLOOKUP(D753,product!$A:$A,product!$F:$F,,0))</f>
        <v>Yes</v>
      </c>
      <c r="M753" t="str">
        <f>IF(_xlfn.XLOOKUP(D753,product!$A:$A,product!G:G,,0)=0,"",_xlfn.XLOOKUP(D753,product!$A:$A,product!G:G,,0))</f>
        <v>None</v>
      </c>
      <c r="N753" t="str">
        <f>IF(_xlfn.XLOOKUP(D753,product!$A:$A,product!$B:$B,,0)=0,"",_xlfn.XLOOKUP(D753,product!$A:$A,product!$B:$B,,0))</f>
        <v>Mind Future</v>
      </c>
    </row>
    <row r="754" spans="1:14" x14ac:dyDescent="0.35">
      <c r="A754" t="s">
        <v>48</v>
      </c>
      <c r="B754" s="3">
        <v>44966</v>
      </c>
      <c r="C754" t="s">
        <v>3047</v>
      </c>
      <c r="D754" t="s">
        <v>6112</v>
      </c>
      <c r="E754">
        <v>4</v>
      </c>
      <c r="F754" t="str">
        <f>_xlfn.XLOOKUP(C754,customers!$A$1:$A$983,customers!$B$1:$B$983,,0)</f>
        <v>Ryan Lopez</v>
      </c>
      <c r="G754" t="str">
        <f>_xlfn.XLOOKUP(C754,customers!$A:$A,customers!$C:$C,,0)</f>
        <v>ryan.lopez736@gmail.com</v>
      </c>
      <c r="H754" t="str">
        <f>IF(_xlfn.XLOOKUP(C754,customers!$A:$A,customers!$G:$G,,0)=0,"",_xlfn.XLOOKUP(C754,customers!$A:$A,customers!$G:$G,,0))</f>
        <v>Japan</v>
      </c>
      <c r="I754" t="str">
        <f>IF(_xlfn.XLOOKUP(D754,product!$A:$A,product!$E:$E,,0)=0,"",_xlfn.XLOOKUP(D754,product!$A:$A,product!$E:$E,,0))</f>
        <v>TECH</v>
      </c>
      <c r="J754" s="5">
        <f>IF(_xlfn.XLOOKUP(D754,product!$A:$A,product!$D:$D,,0)=0,"",_xlfn.XLOOKUP(D754,product!$A:$A,product!$D:$D,,0))</f>
        <v>14.24</v>
      </c>
      <c r="K754" s="7">
        <f t="shared" si="11"/>
        <v>56.96</v>
      </c>
      <c r="L754" s="10" t="str">
        <f>IF(_xlfn.XLOOKUP(D754,product!$A:$A,product!$F:$F,,0)=0,"",_xlfn.XLOOKUP(D754,product!$A:$A,product!$F:$F,,0))</f>
        <v>Yes</v>
      </c>
      <c r="M754" t="str">
        <f>IF(_xlfn.XLOOKUP(D754,product!$A:$A,product!G:G,,0)=0,"",_xlfn.XLOOKUP(D754,product!$A:$A,product!G:G,,0))</f>
        <v>None</v>
      </c>
      <c r="N754" t="str">
        <f>IF(_xlfn.XLOOKUP(D754,product!$A:$A,product!$B:$B,,0)=0,"",_xlfn.XLOOKUP(D754,product!$A:$A,product!$B:$B,,0))</f>
        <v>Quantum Power</v>
      </c>
    </row>
    <row r="755" spans="1:14" x14ac:dyDescent="0.35">
      <c r="A755" t="s">
        <v>135</v>
      </c>
      <c r="B755" s="3">
        <v>45471</v>
      </c>
      <c r="C755" t="s">
        <v>1286</v>
      </c>
      <c r="D755" t="s">
        <v>6113</v>
      </c>
      <c r="E755">
        <v>2</v>
      </c>
      <c r="F755" t="str">
        <f>_xlfn.XLOOKUP(C755,customers!$A$1:$A$983,customers!$B$1:$B$983,,0)</f>
        <v>Mark Hall</v>
      </c>
      <c r="G755" t="str">
        <f>_xlfn.XLOOKUP(C755,customers!$A:$A,customers!$C:$C,,0)</f>
        <v>mark.hall61@outlook.com</v>
      </c>
      <c r="H755" t="str">
        <f>IF(_xlfn.XLOOKUP(C755,customers!$A:$A,customers!$G:$G,,0)=0,"",_xlfn.XLOOKUP(C755,customers!$A:$A,customers!$G:$G,,0))</f>
        <v>Japan</v>
      </c>
      <c r="I755" t="str">
        <f>IF(_xlfn.XLOOKUP(D755,product!$A:$A,product!$E:$E,,0)=0,"",_xlfn.XLOOKUP(D755,product!$A:$A,product!$E:$E,,0))</f>
        <v>SCIENCE</v>
      </c>
      <c r="J755" s="5">
        <f>IF(_xlfn.XLOOKUP(D755,product!$A:$A,product!$D:$D,,0)=0,"",_xlfn.XLOOKUP(D755,product!$A:$A,product!$D:$D,,0))</f>
        <v>28.49</v>
      </c>
      <c r="K755" s="7">
        <f t="shared" si="11"/>
        <v>56.98</v>
      </c>
      <c r="L755" s="10" t="str">
        <f>IF(_xlfn.XLOOKUP(D755,product!$A:$A,product!$F:$F,,0)=0,"",_xlfn.XLOOKUP(D755,product!$A:$A,product!$F:$F,,0))</f>
        <v>No</v>
      </c>
      <c r="M755" t="str">
        <f>IF(_xlfn.XLOOKUP(D755,product!$A:$A,product!G:G,,0)=0,"",_xlfn.XLOOKUP(D755,product!$A:$A,product!G:G,,0))</f>
        <v>None</v>
      </c>
      <c r="N755" t="str">
        <f>IF(_xlfn.XLOOKUP(D755,product!$A:$A,product!$B:$B,,0)=0,"",_xlfn.XLOOKUP(D755,product!$A:$A,product!$B:$B,,0))</f>
        <v>Journey Mind</v>
      </c>
    </row>
    <row r="756" spans="1:14" x14ac:dyDescent="0.35">
      <c r="A756" t="s">
        <v>152</v>
      </c>
      <c r="B756" s="3">
        <v>45069</v>
      </c>
      <c r="C756" t="s">
        <v>3105</v>
      </c>
      <c r="D756" t="s">
        <v>6114</v>
      </c>
      <c r="E756">
        <v>4</v>
      </c>
      <c r="F756" t="str">
        <f>_xlfn.XLOOKUP(C756,customers!$A$1:$A$983,customers!$B$1:$B$983,,0)</f>
        <v>Isabella Thompson</v>
      </c>
      <c r="G756" t="str">
        <f>_xlfn.XLOOKUP(C756,customers!$A:$A,customers!$C:$C,,0)</f>
        <v>isabella.thompson765@hotmail.com</v>
      </c>
      <c r="H756" t="str">
        <f>IF(_xlfn.XLOOKUP(C756,customers!$A:$A,customers!$G:$G,,0)=0,"",_xlfn.XLOOKUP(C756,customers!$A:$A,customers!$G:$G,,0))</f>
        <v>Germany</v>
      </c>
      <c r="I756" t="str">
        <f>IF(_xlfn.XLOOKUP(D756,product!$A:$A,product!$E:$E,,0)=0,"",_xlfn.XLOOKUP(D756,product!$A:$A,product!$E:$E,,0))</f>
        <v>FICTION</v>
      </c>
      <c r="J756" s="5">
        <f>IF(_xlfn.XLOOKUP(D756,product!$A:$A,product!$D:$D,,0)=0,"",_xlfn.XLOOKUP(D756,product!$A:$A,product!$D:$D,,0))</f>
        <v>38</v>
      </c>
      <c r="K756" s="7">
        <f t="shared" si="11"/>
        <v>152</v>
      </c>
      <c r="L756" s="10" t="str">
        <f>IF(_xlfn.XLOOKUP(D756,product!$A:$A,product!$F:$F,,0)=0,"",_xlfn.XLOOKUP(D756,product!$A:$A,product!$F:$F,,0))</f>
        <v>Yes</v>
      </c>
      <c r="M756" t="str">
        <f>IF(_xlfn.XLOOKUP(D756,product!$A:$A,product!G:G,,0)=0,"",_xlfn.XLOOKUP(D756,product!$A:$A,product!G:G,,0))</f>
        <v>Silver</v>
      </c>
      <c r="N756" t="str">
        <f>IF(_xlfn.XLOOKUP(D756,product!$A:$A,product!$B:$B,,0)=0,"",_xlfn.XLOOKUP(D756,product!$A:$A,product!$B:$B,,0))</f>
        <v>Forest Silent</v>
      </c>
    </row>
    <row r="757" spans="1:14" x14ac:dyDescent="0.35">
      <c r="A757" t="s">
        <v>169</v>
      </c>
      <c r="B757" s="3">
        <v>45573</v>
      </c>
      <c r="C757" t="s">
        <v>3074</v>
      </c>
      <c r="D757" t="s">
        <v>6115</v>
      </c>
      <c r="E757">
        <v>1</v>
      </c>
      <c r="F757" t="str">
        <f>_xlfn.XLOOKUP(C757,customers!$A$1:$A$983,customers!$B$1:$B$983,,0)</f>
        <v>Edward King</v>
      </c>
      <c r="G757" t="str">
        <f>_xlfn.XLOOKUP(C757,customers!$A:$A,customers!$C:$C,,0)</f>
        <v>edward.king749@hotmail.com</v>
      </c>
      <c r="H757" t="str">
        <f>IF(_xlfn.XLOOKUP(C757,customers!$A:$A,customers!$G:$G,,0)=0,"",_xlfn.XLOOKUP(C757,customers!$A:$A,customers!$G:$G,,0))</f>
        <v>UAE</v>
      </c>
      <c r="I757" t="str">
        <f>IF(_xlfn.XLOOKUP(D757,product!$A:$A,product!$E:$E,,0)=0,"",_xlfn.XLOOKUP(D757,product!$A:$A,product!$E:$E,,0))</f>
        <v>SCIENCE</v>
      </c>
      <c r="J757" s="5">
        <f>IF(_xlfn.XLOOKUP(D757,product!$A:$A,product!$D:$D,,0)=0,"",_xlfn.XLOOKUP(D757,product!$A:$A,product!$D:$D,,0))</f>
        <v>38.17</v>
      </c>
      <c r="K757" s="7">
        <f t="shared" si="11"/>
        <v>38.17</v>
      </c>
      <c r="L757" s="10" t="str">
        <f>IF(_xlfn.XLOOKUP(D757,product!$A:$A,product!$F:$F,,0)=0,"",_xlfn.XLOOKUP(D757,product!$A:$A,product!$F:$F,,0))</f>
        <v>No</v>
      </c>
      <c r="M757" t="str">
        <f>IF(_xlfn.XLOOKUP(D757,product!$A:$A,product!G:G,,0)=0,"",_xlfn.XLOOKUP(D757,product!$A:$A,product!G:G,,0))</f>
        <v>Silver</v>
      </c>
      <c r="N757" t="str">
        <f>IF(_xlfn.XLOOKUP(D757,product!$A:$A,product!$B:$B,,0)=0,"",_xlfn.XLOOKUP(D757,product!$A:$A,product!$B:$B,,0))</f>
        <v>Secrets Journey</v>
      </c>
    </row>
    <row r="758" spans="1:14" x14ac:dyDescent="0.35">
      <c r="A758" t="s">
        <v>186</v>
      </c>
      <c r="B758" s="3">
        <v>45123</v>
      </c>
      <c r="C758" t="s">
        <v>3461</v>
      </c>
      <c r="D758" t="s">
        <v>6116</v>
      </c>
      <c r="E758">
        <v>1</v>
      </c>
      <c r="F758" t="str">
        <f>_xlfn.XLOOKUP(C758,customers!$A$1:$A$983,customers!$B$1:$B$983,,0)</f>
        <v>John Hill</v>
      </c>
      <c r="G758" t="str">
        <f>_xlfn.XLOOKUP(C758,customers!$A:$A,customers!$C:$C,,0)</f>
        <v>john.hill945@hotmail.com</v>
      </c>
      <c r="H758" t="str">
        <f>IF(_xlfn.XLOOKUP(C758,customers!$A:$A,customers!$G:$G,,0)=0,"",_xlfn.XLOOKUP(C758,customers!$A:$A,customers!$G:$G,,0))</f>
        <v>Sweden</v>
      </c>
      <c r="I758" t="str">
        <f>IF(_xlfn.XLOOKUP(D758,product!$A:$A,product!$E:$E,,0)=0,"",_xlfn.XLOOKUP(D758,product!$A:$A,product!$E:$E,,0))</f>
        <v>HISTORY</v>
      </c>
      <c r="J758" s="5">
        <f>IF(_xlfn.XLOOKUP(D758,product!$A:$A,product!$D:$D,,0)=0,"",_xlfn.XLOOKUP(D758,product!$A:$A,product!$D:$D,,0))</f>
        <v>18.41</v>
      </c>
      <c r="K758" s="7">
        <f t="shared" si="11"/>
        <v>18.41</v>
      </c>
      <c r="L758" s="10" t="str">
        <f>IF(_xlfn.XLOOKUP(D758,product!$A:$A,product!$F:$F,,0)=0,"",_xlfn.XLOOKUP(D758,product!$A:$A,product!$F:$F,,0))</f>
        <v>Yes</v>
      </c>
      <c r="M758" t="str">
        <f>IF(_xlfn.XLOOKUP(D758,product!$A:$A,product!G:G,,0)=0,"",_xlfn.XLOOKUP(D758,product!$A:$A,product!G:G,,0))</f>
        <v>None</v>
      </c>
      <c r="N758" t="str">
        <f>IF(_xlfn.XLOOKUP(D758,product!$A:$A,product!$B:$B,,0)=0,"",_xlfn.XLOOKUP(D758,product!$A:$A,product!$B:$B,,0))</f>
        <v>Silent Data</v>
      </c>
    </row>
    <row r="759" spans="1:14" x14ac:dyDescent="0.35">
      <c r="A759" t="s">
        <v>203</v>
      </c>
      <c r="B759" s="3">
        <v>45528</v>
      </c>
      <c r="C759" t="s">
        <v>1517</v>
      </c>
      <c r="D759" t="s">
        <v>6117</v>
      </c>
      <c r="E759">
        <v>1</v>
      </c>
      <c r="F759" t="str">
        <f>_xlfn.XLOOKUP(C759,customers!$A$1:$A$983,customers!$B$1:$B$983,,0)</f>
        <v>Chloe Thomas</v>
      </c>
      <c r="G759" t="str">
        <f>_xlfn.XLOOKUP(C759,customers!$A:$A,customers!$C:$C,,0)</f>
        <v>chloe.thomas127@outlook.com</v>
      </c>
      <c r="H759" t="str">
        <f>IF(_xlfn.XLOOKUP(C759,customers!$A:$A,customers!$G:$G,,0)=0,"",_xlfn.XLOOKUP(C759,customers!$A:$A,customers!$G:$G,,0))</f>
        <v>USA</v>
      </c>
      <c r="I759" t="str">
        <f>IF(_xlfn.XLOOKUP(D759,product!$A:$A,product!$E:$E,,0)=0,"",_xlfn.XLOOKUP(D759,product!$A:$A,product!$E:$E,,0))</f>
        <v>TECH</v>
      </c>
      <c r="J759" s="5">
        <f>IF(_xlfn.XLOOKUP(D759,product!$A:$A,product!$D:$D,,0)=0,"",_xlfn.XLOOKUP(D759,product!$A:$A,product!$D:$D,,0))</f>
        <v>37.479999999999997</v>
      </c>
      <c r="K759" s="7">
        <f t="shared" si="11"/>
        <v>37.479999999999997</v>
      </c>
      <c r="L759" s="10" t="str">
        <f>IF(_xlfn.XLOOKUP(D759,product!$A:$A,product!$F:$F,,0)=0,"",_xlfn.XLOOKUP(D759,product!$A:$A,product!$F:$F,,0))</f>
        <v>No</v>
      </c>
      <c r="M759" t="str">
        <f>IF(_xlfn.XLOOKUP(D759,product!$A:$A,product!G:G,,0)=0,"",_xlfn.XLOOKUP(D759,product!$A:$A,product!G:G,,0))</f>
        <v>Platinum</v>
      </c>
      <c r="N759" t="str">
        <f>IF(_xlfn.XLOOKUP(D759,product!$A:$A,product!$B:$B,,0)=0,"",_xlfn.XLOOKUP(D759,product!$A:$A,product!$B:$B,,0))</f>
        <v>Silent Journey</v>
      </c>
    </row>
    <row r="760" spans="1:14" x14ac:dyDescent="0.35">
      <c r="A760" t="s">
        <v>220</v>
      </c>
      <c r="B760" s="3">
        <v>44940</v>
      </c>
      <c r="C760" t="s">
        <v>2687</v>
      </c>
      <c r="D760" t="s">
        <v>6118</v>
      </c>
      <c r="E760">
        <v>1</v>
      </c>
      <c r="F760" t="str">
        <f>_xlfn.XLOOKUP(C760,customers!$A$1:$A$983,customers!$B$1:$B$983,,0)</f>
        <v>Sophia Hall</v>
      </c>
      <c r="G760" t="str">
        <f>_xlfn.XLOOKUP(C760,customers!$A:$A,customers!$C:$C,,0)</f>
        <v>sophia.hall562@yahoo.com</v>
      </c>
      <c r="H760" t="str">
        <f>IF(_xlfn.XLOOKUP(C760,customers!$A:$A,customers!$G:$G,,0)=0,"",_xlfn.XLOOKUP(C760,customers!$A:$A,customers!$G:$G,,0))</f>
        <v>Sweden</v>
      </c>
      <c r="I760" t="str">
        <f>IF(_xlfn.XLOOKUP(D760,product!$A:$A,product!$E:$E,,0)=0,"",_xlfn.XLOOKUP(D760,product!$A:$A,product!$E:$E,,0))</f>
        <v>TECH</v>
      </c>
      <c r="J760" s="5">
        <f>IF(_xlfn.XLOOKUP(D760,product!$A:$A,product!$D:$D,,0)=0,"",_xlfn.XLOOKUP(D760,product!$A:$A,product!$D:$D,,0))</f>
        <v>23.23</v>
      </c>
      <c r="K760" s="7">
        <f t="shared" si="11"/>
        <v>23.23</v>
      </c>
      <c r="L760" s="10" t="str">
        <f>IF(_xlfn.XLOOKUP(D760,product!$A:$A,product!$F:$F,,0)=0,"",_xlfn.XLOOKUP(D760,product!$A:$A,product!$F:$F,,0))</f>
        <v>No</v>
      </c>
      <c r="M760" t="str">
        <f>IF(_xlfn.XLOOKUP(D760,product!$A:$A,product!G:G,,0)=0,"",_xlfn.XLOOKUP(D760,product!$A:$A,product!G:G,,0))</f>
        <v>Gold</v>
      </c>
      <c r="N760" t="str">
        <f>IF(_xlfn.XLOOKUP(D760,product!$A:$A,product!$B:$B,,0)=0,"",_xlfn.XLOOKUP(D760,product!$A:$A,product!$B:$B,,0))</f>
        <v>Data Quantum</v>
      </c>
    </row>
    <row r="761" spans="1:14" x14ac:dyDescent="0.35">
      <c r="A761" t="s">
        <v>237</v>
      </c>
      <c r="B761" s="3">
        <v>45411</v>
      </c>
      <c r="C761" t="s">
        <v>2149</v>
      </c>
      <c r="D761" t="s">
        <v>6119</v>
      </c>
      <c r="E761">
        <v>1</v>
      </c>
      <c r="F761" t="str">
        <f>_xlfn.XLOOKUP(C761,customers!$A$1:$A$983,customers!$B$1:$B$983,,0)</f>
        <v>Sophia Lee</v>
      </c>
      <c r="G761" t="str">
        <f>_xlfn.XLOOKUP(C761,customers!$A:$A,customers!$C:$C,,0)</f>
        <v>sophia.lee315@outlook.com</v>
      </c>
      <c r="H761" t="str">
        <f>IF(_xlfn.XLOOKUP(C761,customers!$A:$A,customers!$G:$G,,0)=0,"",_xlfn.XLOOKUP(C761,customers!$A:$A,customers!$G:$G,,0))</f>
        <v>Germany</v>
      </c>
      <c r="I761" t="str">
        <f>IF(_xlfn.XLOOKUP(D761,product!$A:$A,product!$E:$E,,0)=0,"",_xlfn.XLOOKUP(D761,product!$A:$A,product!$E:$E,,0))</f>
        <v>BUSINESS</v>
      </c>
      <c r="J761" s="5">
        <f>IF(_xlfn.XLOOKUP(D761,product!$A:$A,product!$D:$D,,0)=0,"",_xlfn.XLOOKUP(D761,product!$A:$A,product!$D:$D,,0))</f>
        <v>28.94</v>
      </c>
      <c r="K761" s="7">
        <f t="shared" si="11"/>
        <v>28.94</v>
      </c>
      <c r="L761" s="10" t="str">
        <f>IF(_xlfn.XLOOKUP(D761,product!$A:$A,product!$F:$F,,0)=0,"",_xlfn.XLOOKUP(D761,product!$A:$A,product!$F:$F,,0))</f>
        <v>No</v>
      </c>
      <c r="M761" t="str">
        <f>IF(_xlfn.XLOOKUP(D761,product!$A:$A,product!G:G,,0)=0,"",_xlfn.XLOOKUP(D761,product!$A:$A,product!G:G,,0))</f>
        <v>Silver</v>
      </c>
      <c r="N761" t="str">
        <f>IF(_xlfn.XLOOKUP(D761,product!$A:$A,product!$B:$B,,0)=0,"",_xlfn.XLOOKUP(D761,product!$A:$A,product!$B:$B,,0))</f>
        <v>Future Journey</v>
      </c>
    </row>
    <row r="762" spans="1:14" x14ac:dyDescent="0.35">
      <c r="A762" t="s">
        <v>254</v>
      </c>
      <c r="B762" s="3">
        <v>45194</v>
      </c>
      <c r="C762" t="s">
        <v>1220</v>
      </c>
      <c r="D762" t="s">
        <v>6120</v>
      </c>
      <c r="E762">
        <v>1</v>
      </c>
      <c r="F762" t="str">
        <f>_xlfn.XLOOKUP(C762,customers!$A$1:$A$983,customers!$B$1:$B$983,,0)</f>
        <v>Lily Lewis</v>
      </c>
      <c r="G762" t="str">
        <f>_xlfn.XLOOKUP(C762,customers!$A:$A,customers!$C:$C,,0)</f>
        <v>lily.lewis44@gmail.com</v>
      </c>
      <c r="H762" t="str">
        <f>IF(_xlfn.XLOOKUP(C762,customers!$A:$A,customers!$G:$G,,0)=0,"",_xlfn.XLOOKUP(C762,customers!$A:$A,customers!$G:$G,,0))</f>
        <v>Spain</v>
      </c>
      <c r="I762" t="str">
        <f>IF(_xlfn.XLOOKUP(D762,product!$A:$A,product!$E:$E,,0)=0,"",_xlfn.XLOOKUP(D762,product!$A:$A,product!$E:$E,,0))</f>
        <v>BUSINESS</v>
      </c>
      <c r="J762" s="5">
        <f>IF(_xlfn.XLOOKUP(D762,product!$A:$A,product!$D:$D,,0)=0,"",_xlfn.XLOOKUP(D762,product!$A:$A,product!$D:$D,,0))</f>
        <v>17.66</v>
      </c>
      <c r="K762" s="7">
        <f t="shared" si="11"/>
        <v>17.66</v>
      </c>
      <c r="L762" s="10" t="str">
        <f>IF(_xlfn.XLOOKUP(D762,product!$A:$A,product!$F:$F,,0)=0,"",_xlfn.XLOOKUP(D762,product!$A:$A,product!$F:$F,,0))</f>
        <v>No</v>
      </c>
      <c r="M762" t="str">
        <f>IF(_xlfn.XLOOKUP(D762,product!$A:$A,product!G:G,,0)=0,"",_xlfn.XLOOKUP(D762,product!$A:$A,product!G:G,,0))</f>
        <v>None</v>
      </c>
      <c r="N762" t="str">
        <f>IF(_xlfn.XLOOKUP(D762,product!$A:$A,product!$B:$B,,0)=0,"",_xlfn.XLOOKUP(D762,product!$A:$A,product!$B:$B,,0))</f>
        <v>Mind Power</v>
      </c>
    </row>
    <row r="763" spans="1:14" x14ac:dyDescent="0.35">
      <c r="A763" t="s">
        <v>271</v>
      </c>
      <c r="B763" s="3">
        <v>45635</v>
      </c>
      <c r="C763" t="s">
        <v>2781</v>
      </c>
      <c r="D763" t="s">
        <v>6121</v>
      </c>
      <c r="E763">
        <v>1</v>
      </c>
      <c r="F763" t="str">
        <f>_xlfn.XLOOKUP(C763,customers!$A$1:$A$983,customers!$B$1:$B$983,,0)</f>
        <v>Edward Adams</v>
      </c>
      <c r="G763" t="str">
        <f>_xlfn.XLOOKUP(C763,customers!$A:$A,customers!$C:$C,,0)</f>
        <v>edward.adams607@gmail.com</v>
      </c>
      <c r="H763" t="str">
        <f>IF(_xlfn.XLOOKUP(C763,customers!$A:$A,customers!$G:$G,,0)=0,"",_xlfn.XLOOKUP(C763,customers!$A:$A,customers!$G:$G,,0))</f>
        <v>Sweden</v>
      </c>
      <c r="I763" t="str">
        <f>IF(_xlfn.XLOOKUP(D763,product!$A:$A,product!$E:$E,,0)=0,"",_xlfn.XLOOKUP(D763,product!$A:$A,product!$E:$E,,0))</f>
        <v>TECH</v>
      </c>
      <c r="J763" s="5">
        <f>IF(_xlfn.XLOOKUP(D763,product!$A:$A,product!$D:$D,,0)=0,"",_xlfn.XLOOKUP(D763,product!$A:$A,product!$D:$D,,0))</f>
        <v>16.72</v>
      </c>
      <c r="K763" s="7">
        <f t="shared" si="11"/>
        <v>16.72</v>
      </c>
      <c r="L763" s="10" t="str">
        <f>IF(_xlfn.XLOOKUP(D763,product!$A:$A,product!$F:$F,,0)=0,"",_xlfn.XLOOKUP(D763,product!$A:$A,product!$F:$F,,0))</f>
        <v>No</v>
      </c>
      <c r="M763" t="str">
        <f>IF(_xlfn.XLOOKUP(D763,product!$A:$A,product!G:G,,0)=0,"",_xlfn.XLOOKUP(D763,product!$A:$A,product!G:G,,0))</f>
        <v>Gold</v>
      </c>
      <c r="N763" t="str">
        <f>IF(_xlfn.XLOOKUP(D763,product!$A:$A,product!$B:$B,,0)=0,"",_xlfn.XLOOKUP(D763,product!$A:$A,product!$B:$B,,0))</f>
        <v>Power Quantum</v>
      </c>
    </row>
    <row r="764" spans="1:14" x14ac:dyDescent="0.35">
      <c r="A764" t="s">
        <v>288</v>
      </c>
      <c r="B764" s="3">
        <v>45002</v>
      </c>
      <c r="C764" t="s">
        <v>2848</v>
      </c>
      <c r="D764" t="s">
        <v>6122</v>
      </c>
      <c r="E764">
        <v>1</v>
      </c>
      <c r="F764" t="str">
        <f>_xlfn.XLOOKUP(C764,customers!$A$1:$A$983,customers!$B$1:$B$983,,0)</f>
        <v>Sophia Martinez</v>
      </c>
      <c r="G764" t="str">
        <f>_xlfn.XLOOKUP(C764,customers!$A:$A,customers!$C:$C,,0)</f>
        <v>sophia.martinez639@hotmail.com</v>
      </c>
      <c r="H764" t="str">
        <f>IF(_xlfn.XLOOKUP(C764,customers!$A:$A,customers!$G:$G,,0)=0,"",_xlfn.XLOOKUP(C764,customers!$A:$A,customers!$G:$G,,0))</f>
        <v>Germany</v>
      </c>
      <c r="I764" t="str">
        <f>IF(_xlfn.XLOOKUP(D764,product!$A:$A,product!$E:$E,,0)=0,"",_xlfn.XLOOKUP(D764,product!$A:$A,product!$E:$E,,0))</f>
        <v>HISTORY</v>
      </c>
      <c r="J764" s="5">
        <f>IF(_xlfn.XLOOKUP(D764,product!$A:$A,product!$D:$D,,0)=0,"",_xlfn.XLOOKUP(D764,product!$A:$A,product!$D:$D,,0))</f>
        <v>35.43</v>
      </c>
      <c r="K764" s="7">
        <f t="shared" si="11"/>
        <v>35.43</v>
      </c>
      <c r="L764" s="10" t="str">
        <f>IF(_xlfn.XLOOKUP(D764,product!$A:$A,product!$F:$F,,0)=0,"",_xlfn.XLOOKUP(D764,product!$A:$A,product!$F:$F,,0))</f>
        <v>No</v>
      </c>
      <c r="M764" t="str">
        <f>IF(_xlfn.XLOOKUP(D764,product!$A:$A,product!G:G,,0)=0,"",_xlfn.XLOOKUP(D764,product!$A:$A,product!G:G,,0))</f>
        <v>Gold</v>
      </c>
      <c r="N764" t="str">
        <f>IF(_xlfn.XLOOKUP(D764,product!$A:$A,product!$B:$B,,0)=0,"",_xlfn.XLOOKUP(D764,product!$A:$A,product!$B:$B,,0))</f>
        <v>Future Silent</v>
      </c>
    </row>
    <row r="765" spans="1:14" x14ac:dyDescent="0.35">
      <c r="A765" t="s">
        <v>305</v>
      </c>
      <c r="B765" s="3">
        <v>45344</v>
      </c>
      <c r="C765" t="s">
        <v>2565</v>
      </c>
      <c r="D765" t="s">
        <v>6123</v>
      </c>
      <c r="E765">
        <v>1</v>
      </c>
      <c r="F765" t="str">
        <f>_xlfn.XLOOKUP(C765,customers!$A$1:$A$983,customers!$B$1:$B$983,,0)</f>
        <v>Ava Garcia</v>
      </c>
      <c r="G765" t="str">
        <f>_xlfn.XLOOKUP(C765,customers!$A:$A,customers!$C:$C,,0)</f>
        <v>ava.garcia503@outlook.com</v>
      </c>
      <c r="H765" t="str">
        <f>IF(_xlfn.XLOOKUP(C765,customers!$A:$A,customers!$G:$G,,0)=0,"",_xlfn.XLOOKUP(C765,customers!$A:$A,customers!$G:$G,,0))</f>
        <v>Spain</v>
      </c>
      <c r="I765" t="str">
        <f>IF(_xlfn.XLOOKUP(D765,product!$A:$A,product!$E:$E,,0)=0,"",_xlfn.XLOOKUP(D765,product!$A:$A,product!$E:$E,,0))</f>
        <v>SCIENCE</v>
      </c>
      <c r="J765" s="5">
        <f>IF(_xlfn.XLOOKUP(D765,product!$A:$A,product!$D:$D,,0)=0,"",_xlfn.XLOOKUP(D765,product!$A:$A,product!$D:$D,,0))</f>
        <v>16.61</v>
      </c>
      <c r="K765" s="7">
        <f t="shared" si="11"/>
        <v>16.61</v>
      </c>
      <c r="L765" s="10" t="str">
        <f>IF(_xlfn.XLOOKUP(D765,product!$A:$A,product!$F:$F,,0)=0,"",_xlfn.XLOOKUP(D765,product!$A:$A,product!$F:$F,,0))</f>
        <v>Yes</v>
      </c>
      <c r="M765" t="str">
        <f>IF(_xlfn.XLOOKUP(D765,product!$A:$A,product!G:G,,0)=0,"",_xlfn.XLOOKUP(D765,product!$A:$A,product!G:G,,0))</f>
        <v>None</v>
      </c>
      <c r="N765" t="str">
        <f>IF(_xlfn.XLOOKUP(D765,product!$A:$A,product!$B:$B,,0)=0,"",_xlfn.XLOOKUP(D765,product!$A:$A,product!$B:$B,,0))</f>
        <v>Power Forest</v>
      </c>
    </row>
    <row r="766" spans="1:14" x14ac:dyDescent="0.35">
      <c r="A766" t="s">
        <v>322</v>
      </c>
      <c r="B766" s="3">
        <v>45146</v>
      </c>
      <c r="C766" t="s">
        <v>1754</v>
      </c>
      <c r="D766" t="s">
        <v>6124</v>
      </c>
      <c r="E766">
        <v>1</v>
      </c>
      <c r="F766" t="str">
        <f>_xlfn.XLOOKUP(C766,customers!$A$1:$A$983,customers!$B$1:$B$983,,0)</f>
        <v>Jessica King</v>
      </c>
      <c r="G766" t="str">
        <f>_xlfn.XLOOKUP(C766,customers!$A:$A,customers!$C:$C,,0)</f>
        <v>jessica.king185@hotmail.com</v>
      </c>
      <c r="H766" t="str">
        <f>IF(_xlfn.XLOOKUP(C766,customers!$A:$A,customers!$G:$G,,0)=0,"",_xlfn.XLOOKUP(C766,customers!$A:$A,customers!$G:$G,,0))</f>
        <v>Egypt</v>
      </c>
      <c r="I766" t="str">
        <f>IF(_xlfn.XLOOKUP(D766,product!$A:$A,product!$E:$E,,0)=0,"",_xlfn.XLOOKUP(D766,product!$A:$A,product!$E:$E,,0))</f>
        <v>BUSINESS</v>
      </c>
      <c r="J766" s="5">
        <f>IF(_xlfn.XLOOKUP(D766,product!$A:$A,product!$D:$D,,0)=0,"",_xlfn.XLOOKUP(D766,product!$A:$A,product!$D:$D,,0))</f>
        <v>35.409999999999997</v>
      </c>
      <c r="K766" s="7">
        <f t="shared" si="11"/>
        <v>35.409999999999997</v>
      </c>
      <c r="L766" s="10" t="str">
        <f>IF(_xlfn.XLOOKUP(D766,product!$A:$A,product!$F:$F,,0)=0,"",_xlfn.XLOOKUP(D766,product!$A:$A,product!$F:$F,,0))</f>
        <v>Yes</v>
      </c>
      <c r="M766" t="str">
        <f>IF(_xlfn.XLOOKUP(D766,product!$A:$A,product!G:G,,0)=0,"",_xlfn.XLOOKUP(D766,product!$A:$A,product!G:G,,0))</f>
        <v>Silver</v>
      </c>
      <c r="N766" t="str">
        <f>IF(_xlfn.XLOOKUP(D766,product!$A:$A,product!$B:$B,,0)=0,"",_xlfn.XLOOKUP(D766,product!$A:$A,product!$B:$B,,0))</f>
        <v>Future Mind</v>
      </c>
    </row>
    <row r="767" spans="1:14" x14ac:dyDescent="0.35">
      <c r="A767" t="s">
        <v>339</v>
      </c>
      <c r="B767" s="3">
        <v>45415</v>
      </c>
      <c r="C767" t="s">
        <v>1367</v>
      </c>
      <c r="D767" t="s">
        <v>6125</v>
      </c>
      <c r="E767">
        <v>1</v>
      </c>
      <c r="F767" t="str">
        <f>_xlfn.XLOOKUP(C767,customers!$A$1:$A$983,customers!$B$1:$B$983,,0)</f>
        <v>Anthony Wright</v>
      </c>
      <c r="G767" t="str">
        <f>_xlfn.XLOOKUP(C767,customers!$A:$A,customers!$C:$C,,0)</f>
        <v>anthony.wright82@yahoo.com</v>
      </c>
      <c r="H767" t="str">
        <f>IF(_xlfn.XLOOKUP(C767,customers!$A:$A,customers!$G:$G,,0)=0,"",_xlfn.XLOOKUP(C767,customers!$A:$A,customers!$G:$G,,0))</f>
        <v>USA</v>
      </c>
      <c r="I767" t="str">
        <f>IF(_xlfn.XLOOKUP(D767,product!$A:$A,product!$E:$E,,0)=0,"",_xlfn.XLOOKUP(D767,product!$A:$A,product!$E:$E,,0))</f>
        <v>TECH</v>
      </c>
      <c r="J767" s="5">
        <f>IF(_xlfn.XLOOKUP(D767,product!$A:$A,product!$D:$D,,0)=0,"",_xlfn.XLOOKUP(D767,product!$A:$A,product!$D:$D,,0))</f>
        <v>38.380000000000003</v>
      </c>
      <c r="K767" s="7">
        <f t="shared" si="11"/>
        <v>38.380000000000003</v>
      </c>
      <c r="L767" s="10" t="str">
        <f>IF(_xlfn.XLOOKUP(D767,product!$A:$A,product!$F:$F,,0)=0,"",_xlfn.XLOOKUP(D767,product!$A:$A,product!$F:$F,,0))</f>
        <v>No</v>
      </c>
      <c r="M767" t="str">
        <f>IF(_xlfn.XLOOKUP(D767,product!$A:$A,product!G:G,,0)=0,"",_xlfn.XLOOKUP(D767,product!$A:$A,product!G:G,,0))</f>
        <v>None</v>
      </c>
      <c r="N767" t="str">
        <f>IF(_xlfn.XLOOKUP(D767,product!$A:$A,product!$B:$B,,0)=0,"",_xlfn.XLOOKUP(D767,product!$A:$A,product!$B:$B,,0))</f>
        <v>Science Power</v>
      </c>
    </row>
    <row r="768" spans="1:14" x14ac:dyDescent="0.35">
      <c r="A768" t="s">
        <v>356</v>
      </c>
      <c r="B768" s="3">
        <v>45232</v>
      </c>
      <c r="C768" t="s">
        <v>2064</v>
      </c>
      <c r="D768" t="s">
        <v>6126</v>
      </c>
      <c r="E768">
        <v>1</v>
      </c>
      <c r="F768" t="str">
        <f>_xlfn.XLOOKUP(C768,customers!$A$1:$A$983,customers!$B$1:$B$983,,0)</f>
        <v>Jessica King</v>
      </c>
      <c r="G768" t="str">
        <f>_xlfn.XLOOKUP(C768,customers!$A:$A,customers!$C:$C,,0)</f>
        <v>jessica.king283@yahoo.com</v>
      </c>
      <c r="H768" t="str">
        <f>IF(_xlfn.XLOOKUP(C768,customers!$A:$A,customers!$G:$G,,0)=0,"",_xlfn.XLOOKUP(C768,customers!$A:$A,customers!$G:$G,,0))</f>
        <v>Sweden</v>
      </c>
      <c r="I768" t="str">
        <f>IF(_xlfn.XLOOKUP(D768,product!$A:$A,product!$E:$E,,0)=0,"",_xlfn.XLOOKUP(D768,product!$A:$A,product!$E:$E,,0))</f>
        <v>TECH</v>
      </c>
      <c r="J768" s="5">
        <f>IF(_xlfn.XLOOKUP(D768,product!$A:$A,product!$D:$D,,0)=0,"",_xlfn.XLOOKUP(D768,product!$A:$A,product!$D:$D,,0))</f>
        <v>17.91</v>
      </c>
      <c r="K768" s="7">
        <f t="shared" si="11"/>
        <v>17.91</v>
      </c>
      <c r="L768" s="10" t="str">
        <f>IF(_xlfn.XLOOKUP(D768,product!$A:$A,product!$F:$F,,0)=0,"",_xlfn.XLOOKUP(D768,product!$A:$A,product!$F:$F,,0))</f>
        <v>Yes</v>
      </c>
      <c r="M768" t="str">
        <f>IF(_xlfn.XLOOKUP(D768,product!$A:$A,product!G:G,,0)=0,"",_xlfn.XLOOKUP(D768,product!$A:$A,product!G:G,,0))</f>
        <v>None</v>
      </c>
      <c r="N768" t="str">
        <f>IF(_xlfn.XLOOKUP(D768,product!$A:$A,product!$B:$B,,0)=0,"",_xlfn.XLOOKUP(D768,product!$A:$A,product!$B:$B,,0))</f>
        <v>Journey Silent</v>
      </c>
    </row>
    <row r="769" spans="1:14" x14ac:dyDescent="0.35">
      <c r="A769" t="s">
        <v>373</v>
      </c>
      <c r="B769" s="3">
        <v>45501</v>
      </c>
      <c r="C769" t="s">
        <v>2934</v>
      </c>
      <c r="D769" t="s">
        <v>6127</v>
      </c>
      <c r="E769">
        <v>1</v>
      </c>
      <c r="F769" t="str">
        <f>_xlfn.XLOOKUP(C769,customers!$A$1:$A$983,customers!$B$1:$B$983,,0)</f>
        <v>Isabella Baker</v>
      </c>
      <c r="G769" t="str">
        <f>_xlfn.XLOOKUP(C769,customers!$A:$A,customers!$C:$C,,0)</f>
        <v>isabella.baker682@gmail.com</v>
      </c>
      <c r="H769" t="str">
        <f>IF(_xlfn.XLOOKUP(C769,customers!$A:$A,customers!$G:$G,,0)=0,"",_xlfn.XLOOKUP(C769,customers!$A:$A,customers!$G:$G,,0))</f>
        <v>Japan</v>
      </c>
      <c r="I769" t="str">
        <f>IF(_xlfn.XLOOKUP(D769,product!$A:$A,product!$E:$E,,0)=0,"",_xlfn.XLOOKUP(D769,product!$A:$A,product!$E:$E,,0))</f>
        <v>HISTORY</v>
      </c>
      <c r="J769" s="5">
        <f>IF(_xlfn.XLOOKUP(D769,product!$A:$A,product!$D:$D,,0)=0,"",_xlfn.XLOOKUP(D769,product!$A:$A,product!$D:$D,,0))</f>
        <v>12.55</v>
      </c>
      <c r="K769" s="7">
        <f t="shared" si="11"/>
        <v>12.55</v>
      </c>
      <c r="L769" s="10" t="str">
        <f>IF(_xlfn.XLOOKUP(D769,product!$A:$A,product!$F:$F,,0)=0,"",_xlfn.XLOOKUP(D769,product!$A:$A,product!$F:$F,,0))</f>
        <v>Yes</v>
      </c>
      <c r="M769" t="str">
        <f>IF(_xlfn.XLOOKUP(D769,product!$A:$A,product!G:G,,0)=0,"",_xlfn.XLOOKUP(D769,product!$A:$A,product!G:G,,0))</f>
        <v>None</v>
      </c>
      <c r="N769" t="str">
        <f>IF(_xlfn.XLOOKUP(D769,product!$A:$A,product!$B:$B,,0)=0,"",_xlfn.XLOOKUP(D769,product!$A:$A,product!$B:$B,,0))</f>
        <v>Power Quantum</v>
      </c>
    </row>
    <row r="770" spans="1:14" x14ac:dyDescent="0.35">
      <c r="A770" t="s">
        <v>390</v>
      </c>
      <c r="B770" s="3">
        <v>45102</v>
      </c>
      <c r="C770" t="s">
        <v>1945</v>
      </c>
      <c r="D770" t="s">
        <v>6128</v>
      </c>
      <c r="E770">
        <v>1</v>
      </c>
      <c r="F770" t="str">
        <f>_xlfn.XLOOKUP(C770,customers!$A$1:$A$983,customers!$B$1:$B$983,,0)</f>
        <v>Kevin Allen</v>
      </c>
      <c r="G770" t="str">
        <f>_xlfn.XLOOKUP(C770,customers!$A:$A,customers!$C:$C,,0)</f>
        <v>kevin.allen243@gmail.com</v>
      </c>
      <c r="H770" t="str">
        <f>IF(_xlfn.XLOOKUP(C770,customers!$A:$A,customers!$G:$G,,0)=0,"",_xlfn.XLOOKUP(C770,customers!$A:$A,customers!$G:$G,,0))</f>
        <v>Germany</v>
      </c>
      <c r="I770" t="str">
        <f>IF(_xlfn.XLOOKUP(D770,product!$A:$A,product!$E:$E,,0)=0,"",_xlfn.XLOOKUP(D770,product!$A:$A,product!$E:$E,,0))</f>
        <v>HISTORY</v>
      </c>
      <c r="J770" s="5">
        <f>IF(_xlfn.XLOOKUP(D770,product!$A:$A,product!$D:$D,,0)=0,"",_xlfn.XLOOKUP(D770,product!$A:$A,product!$D:$D,,0))</f>
        <v>27.17</v>
      </c>
      <c r="K770" s="7">
        <f t="shared" si="11"/>
        <v>27.17</v>
      </c>
      <c r="L770" s="10" t="str">
        <f>IF(_xlfn.XLOOKUP(D770,product!$A:$A,product!$F:$F,,0)=0,"",_xlfn.XLOOKUP(D770,product!$A:$A,product!$F:$F,,0))</f>
        <v>Yes</v>
      </c>
      <c r="M770" t="str">
        <f>IF(_xlfn.XLOOKUP(D770,product!$A:$A,product!G:G,,0)=0,"",_xlfn.XLOOKUP(D770,product!$A:$A,product!G:G,,0))</f>
        <v>Gold</v>
      </c>
      <c r="N770" t="str">
        <f>IF(_xlfn.XLOOKUP(D770,product!$A:$A,product!$B:$B,,0)=0,"",_xlfn.XLOOKUP(D770,product!$A:$A,product!$B:$B,,0))</f>
        <v>Data Silent</v>
      </c>
    </row>
    <row r="771" spans="1:14" x14ac:dyDescent="0.35">
      <c r="A771" t="s">
        <v>407</v>
      </c>
      <c r="B771" s="3">
        <v>45549</v>
      </c>
      <c r="C771" t="s">
        <v>2081</v>
      </c>
      <c r="D771" t="s">
        <v>6129</v>
      </c>
      <c r="E771">
        <v>1</v>
      </c>
      <c r="F771" t="str">
        <f>_xlfn.XLOOKUP(C771,customers!$A$1:$A$983,customers!$B$1:$B$983,,0)</f>
        <v>Andrew Smith</v>
      </c>
      <c r="G771" t="str">
        <f>_xlfn.XLOOKUP(C771,customers!$A:$A,customers!$C:$C,,0)</f>
        <v>andrew.smith289@gmail.com</v>
      </c>
      <c r="H771" t="str">
        <f>IF(_xlfn.XLOOKUP(C771,customers!$A:$A,customers!$G:$G,,0)=0,"",_xlfn.XLOOKUP(C771,customers!$A:$A,customers!$G:$G,,0))</f>
        <v>USA</v>
      </c>
      <c r="I771" t="str">
        <f>IF(_xlfn.XLOOKUP(D771,product!$A:$A,product!$E:$E,,0)=0,"",_xlfn.XLOOKUP(D771,product!$A:$A,product!$E:$E,,0))</f>
        <v>HISTORY</v>
      </c>
      <c r="J771" s="5">
        <f>IF(_xlfn.XLOOKUP(D771,product!$A:$A,product!$D:$D,,0)=0,"",_xlfn.XLOOKUP(D771,product!$A:$A,product!$D:$D,,0))</f>
        <v>18.3</v>
      </c>
      <c r="K771" s="7">
        <f t="shared" ref="K771:K834" si="12">J771*E771</f>
        <v>18.3</v>
      </c>
      <c r="L771" s="10" t="str">
        <f>IF(_xlfn.XLOOKUP(D771,product!$A:$A,product!$F:$F,,0)=0,"",_xlfn.XLOOKUP(D771,product!$A:$A,product!$F:$F,,0))</f>
        <v>Yes</v>
      </c>
      <c r="M771" t="str">
        <f>IF(_xlfn.XLOOKUP(D771,product!$A:$A,product!G:G,,0)=0,"",_xlfn.XLOOKUP(D771,product!$A:$A,product!G:G,,0))</f>
        <v>None</v>
      </c>
      <c r="N771" t="str">
        <f>IF(_xlfn.XLOOKUP(D771,product!$A:$A,product!$B:$B,,0)=0,"",_xlfn.XLOOKUP(D771,product!$A:$A,product!$B:$B,,0))</f>
        <v>Forest Science</v>
      </c>
    </row>
    <row r="772" spans="1:14" x14ac:dyDescent="0.35">
      <c r="A772" t="s">
        <v>424</v>
      </c>
      <c r="B772" s="3">
        <v>45027</v>
      </c>
      <c r="C772" t="s">
        <v>1816</v>
      </c>
      <c r="D772" t="s">
        <v>6130</v>
      </c>
      <c r="E772">
        <v>1</v>
      </c>
      <c r="F772" t="str">
        <f>_xlfn.XLOOKUP(C772,customers!$A$1:$A$983,customers!$B$1:$B$983,,0)</f>
        <v>James Taylor</v>
      </c>
      <c r="G772" t="str">
        <f>_xlfn.XLOOKUP(C772,customers!$A:$A,customers!$C:$C,,0)</f>
        <v>james.taylor203@gmail.com</v>
      </c>
      <c r="H772" t="str">
        <f>IF(_xlfn.XLOOKUP(C772,customers!$A:$A,customers!$G:$G,,0)=0,"",_xlfn.XLOOKUP(C772,customers!$A:$A,customers!$G:$G,,0))</f>
        <v>Egypt</v>
      </c>
      <c r="I772" t="str">
        <f>IF(_xlfn.XLOOKUP(D772,product!$A:$A,product!$E:$E,,0)=0,"",_xlfn.XLOOKUP(D772,product!$A:$A,product!$E:$E,,0))</f>
        <v>BUSINESS</v>
      </c>
      <c r="J772" s="5">
        <f>IF(_xlfn.XLOOKUP(D772,product!$A:$A,product!$D:$D,,0)=0,"",_xlfn.XLOOKUP(D772,product!$A:$A,product!$D:$D,,0))</f>
        <v>32.590000000000003</v>
      </c>
      <c r="K772" s="7">
        <f t="shared" si="12"/>
        <v>32.590000000000003</v>
      </c>
      <c r="L772" s="10" t="str">
        <f>IF(_xlfn.XLOOKUP(D772,product!$A:$A,product!$F:$F,,0)=0,"",_xlfn.XLOOKUP(D772,product!$A:$A,product!$F:$F,,0))</f>
        <v>No</v>
      </c>
      <c r="M772" t="str">
        <f>IF(_xlfn.XLOOKUP(D772,product!$A:$A,product!G:G,,0)=0,"",_xlfn.XLOOKUP(D772,product!$A:$A,product!G:G,,0))</f>
        <v>None</v>
      </c>
      <c r="N772" t="str">
        <f>IF(_xlfn.XLOOKUP(D772,product!$A:$A,product!$B:$B,,0)=0,"",_xlfn.XLOOKUP(D772,product!$A:$A,product!$B:$B,,0))</f>
        <v>Silent Future</v>
      </c>
    </row>
    <row r="773" spans="1:14" x14ac:dyDescent="0.35">
      <c r="A773" t="s">
        <v>441</v>
      </c>
      <c r="B773" s="3">
        <v>45320</v>
      </c>
      <c r="C773" t="s">
        <v>3111</v>
      </c>
      <c r="D773" t="s">
        <v>6131</v>
      </c>
      <c r="E773">
        <v>1</v>
      </c>
      <c r="F773" t="str">
        <f>_xlfn.XLOOKUP(C773,customers!$A$1:$A$983,customers!$B$1:$B$983,,0)</f>
        <v>Sophia Brown</v>
      </c>
      <c r="G773" t="str">
        <f>_xlfn.XLOOKUP(C773,customers!$A:$A,customers!$C:$C,,0)</f>
        <v>sophia.brown768@hotmail.com</v>
      </c>
      <c r="H773" t="str">
        <f>IF(_xlfn.XLOOKUP(C773,customers!$A:$A,customers!$G:$G,,0)=0,"",_xlfn.XLOOKUP(C773,customers!$A:$A,customers!$G:$G,,0))</f>
        <v>Japan</v>
      </c>
      <c r="I773" t="str">
        <f>IF(_xlfn.XLOOKUP(D773,product!$A:$A,product!$E:$E,,0)=0,"",_xlfn.XLOOKUP(D773,product!$A:$A,product!$E:$E,,0))</f>
        <v>HISTORY</v>
      </c>
      <c r="J773" s="5">
        <f>IF(_xlfn.XLOOKUP(D773,product!$A:$A,product!$D:$D,,0)=0,"",_xlfn.XLOOKUP(D773,product!$A:$A,product!$D:$D,,0))</f>
        <v>21.75</v>
      </c>
      <c r="K773" s="7">
        <f t="shared" si="12"/>
        <v>21.75</v>
      </c>
      <c r="L773" s="10" t="str">
        <f>IF(_xlfn.XLOOKUP(D773,product!$A:$A,product!$F:$F,,0)=0,"",_xlfn.XLOOKUP(D773,product!$A:$A,product!$F:$F,,0))</f>
        <v>Yes</v>
      </c>
      <c r="M773" t="str">
        <f>IF(_xlfn.XLOOKUP(D773,product!$A:$A,product!G:G,,0)=0,"",_xlfn.XLOOKUP(D773,product!$A:$A,product!G:G,,0))</f>
        <v>None</v>
      </c>
      <c r="N773" t="str">
        <f>IF(_xlfn.XLOOKUP(D773,product!$A:$A,product!$B:$B,,0)=0,"",_xlfn.XLOOKUP(D773,product!$A:$A,product!$B:$B,,0))</f>
        <v>Science Journey</v>
      </c>
    </row>
    <row r="774" spans="1:14" x14ac:dyDescent="0.35">
      <c r="A774" t="s">
        <v>458</v>
      </c>
      <c r="B774" s="3">
        <v>45221</v>
      </c>
      <c r="C774" t="s">
        <v>1342</v>
      </c>
      <c r="D774" t="s">
        <v>6132</v>
      </c>
      <c r="E774">
        <v>1</v>
      </c>
      <c r="F774" t="str">
        <f>_xlfn.XLOOKUP(C774,customers!$A$1:$A$983,customers!$B$1:$B$983,,0)</f>
        <v>Amelia Harris</v>
      </c>
      <c r="G774" t="str">
        <f>_xlfn.XLOOKUP(C774,customers!$A:$A,customers!$C:$C,,0)</f>
        <v>amelia.harris75@outlook.com</v>
      </c>
      <c r="H774" t="str">
        <f>IF(_xlfn.XLOOKUP(C774,customers!$A:$A,customers!$G:$G,,0)=0,"",_xlfn.XLOOKUP(C774,customers!$A:$A,customers!$G:$G,,0))</f>
        <v>Japan</v>
      </c>
      <c r="I774" t="str">
        <f>IF(_xlfn.XLOOKUP(D774,product!$A:$A,product!$E:$E,,0)=0,"",_xlfn.XLOOKUP(D774,product!$A:$A,product!$E:$E,,0))</f>
        <v>TECH</v>
      </c>
      <c r="J774" s="5">
        <f>IF(_xlfn.XLOOKUP(D774,product!$A:$A,product!$D:$D,,0)=0,"",_xlfn.XLOOKUP(D774,product!$A:$A,product!$D:$D,,0))</f>
        <v>32.299999999999997</v>
      </c>
      <c r="K774" s="7">
        <f t="shared" si="12"/>
        <v>32.299999999999997</v>
      </c>
      <c r="L774" s="10" t="str">
        <f>IF(_xlfn.XLOOKUP(D774,product!$A:$A,product!$F:$F,,0)=0,"",_xlfn.XLOOKUP(D774,product!$A:$A,product!$F:$F,,0))</f>
        <v>Yes</v>
      </c>
      <c r="M774" t="str">
        <f>IF(_xlfn.XLOOKUP(D774,product!$A:$A,product!G:G,,0)=0,"",_xlfn.XLOOKUP(D774,product!$A:$A,product!G:G,,0))</f>
        <v>Gold</v>
      </c>
      <c r="N774" t="str">
        <f>IF(_xlfn.XLOOKUP(D774,product!$A:$A,product!$B:$B,,0)=0,"",_xlfn.XLOOKUP(D774,product!$A:$A,product!$B:$B,,0))</f>
        <v>Silent Power</v>
      </c>
    </row>
    <row r="775" spans="1:14" x14ac:dyDescent="0.35">
      <c r="A775" t="s">
        <v>475</v>
      </c>
      <c r="B775" s="3">
        <v>45608</v>
      </c>
      <c r="C775" t="s">
        <v>1392</v>
      </c>
      <c r="D775" t="s">
        <v>6133</v>
      </c>
      <c r="E775">
        <v>1</v>
      </c>
      <c r="F775" t="str">
        <f>_xlfn.XLOOKUP(C775,customers!$A$1:$A$983,customers!$B$1:$B$983,,0)</f>
        <v>Amelia Martin</v>
      </c>
      <c r="G775" t="str">
        <f>_xlfn.XLOOKUP(C775,customers!$A:$A,customers!$C:$C,,0)</f>
        <v>amelia.martin90@yahoo.com</v>
      </c>
      <c r="H775" t="str">
        <f>IF(_xlfn.XLOOKUP(C775,customers!$A:$A,customers!$G:$G,,0)=0,"",_xlfn.XLOOKUP(C775,customers!$A:$A,customers!$G:$G,,0))</f>
        <v>Germany</v>
      </c>
      <c r="I775" t="str">
        <f>IF(_xlfn.XLOOKUP(D775,product!$A:$A,product!$E:$E,,0)=0,"",_xlfn.XLOOKUP(D775,product!$A:$A,product!$E:$E,,0))</f>
        <v>TECH</v>
      </c>
      <c r="J775" s="5">
        <f>IF(_xlfn.XLOOKUP(D775,product!$A:$A,product!$D:$D,,0)=0,"",_xlfn.XLOOKUP(D775,product!$A:$A,product!$D:$D,,0))</f>
        <v>29.47</v>
      </c>
      <c r="K775" s="7">
        <f t="shared" si="12"/>
        <v>29.47</v>
      </c>
      <c r="L775" s="10" t="str">
        <f>IF(_xlfn.XLOOKUP(D775,product!$A:$A,product!$F:$F,,0)=0,"",_xlfn.XLOOKUP(D775,product!$A:$A,product!$F:$F,,0))</f>
        <v>Yes</v>
      </c>
      <c r="M775" t="str">
        <f>IF(_xlfn.XLOOKUP(D775,product!$A:$A,product!G:G,,0)=0,"",_xlfn.XLOOKUP(D775,product!$A:$A,product!G:G,,0))</f>
        <v>Gold</v>
      </c>
      <c r="N775" t="str">
        <f>IF(_xlfn.XLOOKUP(D775,product!$A:$A,product!$B:$B,,0)=0,"",_xlfn.XLOOKUP(D775,product!$A:$A,product!$B:$B,,0))</f>
        <v>Journey Power</v>
      </c>
    </row>
    <row r="776" spans="1:14" x14ac:dyDescent="0.35">
      <c r="A776" t="s">
        <v>492</v>
      </c>
      <c r="B776" s="3">
        <v>45265</v>
      </c>
      <c r="C776" t="s">
        <v>2708</v>
      </c>
      <c r="D776" t="s">
        <v>6134</v>
      </c>
      <c r="E776">
        <v>1</v>
      </c>
      <c r="F776" t="str">
        <f>_xlfn.XLOOKUP(C776,customers!$A$1:$A$983,customers!$B$1:$B$983,,0)</f>
        <v>Steven Johnson</v>
      </c>
      <c r="G776" t="str">
        <f>_xlfn.XLOOKUP(C776,customers!$A:$A,customers!$C:$C,,0)</f>
        <v>steven.johnson572@outlook.com</v>
      </c>
      <c r="H776" t="str">
        <f>IF(_xlfn.XLOOKUP(C776,customers!$A:$A,customers!$G:$G,,0)=0,"",_xlfn.XLOOKUP(C776,customers!$A:$A,customers!$G:$G,,0))</f>
        <v>Egypt</v>
      </c>
      <c r="I776" t="str">
        <f>IF(_xlfn.XLOOKUP(D776,product!$A:$A,product!$E:$E,,0)=0,"",_xlfn.XLOOKUP(D776,product!$A:$A,product!$E:$E,,0))</f>
        <v>TECH</v>
      </c>
      <c r="J776" s="5">
        <f>IF(_xlfn.XLOOKUP(D776,product!$A:$A,product!$D:$D,,0)=0,"",_xlfn.XLOOKUP(D776,product!$A:$A,product!$D:$D,,0))</f>
        <v>31.83</v>
      </c>
      <c r="K776" s="7">
        <f t="shared" si="12"/>
        <v>31.83</v>
      </c>
      <c r="L776" s="10" t="str">
        <f>IF(_xlfn.XLOOKUP(D776,product!$A:$A,product!$F:$F,,0)=0,"",_xlfn.XLOOKUP(D776,product!$A:$A,product!$F:$F,,0))</f>
        <v>Yes</v>
      </c>
      <c r="M776" t="str">
        <f>IF(_xlfn.XLOOKUP(D776,product!$A:$A,product!G:G,,0)=0,"",_xlfn.XLOOKUP(D776,product!$A:$A,product!G:G,,0))</f>
        <v>Gold</v>
      </c>
      <c r="N776" t="str">
        <f>IF(_xlfn.XLOOKUP(D776,product!$A:$A,product!$B:$B,,0)=0,"",_xlfn.XLOOKUP(D776,product!$A:$A,product!$B:$B,,0))</f>
        <v>Silent Secrets</v>
      </c>
    </row>
    <row r="777" spans="1:14" x14ac:dyDescent="0.35">
      <c r="A777" t="s">
        <v>509</v>
      </c>
      <c r="B777" s="3">
        <v>45370</v>
      </c>
      <c r="C777" t="s">
        <v>3273</v>
      </c>
      <c r="D777" t="s">
        <v>6135</v>
      </c>
      <c r="E777">
        <v>1</v>
      </c>
      <c r="F777" t="str">
        <f>_xlfn.XLOOKUP(C777,customers!$A$1:$A$983,customers!$B$1:$B$983,,0)</f>
        <v>William Martinez</v>
      </c>
      <c r="G777" t="str">
        <f>_xlfn.XLOOKUP(C777,customers!$A:$A,customers!$C:$C,,0)</f>
        <v>william.martinez850@gmail.com</v>
      </c>
      <c r="H777" t="str">
        <f>IF(_xlfn.XLOOKUP(C777,customers!$A:$A,customers!$G:$G,,0)=0,"",_xlfn.XLOOKUP(C777,customers!$A:$A,customers!$G:$G,,0))</f>
        <v>Croatia</v>
      </c>
      <c r="I777" t="str">
        <f>IF(_xlfn.XLOOKUP(D777,product!$A:$A,product!$E:$E,,0)=0,"",_xlfn.XLOOKUP(D777,product!$A:$A,product!$E:$E,,0))</f>
        <v>TECH</v>
      </c>
      <c r="J777" s="5">
        <f>IF(_xlfn.XLOOKUP(D777,product!$A:$A,product!$D:$D,,0)=0,"",_xlfn.XLOOKUP(D777,product!$A:$A,product!$D:$D,,0))</f>
        <v>39.520000000000003</v>
      </c>
      <c r="K777" s="7">
        <f t="shared" si="12"/>
        <v>39.520000000000003</v>
      </c>
      <c r="L777" s="10" t="str">
        <f>IF(_xlfn.XLOOKUP(D777,product!$A:$A,product!$F:$F,,0)=0,"",_xlfn.XLOOKUP(D777,product!$A:$A,product!$F:$F,,0))</f>
        <v>No</v>
      </c>
      <c r="M777" t="str">
        <f>IF(_xlfn.XLOOKUP(D777,product!$A:$A,product!G:G,,0)=0,"",_xlfn.XLOOKUP(D777,product!$A:$A,product!G:G,,0))</f>
        <v>None</v>
      </c>
      <c r="N777" t="str">
        <f>IF(_xlfn.XLOOKUP(D777,product!$A:$A,product!$B:$B,,0)=0,"",_xlfn.XLOOKUP(D777,product!$A:$A,product!$B:$B,,0))</f>
        <v>Journey Science</v>
      </c>
    </row>
    <row r="778" spans="1:14" x14ac:dyDescent="0.35">
      <c r="A778" t="s">
        <v>526</v>
      </c>
      <c r="B778" s="3">
        <v>44985</v>
      </c>
      <c r="C778" t="s">
        <v>2497</v>
      </c>
      <c r="D778" t="s">
        <v>6136</v>
      </c>
      <c r="E778">
        <v>1</v>
      </c>
      <c r="F778" t="str">
        <f>_xlfn.XLOOKUP(C778,customers!$A$1:$A$983,customers!$B$1:$B$983,,0)</f>
        <v>Ella White</v>
      </c>
      <c r="G778" t="str">
        <f>_xlfn.XLOOKUP(C778,customers!$A:$A,customers!$C:$C,,0)</f>
        <v>ella.white470@hotmail.com</v>
      </c>
      <c r="H778" t="str">
        <f>IF(_xlfn.XLOOKUP(C778,customers!$A:$A,customers!$G:$G,,0)=0,"",_xlfn.XLOOKUP(C778,customers!$A:$A,customers!$G:$G,,0))</f>
        <v>Pakistan</v>
      </c>
      <c r="I778" t="str">
        <f>IF(_xlfn.XLOOKUP(D778,product!$A:$A,product!$E:$E,,0)=0,"",_xlfn.XLOOKUP(D778,product!$A:$A,product!$E:$E,,0))</f>
        <v>SCIENCE</v>
      </c>
      <c r="J778" s="5">
        <f>IF(_xlfn.XLOOKUP(D778,product!$A:$A,product!$D:$D,,0)=0,"",_xlfn.XLOOKUP(D778,product!$A:$A,product!$D:$D,,0))</f>
        <v>37.65</v>
      </c>
      <c r="K778" s="7">
        <f t="shared" si="12"/>
        <v>37.65</v>
      </c>
      <c r="L778" s="10" t="str">
        <f>IF(_xlfn.XLOOKUP(D778,product!$A:$A,product!$F:$F,,0)=0,"",_xlfn.XLOOKUP(D778,product!$A:$A,product!$F:$F,,0))</f>
        <v>No</v>
      </c>
      <c r="M778" t="str">
        <f>IF(_xlfn.XLOOKUP(D778,product!$A:$A,product!G:G,,0)=0,"",_xlfn.XLOOKUP(D778,product!$A:$A,product!G:G,,0))</f>
        <v>None</v>
      </c>
      <c r="N778" t="str">
        <f>IF(_xlfn.XLOOKUP(D778,product!$A:$A,product!$B:$B,,0)=0,"",_xlfn.XLOOKUP(D778,product!$A:$A,product!$B:$B,,0))</f>
        <v>Mind Silent</v>
      </c>
    </row>
    <row r="779" spans="1:14" x14ac:dyDescent="0.35">
      <c r="A779" t="s">
        <v>543</v>
      </c>
      <c r="B779" s="3">
        <v>45448</v>
      </c>
      <c r="C779" t="s">
        <v>2908</v>
      </c>
      <c r="D779" t="s">
        <v>6137</v>
      </c>
      <c r="E779">
        <v>1</v>
      </c>
      <c r="F779" t="str">
        <f>_xlfn.XLOOKUP(C779,customers!$A$1:$A$983,customers!$B$1:$B$983,,0)</f>
        <v>Isabella Jackson</v>
      </c>
      <c r="G779" t="str">
        <f>_xlfn.XLOOKUP(C779,customers!$A:$A,customers!$C:$C,,0)</f>
        <v>isabella.jackson669@yahoo.com</v>
      </c>
      <c r="H779" t="str">
        <f>IF(_xlfn.XLOOKUP(C779,customers!$A:$A,customers!$G:$G,,0)=0,"",_xlfn.XLOOKUP(C779,customers!$A:$A,customers!$G:$G,,0))</f>
        <v>Japan</v>
      </c>
      <c r="I779" t="str">
        <f>IF(_xlfn.XLOOKUP(D779,product!$A:$A,product!$E:$E,,0)=0,"",_xlfn.XLOOKUP(D779,product!$A:$A,product!$E:$E,,0))</f>
        <v>HISTORY</v>
      </c>
      <c r="J779" s="5">
        <f>IF(_xlfn.XLOOKUP(D779,product!$A:$A,product!$D:$D,,0)=0,"",_xlfn.XLOOKUP(D779,product!$A:$A,product!$D:$D,,0))</f>
        <v>32.72</v>
      </c>
      <c r="K779" s="7">
        <f t="shared" si="12"/>
        <v>32.72</v>
      </c>
      <c r="L779" s="10" t="str">
        <f>IF(_xlfn.XLOOKUP(D779,product!$A:$A,product!$F:$F,,0)=0,"",_xlfn.XLOOKUP(D779,product!$A:$A,product!$F:$F,,0))</f>
        <v>Yes</v>
      </c>
      <c r="M779" t="str">
        <f>IF(_xlfn.XLOOKUP(D779,product!$A:$A,product!G:G,,0)=0,"",_xlfn.XLOOKUP(D779,product!$A:$A,product!G:G,,0))</f>
        <v>Silver</v>
      </c>
      <c r="N779" t="str">
        <f>IF(_xlfn.XLOOKUP(D779,product!$A:$A,product!$B:$B,,0)=0,"",_xlfn.XLOOKUP(D779,product!$A:$A,product!$B:$B,,0))</f>
        <v>Secrets Journey</v>
      </c>
    </row>
    <row r="780" spans="1:14" x14ac:dyDescent="0.35">
      <c r="A780" t="s">
        <v>560</v>
      </c>
      <c r="B780" s="3">
        <v>45055</v>
      </c>
      <c r="C780" t="s">
        <v>2884</v>
      </c>
      <c r="D780" t="s">
        <v>6138</v>
      </c>
      <c r="E780">
        <v>1</v>
      </c>
      <c r="F780" t="str">
        <f>_xlfn.XLOOKUP(C780,customers!$A$1:$A$983,customers!$B$1:$B$983,,0)</f>
        <v>James Brown</v>
      </c>
      <c r="G780" t="str">
        <f>_xlfn.XLOOKUP(C780,customers!$A:$A,customers!$C:$C,,0)</f>
        <v>james.brown657@hotmail.com</v>
      </c>
      <c r="H780" t="str">
        <f>IF(_xlfn.XLOOKUP(C780,customers!$A:$A,customers!$G:$G,,0)=0,"",_xlfn.XLOOKUP(C780,customers!$A:$A,customers!$G:$G,,0))</f>
        <v>Germany</v>
      </c>
      <c r="I780" t="str">
        <f>IF(_xlfn.XLOOKUP(D780,product!$A:$A,product!$E:$E,,0)=0,"",_xlfn.XLOOKUP(D780,product!$A:$A,product!$E:$E,,0))</f>
        <v>FICTION</v>
      </c>
      <c r="J780" s="5">
        <f>IF(_xlfn.XLOOKUP(D780,product!$A:$A,product!$D:$D,,0)=0,"",_xlfn.XLOOKUP(D780,product!$A:$A,product!$D:$D,,0))</f>
        <v>25.82</v>
      </c>
      <c r="K780" s="7">
        <f t="shared" si="12"/>
        <v>25.82</v>
      </c>
      <c r="L780" s="10" t="str">
        <f>IF(_xlfn.XLOOKUP(D780,product!$A:$A,product!$F:$F,,0)=0,"",_xlfn.XLOOKUP(D780,product!$A:$A,product!$F:$F,,0))</f>
        <v>Yes</v>
      </c>
      <c r="M780" t="str">
        <f>IF(_xlfn.XLOOKUP(D780,product!$A:$A,product!G:G,,0)=0,"",_xlfn.XLOOKUP(D780,product!$A:$A,product!G:G,,0))</f>
        <v>None</v>
      </c>
      <c r="N780" t="str">
        <f>IF(_xlfn.XLOOKUP(D780,product!$A:$A,product!$B:$B,,0)=0,"",_xlfn.XLOOKUP(D780,product!$A:$A,product!$B:$B,,0))</f>
        <v>Quantum Power</v>
      </c>
    </row>
    <row r="781" spans="1:14" x14ac:dyDescent="0.35">
      <c r="A781" t="s">
        <v>577</v>
      </c>
      <c r="B781" s="3">
        <v>45592</v>
      </c>
      <c r="C781" t="s">
        <v>2970</v>
      </c>
      <c r="D781" t="s">
        <v>6139</v>
      </c>
      <c r="E781">
        <v>1</v>
      </c>
      <c r="F781" t="str">
        <f>_xlfn.XLOOKUP(C781,customers!$A$1:$A$983,customers!$B$1:$B$983,,0)</f>
        <v>Grace Green</v>
      </c>
      <c r="G781" t="str">
        <f>_xlfn.XLOOKUP(C781,customers!$A:$A,customers!$C:$C,,0)</f>
        <v>grace.green699@gmail.com</v>
      </c>
      <c r="H781" t="str">
        <f>IF(_xlfn.XLOOKUP(C781,customers!$A:$A,customers!$G:$G,,0)=0,"",_xlfn.XLOOKUP(C781,customers!$A:$A,customers!$G:$G,,0))</f>
        <v>Spain</v>
      </c>
      <c r="I781" t="str">
        <f>IF(_xlfn.XLOOKUP(D781,product!$A:$A,product!$E:$E,,0)=0,"",_xlfn.XLOOKUP(D781,product!$A:$A,product!$E:$E,,0))</f>
        <v>FICTION</v>
      </c>
      <c r="J781" s="5">
        <f>IF(_xlfn.XLOOKUP(D781,product!$A:$A,product!$D:$D,,0)=0,"",_xlfn.XLOOKUP(D781,product!$A:$A,product!$D:$D,,0))</f>
        <v>23.61</v>
      </c>
      <c r="K781" s="7">
        <f t="shared" si="12"/>
        <v>23.61</v>
      </c>
      <c r="L781" s="10" t="str">
        <f>IF(_xlfn.XLOOKUP(D781,product!$A:$A,product!$F:$F,,0)=0,"",_xlfn.XLOOKUP(D781,product!$A:$A,product!$F:$F,,0))</f>
        <v>Yes</v>
      </c>
      <c r="M781" t="str">
        <f>IF(_xlfn.XLOOKUP(D781,product!$A:$A,product!G:G,,0)=0,"",_xlfn.XLOOKUP(D781,product!$A:$A,product!G:G,,0))</f>
        <v>Gold</v>
      </c>
      <c r="N781" t="str">
        <f>IF(_xlfn.XLOOKUP(D781,product!$A:$A,product!$B:$B,,0)=0,"",_xlfn.XLOOKUP(D781,product!$A:$A,product!$B:$B,,0))</f>
        <v>Data Forest</v>
      </c>
    </row>
    <row r="782" spans="1:14" x14ac:dyDescent="0.35">
      <c r="A782" t="s">
        <v>594</v>
      </c>
      <c r="B782" s="3">
        <v>45112</v>
      </c>
      <c r="C782" t="s">
        <v>3350</v>
      </c>
      <c r="D782" t="s">
        <v>6140</v>
      </c>
      <c r="E782">
        <v>1</v>
      </c>
      <c r="F782" t="str">
        <f>_xlfn.XLOOKUP(C782,customers!$A$1:$A$983,customers!$B$1:$B$983,,0)</f>
        <v>Mia Thomas</v>
      </c>
      <c r="G782" t="str">
        <f>_xlfn.XLOOKUP(C782,customers!$A:$A,customers!$C:$C,,0)</f>
        <v>mia.thomas889@hotmail.com</v>
      </c>
      <c r="H782" t="str">
        <f>IF(_xlfn.XLOOKUP(C782,customers!$A:$A,customers!$G:$G,,0)=0,"",_xlfn.XLOOKUP(C782,customers!$A:$A,customers!$G:$G,,0))</f>
        <v>Japan</v>
      </c>
      <c r="I782" t="str">
        <f>IF(_xlfn.XLOOKUP(D782,product!$A:$A,product!$E:$E,,0)=0,"",_xlfn.XLOOKUP(D782,product!$A:$A,product!$E:$E,,0))</f>
        <v>FICTION</v>
      </c>
      <c r="J782" s="5">
        <f>IF(_xlfn.XLOOKUP(D782,product!$A:$A,product!$D:$D,,0)=0,"",_xlfn.XLOOKUP(D782,product!$A:$A,product!$D:$D,,0))</f>
        <v>11.96</v>
      </c>
      <c r="K782" s="7">
        <f t="shared" si="12"/>
        <v>11.96</v>
      </c>
      <c r="L782" s="10" t="str">
        <f>IF(_xlfn.XLOOKUP(D782,product!$A:$A,product!$F:$F,,0)=0,"",_xlfn.XLOOKUP(D782,product!$A:$A,product!$F:$F,,0))</f>
        <v>No</v>
      </c>
      <c r="M782" t="str">
        <f>IF(_xlfn.XLOOKUP(D782,product!$A:$A,product!G:G,,0)=0,"",_xlfn.XLOOKUP(D782,product!$A:$A,product!G:G,,0))</f>
        <v>None</v>
      </c>
      <c r="N782" t="str">
        <f>IF(_xlfn.XLOOKUP(D782,product!$A:$A,product!$B:$B,,0)=0,"",_xlfn.XLOOKUP(D782,product!$A:$A,product!$B:$B,,0))</f>
        <v>Science Future</v>
      </c>
    </row>
    <row r="783" spans="1:14" x14ac:dyDescent="0.35">
      <c r="A783" t="s">
        <v>611</v>
      </c>
      <c r="B783" s="3">
        <v>45523</v>
      </c>
      <c r="C783" t="s">
        <v>1791</v>
      </c>
      <c r="D783" t="s">
        <v>6141</v>
      </c>
      <c r="E783">
        <v>1</v>
      </c>
      <c r="F783" t="str">
        <f>_xlfn.XLOOKUP(C783,customers!$A$1:$A$983,customers!$B$1:$B$983,,0)</f>
        <v>Hannah White</v>
      </c>
      <c r="G783" t="str">
        <f>_xlfn.XLOOKUP(C783,customers!$A:$A,customers!$C:$C,,0)</f>
        <v>hannah.white196@yahoo.com</v>
      </c>
      <c r="H783" t="str">
        <f>IF(_xlfn.XLOOKUP(C783,customers!$A:$A,customers!$G:$G,,0)=0,"",_xlfn.XLOOKUP(C783,customers!$A:$A,customers!$G:$G,,0))</f>
        <v>Japan</v>
      </c>
      <c r="I783" t="str">
        <f>IF(_xlfn.XLOOKUP(D783,product!$A:$A,product!$E:$E,,0)=0,"",_xlfn.XLOOKUP(D783,product!$A:$A,product!$E:$E,,0))</f>
        <v>TECH</v>
      </c>
      <c r="J783" s="5">
        <f>IF(_xlfn.XLOOKUP(D783,product!$A:$A,product!$D:$D,,0)=0,"",_xlfn.XLOOKUP(D783,product!$A:$A,product!$D:$D,,0))</f>
        <v>18.84</v>
      </c>
      <c r="K783" s="7">
        <f t="shared" si="12"/>
        <v>18.84</v>
      </c>
      <c r="L783" s="10" t="str">
        <f>IF(_xlfn.XLOOKUP(D783,product!$A:$A,product!$F:$F,,0)=0,"",_xlfn.XLOOKUP(D783,product!$A:$A,product!$F:$F,,0))</f>
        <v>Yes</v>
      </c>
      <c r="M783" t="str">
        <f>IF(_xlfn.XLOOKUP(D783,product!$A:$A,product!G:G,,0)=0,"",_xlfn.XLOOKUP(D783,product!$A:$A,product!G:G,,0))</f>
        <v>Gold</v>
      </c>
      <c r="N783" t="str">
        <f>IF(_xlfn.XLOOKUP(D783,product!$A:$A,product!$B:$B,,0)=0,"",_xlfn.XLOOKUP(D783,product!$A:$A,product!$B:$B,,0))</f>
        <v>Power Silent</v>
      </c>
    </row>
    <row r="784" spans="1:14" x14ac:dyDescent="0.35">
      <c r="A784" t="s">
        <v>628</v>
      </c>
      <c r="B784" s="3">
        <v>44934</v>
      </c>
      <c r="C784" t="s">
        <v>2038</v>
      </c>
      <c r="D784" t="s">
        <v>6142</v>
      </c>
      <c r="E784">
        <v>1</v>
      </c>
      <c r="F784" t="str">
        <f>_xlfn.XLOOKUP(C784,customers!$A$1:$A$983,customers!$B$1:$B$983,,0)</f>
        <v>Anna Green</v>
      </c>
      <c r="G784" t="str">
        <f>_xlfn.XLOOKUP(C784,customers!$A:$A,customers!$C:$C,,0)</f>
        <v>anna.green274@gmail.com</v>
      </c>
      <c r="H784" t="str">
        <f>IF(_xlfn.XLOOKUP(C784,customers!$A:$A,customers!$G:$G,,0)=0,"",_xlfn.XLOOKUP(C784,customers!$A:$A,customers!$G:$G,,0))</f>
        <v>Sweden</v>
      </c>
      <c r="I784" t="str">
        <f>IF(_xlfn.XLOOKUP(D784,product!$A:$A,product!$E:$E,,0)=0,"",_xlfn.XLOOKUP(D784,product!$A:$A,product!$E:$E,,0))</f>
        <v>BUSINESS</v>
      </c>
      <c r="J784" s="5">
        <f>IF(_xlfn.XLOOKUP(D784,product!$A:$A,product!$D:$D,,0)=0,"",_xlfn.XLOOKUP(D784,product!$A:$A,product!$D:$D,,0))</f>
        <v>28.77</v>
      </c>
      <c r="K784" s="7">
        <f t="shared" si="12"/>
        <v>28.77</v>
      </c>
      <c r="L784" s="10" t="str">
        <f>IF(_xlfn.XLOOKUP(D784,product!$A:$A,product!$F:$F,,0)=0,"",_xlfn.XLOOKUP(D784,product!$A:$A,product!$F:$F,,0))</f>
        <v>Yes</v>
      </c>
      <c r="M784" t="str">
        <f>IF(_xlfn.XLOOKUP(D784,product!$A:$A,product!G:G,,0)=0,"",_xlfn.XLOOKUP(D784,product!$A:$A,product!G:G,,0))</f>
        <v>Gold</v>
      </c>
      <c r="N784" t="str">
        <f>IF(_xlfn.XLOOKUP(D784,product!$A:$A,product!$B:$B,,0)=0,"",_xlfn.XLOOKUP(D784,product!$A:$A,product!$B:$B,,0))</f>
        <v>Power Future</v>
      </c>
    </row>
    <row r="785" spans="1:14" x14ac:dyDescent="0.35">
      <c r="A785" t="s">
        <v>645</v>
      </c>
      <c r="B785" s="3">
        <v>45404</v>
      </c>
      <c r="C785" t="s">
        <v>3307</v>
      </c>
      <c r="D785" t="s">
        <v>6143</v>
      </c>
      <c r="E785">
        <v>1</v>
      </c>
      <c r="F785" t="str">
        <f>_xlfn.XLOOKUP(C785,customers!$A$1:$A$983,customers!$B$1:$B$983,,0)</f>
        <v>Zoe Thompson</v>
      </c>
      <c r="G785" t="str">
        <f>_xlfn.XLOOKUP(C785,customers!$A:$A,customers!$C:$C,,0)</f>
        <v>zoe.thompson867@hotmail.com</v>
      </c>
      <c r="H785" t="str">
        <f>IF(_xlfn.XLOOKUP(C785,customers!$A:$A,customers!$G:$G,,0)=0,"",_xlfn.XLOOKUP(C785,customers!$A:$A,customers!$G:$G,,0))</f>
        <v>Singapore</v>
      </c>
      <c r="I785" t="str">
        <f>IF(_xlfn.XLOOKUP(D785,product!$A:$A,product!$E:$E,,0)=0,"",_xlfn.XLOOKUP(D785,product!$A:$A,product!$E:$E,,0))</f>
        <v>FICTION</v>
      </c>
      <c r="J785" s="5">
        <f>IF(_xlfn.XLOOKUP(D785,product!$A:$A,product!$D:$D,,0)=0,"",_xlfn.XLOOKUP(D785,product!$A:$A,product!$D:$D,,0))</f>
        <v>24.73</v>
      </c>
      <c r="K785" s="7">
        <f t="shared" si="12"/>
        <v>24.73</v>
      </c>
      <c r="L785" s="10" t="str">
        <f>IF(_xlfn.XLOOKUP(D785,product!$A:$A,product!$F:$F,,0)=0,"",_xlfn.XLOOKUP(D785,product!$A:$A,product!$F:$F,,0))</f>
        <v>No</v>
      </c>
      <c r="M785" t="str">
        <f>IF(_xlfn.XLOOKUP(D785,product!$A:$A,product!G:G,,0)=0,"",_xlfn.XLOOKUP(D785,product!$A:$A,product!G:G,,0))</f>
        <v>Gold</v>
      </c>
      <c r="N785" t="str">
        <f>IF(_xlfn.XLOOKUP(D785,product!$A:$A,product!$B:$B,,0)=0,"",_xlfn.XLOOKUP(D785,product!$A:$A,product!$B:$B,,0))</f>
        <v>Power Silent</v>
      </c>
    </row>
    <row r="786" spans="1:14" x14ac:dyDescent="0.35">
      <c r="A786" t="s">
        <v>662</v>
      </c>
      <c r="B786" s="3">
        <v>45186</v>
      </c>
      <c r="C786" t="s">
        <v>2559</v>
      </c>
      <c r="D786" t="s">
        <v>6144</v>
      </c>
      <c r="E786">
        <v>1</v>
      </c>
      <c r="F786" t="str">
        <f>_xlfn.XLOOKUP(C786,customers!$A$1:$A$983,customers!$B$1:$B$983,,0)</f>
        <v>Brian Thompson</v>
      </c>
      <c r="G786" t="str">
        <f>_xlfn.XLOOKUP(C786,customers!$A:$A,customers!$C:$C,,0)</f>
        <v>brian.thompson500@gmail.com</v>
      </c>
      <c r="H786" t="str">
        <f>IF(_xlfn.XLOOKUP(C786,customers!$A:$A,customers!$G:$G,,0)=0,"",_xlfn.XLOOKUP(C786,customers!$A:$A,customers!$G:$G,,0))</f>
        <v>Egypt</v>
      </c>
      <c r="I786" t="str">
        <f>IF(_xlfn.XLOOKUP(D786,product!$A:$A,product!$E:$E,,0)=0,"",_xlfn.XLOOKUP(D786,product!$A:$A,product!$E:$E,,0))</f>
        <v>TECH</v>
      </c>
      <c r="J786" s="5">
        <f>IF(_xlfn.XLOOKUP(D786,product!$A:$A,product!$D:$D,,0)=0,"",_xlfn.XLOOKUP(D786,product!$A:$A,product!$D:$D,,0))</f>
        <v>22.24</v>
      </c>
      <c r="K786" s="7">
        <f t="shared" si="12"/>
        <v>22.24</v>
      </c>
      <c r="L786" s="10" t="str">
        <f>IF(_xlfn.XLOOKUP(D786,product!$A:$A,product!$F:$F,,0)=0,"",_xlfn.XLOOKUP(D786,product!$A:$A,product!$F:$F,,0))</f>
        <v>Yes</v>
      </c>
      <c r="M786" t="str">
        <f>IF(_xlfn.XLOOKUP(D786,product!$A:$A,product!G:G,,0)=0,"",_xlfn.XLOOKUP(D786,product!$A:$A,product!G:G,,0))</f>
        <v>Platinum</v>
      </c>
      <c r="N786" t="str">
        <f>IF(_xlfn.XLOOKUP(D786,product!$A:$A,product!$B:$B,,0)=0,"",_xlfn.XLOOKUP(D786,product!$A:$A,product!$B:$B,,0))</f>
        <v>Journey Data</v>
      </c>
    </row>
    <row r="787" spans="1:14" x14ac:dyDescent="0.35">
      <c r="A787" t="s">
        <v>679</v>
      </c>
      <c r="B787" s="3">
        <v>45654</v>
      </c>
      <c r="C787" t="s">
        <v>2499</v>
      </c>
      <c r="D787" t="s">
        <v>6145</v>
      </c>
      <c r="E787">
        <v>1</v>
      </c>
      <c r="F787" t="str">
        <f>_xlfn.XLOOKUP(C787,customers!$A$1:$A$983,customers!$B$1:$B$983,,0)</f>
        <v>Ava Lee</v>
      </c>
      <c r="G787" t="str">
        <f>_xlfn.XLOOKUP(C787,customers!$A:$A,customers!$C:$C,,0)</f>
        <v>ava.lee471@outlook.com</v>
      </c>
      <c r="H787" t="str">
        <f>IF(_xlfn.XLOOKUP(C787,customers!$A:$A,customers!$G:$G,,0)=0,"",_xlfn.XLOOKUP(C787,customers!$A:$A,customers!$G:$G,,0))</f>
        <v>Japan</v>
      </c>
      <c r="I787" t="str">
        <f>IF(_xlfn.XLOOKUP(D787,product!$A:$A,product!$E:$E,,0)=0,"",_xlfn.XLOOKUP(D787,product!$A:$A,product!$E:$E,,0))</f>
        <v>TECH</v>
      </c>
      <c r="J787" s="5">
        <f>IF(_xlfn.XLOOKUP(D787,product!$A:$A,product!$D:$D,,0)=0,"",_xlfn.XLOOKUP(D787,product!$A:$A,product!$D:$D,,0))</f>
        <v>24.16</v>
      </c>
      <c r="K787" s="7">
        <f t="shared" si="12"/>
        <v>24.16</v>
      </c>
      <c r="L787" s="10" t="str">
        <f>IF(_xlfn.XLOOKUP(D787,product!$A:$A,product!$F:$F,,0)=0,"",_xlfn.XLOOKUP(D787,product!$A:$A,product!$F:$F,,0))</f>
        <v>No</v>
      </c>
      <c r="M787" t="str">
        <f>IF(_xlfn.XLOOKUP(D787,product!$A:$A,product!G:G,,0)=0,"",_xlfn.XLOOKUP(D787,product!$A:$A,product!G:G,,0))</f>
        <v>None</v>
      </c>
      <c r="N787" t="str">
        <f>IF(_xlfn.XLOOKUP(D787,product!$A:$A,product!$B:$B,,0)=0,"",_xlfn.XLOOKUP(D787,product!$A:$A,product!$B:$B,,0))</f>
        <v>Future Secrets</v>
      </c>
    </row>
    <row r="788" spans="1:14" x14ac:dyDescent="0.35">
      <c r="A788" t="s">
        <v>696</v>
      </c>
      <c r="B788" s="3">
        <v>44996</v>
      </c>
      <c r="C788" t="s">
        <v>2740</v>
      </c>
      <c r="D788" t="s">
        <v>6146</v>
      </c>
      <c r="E788">
        <v>1</v>
      </c>
      <c r="F788" t="str">
        <f>_xlfn.XLOOKUP(C788,customers!$A$1:$A$983,customers!$B$1:$B$983,,0)</f>
        <v>Mia King</v>
      </c>
      <c r="G788" t="str">
        <f>_xlfn.XLOOKUP(C788,customers!$A:$A,customers!$C:$C,,0)</f>
        <v>mia.king587@yahoo.com</v>
      </c>
      <c r="H788" t="str">
        <f>IF(_xlfn.XLOOKUP(C788,customers!$A:$A,customers!$G:$G,,0)=0,"",_xlfn.XLOOKUP(C788,customers!$A:$A,customers!$G:$G,,0))</f>
        <v>Pakistan</v>
      </c>
      <c r="I788" t="str">
        <f>IF(_xlfn.XLOOKUP(D788,product!$A:$A,product!$E:$E,,0)=0,"",_xlfn.XLOOKUP(D788,product!$A:$A,product!$E:$E,,0))</f>
        <v>BUSINESS</v>
      </c>
      <c r="J788" s="5">
        <f>IF(_xlfn.XLOOKUP(D788,product!$A:$A,product!$D:$D,,0)=0,"",_xlfn.XLOOKUP(D788,product!$A:$A,product!$D:$D,,0))</f>
        <v>19.489999999999998</v>
      </c>
      <c r="K788" s="7">
        <f t="shared" si="12"/>
        <v>19.489999999999998</v>
      </c>
      <c r="L788" s="10" t="str">
        <f>IF(_xlfn.XLOOKUP(D788,product!$A:$A,product!$F:$F,,0)=0,"",_xlfn.XLOOKUP(D788,product!$A:$A,product!$F:$F,,0))</f>
        <v>Yes</v>
      </c>
      <c r="M788" t="str">
        <f>IF(_xlfn.XLOOKUP(D788,product!$A:$A,product!G:G,,0)=0,"",_xlfn.XLOOKUP(D788,product!$A:$A,product!G:G,,0))</f>
        <v>Gold</v>
      </c>
      <c r="N788" t="str">
        <f>IF(_xlfn.XLOOKUP(D788,product!$A:$A,product!$B:$B,,0)=0,"",_xlfn.XLOOKUP(D788,product!$A:$A,product!$B:$B,,0))</f>
        <v>Secrets Future</v>
      </c>
    </row>
    <row r="789" spans="1:14" x14ac:dyDescent="0.35">
      <c r="A789" t="s">
        <v>713</v>
      </c>
      <c r="B789" s="3">
        <v>45339</v>
      </c>
      <c r="C789" t="s">
        <v>1156</v>
      </c>
      <c r="D789" t="s">
        <v>6147</v>
      </c>
      <c r="E789">
        <v>1</v>
      </c>
      <c r="F789" t="str">
        <f>_xlfn.XLOOKUP(C789,customers!$A$1:$A$983,customers!$B$1:$B$983,,0)</f>
        <v>Steven Adams</v>
      </c>
      <c r="G789" t="str">
        <f>_xlfn.XLOOKUP(C789,customers!$A:$A,customers!$C:$C,,0)</f>
        <v>steven.adams29@outlook.com</v>
      </c>
      <c r="H789" t="str">
        <f>IF(_xlfn.XLOOKUP(C789,customers!$A:$A,customers!$G:$G,,0)=0,"",_xlfn.XLOOKUP(C789,customers!$A:$A,customers!$G:$G,,0))</f>
        <v>UAE</v>
      </c>
      <c r="I789" t="str">
        <f>IF(_xlfn.XLOOKUP(D789,product!$A:$A,product!$E:$E,,0)=0,"",_xlfn.XLOOKUP(D789,product!$A:$A,product!$E:$E,,0))</f>
        <v>HISTORY</v>
      </c>
      <c r="J789" s="5">
        <f>IF(_xlfn.XLOOKUP(D789,product!$A:$A,product!$D:$D,,0)=0,"",_xlfn.XLOOKUP(D789,product!$A:$A,product!$D:$D,,0))</f>
        <v>27.19</v>
      </c>
      <c r="K789" s="7">
        <f t="shared" si="12"/>
        <v>27.19</v>
      </c>
      <c r="L789" s="10" t="str">
        <f>IF(_xlfn.XLOOKUP(D789,product!$A:$A,product!$F:$F,,0)=0,"",_xlfn.XLOOKUP(D789,product!$A:$A,product!$F:$F,,0))</f>
        <v>No</v>
      </c>
      <c r="M789" t="str">
        <f>IF(_xlfn.XLOOKUP(D789,product!$A:$A,product!G:G,,0)=0,"",_xlfn.XLOOKUP(D789,product!$A:$A,product!G:G,,0))</f>
        <v>Silver</v>
      </c>
      <c r="N789" t="str">
        <f>IF(_xlfn.XLOOKUP(D789,product!$A:$A,product!$B:$B,,0)=0,"",_xlfn.XLOOKUP(D789,product!$A:$A,product!$B:$B,,0))</f>
        <v>Power Silent</v>
      </c>
    </row>
    <row r="790" spans="1:14" x14ac:dyDescent="0.35">
      <c r="A790" t="s">
        <v>730</v>
      </c>
      <c r="B790" s="3">
        <v>45160</v>
      </c>
      <c r="C790" t="s">
        <v>2349</v>
      </c>
      <c r="D790" t="s">
        <v>6148</v>
      </c>
      <c r="E790">
        <v>1</v>
      </c>
      <c r="F790" t="str">
        <f>_xlfn.XLOOKUP(C790,customers!$A$1:$A$983,customers!$B$1:$B$983,,0)</f>
        <v>Grace Walker</v>
      </c>
      <c r="G790" t="str">
        <f>_xlfn.XLOOKUP(C790,customers!$A:$A,customers!$C:$C,,0)</f>
        <v>grace.walker402@hotmail.com</v>
      </c>
      <c r="H790" t="str">
        <f>IF(_xlfn.XLOOKUP(C790,customers!$A:$A,customers!$G:$G,,0)=0,"",_xlfn.XLOOKUP(C790,customers!$A:$A,customers!$G:$G,,0))</f>
        <v>Spain</v>
      </c>
      <c r="I790" t="str">
        <f>IF(_xlfn.XLOOKUP(D790,product!$A:$A,product!$E:$E,,0)=0,"",_xlfn.XLOOKUP(D790,product!$A:$A,product!$E:$E,,0))</f>
        <v>FICTION</v>
      </c>
      <c r="J790" s="5">
        <f>IF(_xlfn.XLOOKUP(D790,product!$A:$A,product!$D:$D,,0)=0,"",_xlfn.XLOOKUP(D790,product!$A:$A,product!$D:$D,,0))</f>
        <v>26.56</v>
      </c>
      <c r="K790" s="7">
        <f t="shared" si="12"/>
        <v>26.56</v>
      </c>
      <c r="L790" s="10" t="str">
        <f>IF(_xlfn.XLOOKUP(D790,product!$A:$A,product!$F:$F,,0)=0,"",_xlfn.XLOOKUP(D790,product!$A:$A,product!$F:$F,,0))</f>
        <v>Yes</v>
      </c>
      <c r="M790" t="str">
        <f>IF(_xlfn.XLOOKUP(D790,product!$A:$A,product!G:G,,0)=0,"",_xlfn.XLOOKUP(D790,product!$A:$A,product!G:G,,0))</f>
        <v>None</v>
      </c>
      <c r="N790" t="str">
        <f>IF(_xlfn.XLOOKUP(D790,product!$A:$A,product!$B:$B,,0)=0,"",_xlfn.XLOOKUP(D790,product!$A:$A,product!$B:$B,,0))</f>
        <v>Secrets Quantum</v>
      </c>
    </row>
    <row r="791" spans="1:14" x14ac:dyDescent="0.35">
      <c r="A791" t="s">
        <v>747</v>
      </c>
      <c r="B791" s="3">
        <v>45438</v>
      </c>
      <c r="C791" t="s">
        <v>3080</v>
      </c>
      <c r="D791" t="s">
        <v>6149</v>
      </c>
      <c r="E791">
        <v>1</v>
      </c>
      <c r="F791" t="str">
        <f>_xlfn.XLOOKUP(C791,customers!$A$1:$A$983,customers!$B$1:$B$983,,0)</f>
        <v>Anna Clark</v>
      </c>
      <c r="G791" t="str">
        <f>_xlfn.XLOOKUP(C791,customers!$A:$A,customers!$C:$C,,0)</f>
        <v>anna.clark752@outlook.com</v>
      </c>
      <c r="H791" t="str">
        <f>IF(_xlfn.XLOOKUP(C791,customers!$A:$A,customers!$G:$G,,0)=0,"",_xlfn.XLOOKUP(C791,customers!$A:$A,customers!$G:$G,,0))</f>
        <v>Egypt</v>
      </c>
      <c r="I791" t="str">
        <f>IF(_xlfn.XLOOKUP(D791,product!$A:$A,product!$E:$E,,0)=0,"",_xlfn.XLOOKUP(D791,product!$A:$A,product!$E:$E,,0))</f>
        <v>FICTION</v>
      </c>
      <c r="J791" s="5">
        <f>IF(_xlfn.XLOOKUP(D791,product!$A:$A,product!$D:$D,,0)=0,"",_xlfn.XLOOKUP(D791,product!$A:$A,product!$D:$D,,0))</f>
        <v>37.29</v>
      </c>
      <c r="K791" s="7">
        <f t="shared" si="12"/>
        <v>37.29</v>
      </c>
      <c r="L791" s="10" t="str">
        <f>IF(_xlfn.XLOOKUP(D791,product!$A:$A,product!$F:$F,,0)=0,"",_xlfn.XLOOKUP(D791,product!$A:$A,product!$F:$F,,0))</f>
        <v>Yes</v>
      </c>
      <c r="M791" t="str">
        <f>IF(_xlfn.XLOOKUP(D791,product!$A:$A,product!G:G,,0)=0,"",_xlfn.XLOOKUP(D791,product!$A:$A,product!G:G,,0))</f>
        <v>None</v>
      </c>
      <c r="N791" t="str">
        <f>IF(_xlfn.XLOOKUP(D791,product!$A:$A,product!$B:$B,,0)=0,"",_xlfn.XLOOKUP(D791,product!$A:$A,product!$B:$B,,0))</f>
        <v>Journey Silent</v>
      </c>
    </row>
    <row r="792" spans="1:14" x14ac:dyDescent="0.35">
      <c r="A792" t="s">
        <v>764</v>
      </c>
      <c r="B792" s="3">
        <v>45252</v>
      </c>
      <c r="C792" t="s">
        <v>3109</v>
      </c>
      <c r="D792" t="s">
        <v>6150</v>
      </c>
      <c r="E792">
        <v>1</v>
      </c>
      <c r="F792" t="str">
        <f>_xlfn.XLOOKUP(C792,customers!$A$1:$A$983,customers!$B$1:$B$983,,0)</f>
        <v>John Rodriguez</v>
      </c>
      <c r="G792" t="str">
        <f>_xlfn.XLOOKUP(C792,customers!$A:$A,customers!$C:$C,,0)</f>
        <v>john.rodriguez767@outlook.com</v>
      </c>
      <c r="H792" t="str">
        <f>IF(_xlfn.XLOOKUP(C792,customers!$A:$A,customers!$G:$G,,0)=0,"",_xlfn.XLOOKUP(C792,customers!$A:$A,customers!$G:$G,,0))</f>
        <v>Egypt</v>
      </c>
      <c r="I792" t="str">
        <f>IF(_xlfn.XLOOKUP(D792,product!$A:$A,product!$E:$E,,0)=0,"",_xlfn.XLOOKUP(D792,product!$A:$A,product!$E:$E,,0))</f>
        <v>FICTION</v>
      </c>
      <c r="J792" s="5">
        <f>IF(_xlfn.XLOOKUP(D792,product!$A:$A,product!$D:$D,,0)=0,"",_xlfn.XLOOKUP(D792,product!$A:$A,product!$D:$D,,0))</f>
        <v>20.190000000000001</v>
      </c>
      <c r="K792" s="7">
        <f t="shared" si="12"/>
        <v>20.190000000000001</v>
      </c>
      <c r="L792" s="10" t="str">
        <f>IF(_xlfn.XLOOKUP(D792,product!$A:$A,product!$F:$F,,0)=0,"",_xlfn.XLOOKUP(D792,product!$A:$A,product!$F:$F,,0))</f>
        <v>No</v>
      </c>
      <c r="M792" t="str">
        <f>IF(_xlfn.XLOOKUP(D792,product!$A:$A,product!G:G,,0)=0,"",_xlfn.XLOOKUP(D792,product!$A:$A,product!G:G,,0))</f>
        <v>None</v>
      </c>
      <c r="N792" t="str">
        <f>IF(_xlfn.XLOOKUP(D792,product!$A:$A,product!$B:$B,,0)=0,"",_xlfn.XLOOKUP(D792,product!$A:$A,product!$B:$B,,0))</f>
        <v>Forest Power</v>
      </c>
    </row>
    <row r="793" spans="1:14" x14ac:dyDescent="0.35">
      <c r="A793" t="s">
        <v>781</v>
      </c>
      <c r="B793" s="3">
        <v>45479</v>
      </c>
      <c r="C793" t="s">
        <v>2144</v>
      </c>
      <c r="D793" t="s">
        <v>6151</v>
      </c>
      <c r="E793">
        <v>1</v>
      </c>
      <c r="F793" t="str">
        <f>_xlfn.XLOOKUP(C793,customers!$A$1:$A$983,customers!$B$1:$B$983,,0)</f>
        <v>Steven Scott</v>
      </c>
      <c r="G793" t="str">
        <f>_xlfn.XLOOKUP(C793,customers!$A:$A,customers!$C:$C,,0)</f>
        <v>steven.scott313@gmail.com</v>
      </c>
      <c r="H793" t="str">
        <f>IF(_xlfn.XLOOKUP(C793,customers!$A:$A,customers!$G:$G,,0)=0,"",_xlfn.XLOOKUP(C793,customers!$A:$A,customers!$G:$G,,0))</f>
        <v>Japan</v>
      </c>
      <c r="I793" t="str">
        <f>IF(_xlfn.XLOOKUP(D793,product!$A:$A,product!$E:$E,,0)=0,"",_xlfn.XLOOKUP(D793,product!$A:$A,product!$E:$E,,0))</f>
        <v>FICTION</v>
      </c>
      <c r="J793" s="5">
        <f>IF(_xlfn.XLOOKUP(D793,product!$A:$A,product!$D:$D,,0)=0,"",_xlfn.XLOOKUP(D793,product!$A:$A,product!$D:$D,,0))</f>
        <v>18.829999999999998</v>
      </c>
      <c r="K793" s="7">
        <f t="shared" si="12"/>
        <v>18.829999999999998</v>
      </c>
      <c r="L793" s="10" t="str">
        <f>IF(_xlfn.XLOOKUP(D793,product!$A:$A,product!$F:$F,,0)=0,"",_xlfn.XLOOKUP(D793,product!$A:$A,product!$F:$F,,0))</f>
        <v>No</v>
      </c>
      <c r="M793" t="str">
        <f>IF(_xlfn.XLOOKUP(D793,product!$A:$A,product!G:G,,0)=0,"",_xlfn.XLOOKUP(D793,product!$A:$A,product!G:G,,0))</f>
        <v>Silver</v>
      </c>
      <c r="N793" t="str">
        <f>IF(_xlfn.XLOOKUP(D793,product!$A:$A,product!$B:$B,,0)=0,"",_xlfn.XLOOKUP(D793,product!$A:$A,product!$B:$B,,0))</f>
        <v>Secrets Mind</v>
      </c>
    </row>
    <row r="794" spans="1:14" x14ac:dyDescent="0.35">
      <c r="A794" t="s">
        <v>798</v>
      </c>
      <c r="B794" s="3">
        <v>45091</v>
      </c>
      <c r="C794" t="s">
        <v>2133</v>
      </c>
      <c r="D794" t="s">
        <v>6152</v>
      </c>
      <c r="E794">
        <v>1</v>
      </c>
      <c r="F794" t="str">
        <f>_xlfn.XLOOKUP(C794,customers!$A$1:$A$983,customers!$B$1:$B$983,,0)</f>
        <v>Anna Green</v>
      </c>
      <c r="G794" t="str">
        <f>_xlfn.XLOOKUP(C794,customers!$A:$A,customers!$C:$C,,0)</f>
        <v>anna.green308@outlook.com</v>
      </c>
      <c r="H794" t="str">
        <f>IF(_xlfn.XLOOKUP(C794,customers!$A:$A,customers!$G:$G,,0)=0,"",_xlfn.XLOOKUP(C794,customers!$A:$A,customers!$G:$G,,0))</f>
        <v>Pakistan</v>
      </c>
      <c r="I794" t="str">
        <f>IF(_xlfn.XLOOKUP(D794,product!$A:$A,product!$E:$E,,0)=0,"",_xlfn.XLOOKUP(D794,product!$A:$A,product!$E:$E,,0))</f>
        <v>SCIENCE</v>
      </c>
      <c r="J794" s="5">
        <f>IF(_xlfn.XLOOKUP(D794,product!$A:$A,product!$D:$D,,0)=0,"",_xlfn.XLOOKUP(D794,product!$A:$A,product!$D:$D,,0))</f>
        <v>26.54</v>
      </c>
      <c r="K794" s="7">
        <f t="shared" si="12"/>
        <v>26.54</v>
      </c>
      <c r="L794" s="10" t="str">
        <f>IF(_xlfn.XLOOKUP(D794,product!$A:$A,product!$F:$F,,0)=0,"",_xlfn.XLOOKUP(D794,product!$A:$A,product!$F:$F,,0))</f>
        <v>Yes</v>
      </c>
      <c r="M794" t="str">
        <f>IF(_xlfn.XLOOKUP(D794,product!$A:$A,product!G:G,,0)=0,"",_xlfn.XLOOKUP(D794,product!$A:$A,product!G:G,,0))</f>
        <v>Platinum</v>
      </c>
      <c r="N794" t="str">
        <f>IF(_xlfn.XLOOKUP(D794,product!$A:$A,product!$B:$B,,0)=0,"",_xlfn.XLOOKUP(D794,product!$A:$A,product!$B:$B,,0))</f>
        <v>Silent Forest</v>
      </c>
    </row>
    <row r="795" spans="1:14" x14ac:dyDescent="0.35">
      <c r="A795" t="s">
        <v>815</v>
      </c>
      <c r="B795" s="3">
        <v>45538</v>
      </c>
      <c r="C795" t="s">
        <v>3242</v>
      </c>
      <c r="D795" t="s">
        <v>6153</v>
      </c>
      <c r="E795">
        <v>1</v>
      </c>
      <c r="F795" t="str">
        <f>_xlfn.XLOOKUP(C795,customers!$A$1:$A$983,customers!$B$1:$B$983,,0)</f>
        <v>Kevin Young</v>
      </c>
      <c r="G795" t="str">
        <f>_xlfn.XLOOKUP(C795,customers!$A:$A,customers!$C:$C,,0)</f>
        <v>kevin.young834@outlook.com</v>
      </c>
      <c r="H795" t="str">
        <f>IF(_xlfn.XLOOKUP(C795,customers!$A:$A,customers!$G:$G,,0)=0,"",_xlfn.XLOOKUP(C795,customers!$A:$A,customers!$G:$G,,0))</f>
        <v>Spain</v>
      </c>
      <c r="I795" t="str">
        <f>IF(_xlfn.XLOOKUP(D795,product!$A:$A,product!$E:$E,,0)=0,"",_xlfn.XLOOKUP(D795,product!$A:$A,product!$E:$E,,0))</f>
        <v>SCIENCE</v>
      </c>
      <c r="J795" s="5">
        <f>IF(_xlfn.XLOOKUP(D795,product!$A:$A,product!$D:$D,,0)=0,"",_xlfn.XLOOKUP(D795,product!$A:$A,product!$D:$D,,0))</f>
        <v>15.18</v>
      </c>
      <c r="K795" s="7">
        <f t="shared" si="12"/>
        <v>15.18</v>
      </c>
      <c r="L795" s="10" t="str">
        <f>IF(_xlfn.XLOOKUP(D795,product!$A:$A,product!$F:$F,,0)=0,"",_xlfn.XLOOKUP(D795,product!$A:$A,product!$F:$F,,0))</f>
        <v>Yes</v>
      </c>
      <c r="M795" t="str">
        <f>IF(_xlfn.XLOOKUP(D795,product!$A:$A,product!G:G,,0)=0,"",_xlfn.XLOOKUP(D795,product!$A:$A,product!G:G,,0))</f>
        <v>Gold</v>
      </c>
      <c r="N795" t="str">
        <f>IF(_xlfn.XLOOKUP(D795,product!$A:$A,product!$B:$B,,0)=0,"",_xlfn.XLOOKUP(D795,product!$A:$A,product!$B:$B,,0))</f>
        <v>Power Science</v>
      </c>
    </row>
    <row r="796" spans="1:14" x14ac:dyDescent="0.35">
      <c r="A796" t="s">
        <v>832</v>
      </c>
      <c r="B796" s="3">
        <v>45044</v>
      </c>
      <c r="C796" t="s">
        <v>2569</v>
      </c>
      <c r="D796" t="s">
        <v>6154</v>
      </c>
      <c r="E796">
        <v>1</v>
      </c>
      <c r="F796" t="str">
        <f>_xlfn.XLOOKUP(C796,customers!$A$1:$A$983,customers!$B$1:$B$983,,0)</f>
        <v>Emily Walker</v>
      </c>
      <c r="G796" t="str">
        <f>_xlfn.XLOOKUP(C796,customers!$A:$A,customers!$C:$C,,0)</f>
        <v>emily.walker505@yahoo.com</v>
      </c>
      <c r="H796" t="str">
        <f>IF(_xlfn.XLOOKUP(C796,customers!$A:$A,customers!$G:$G,,0)=0,"",_xlfn.XLOOKUP(C796,customers!$A:$A,customers!$G:$G,,0))</f>
        <v>USA</v>
      </c>
      <c r="I796" t="str">
        <f>IF(_xlfn.XLOOKUP(D796,product!$A:$A,product!$E:$E,,0)=0,"",_xlfn.XLOOKUP(D796,product!$A:$A,product!$E:$E,,0))</f>
        <v>HISTORY</v>
      </c>
      <c r="J796" s="5">
        <f>IF(_xlfn.XLOOKUP(D796,product!$A:$A,product!$D:$D,,0)=0,"",_xlfn.XLOOKUP(D796,product!$A:$A,product!$D:$D,,0))</f>
        <v>19.149999999999999</v>
      </c>
      <c r="K796" s="7">
        <f t="shared" si="12"/>
        <v>19.149999999999999</v>
      </c>
      <c r="L796" s="10" t="str">
        <f>IF(_xlfn.XLOOKUP(D796,product!$A:$A,product!$F:$F,,0)=0,"",_xlfn.XLOOKUP(D796,product!$A:$A,product!$F:$F,,0))</f>
        <v>Yes</v>
      </c>
      <c r="M796" t="str">
        <f>IF(_xlfn.XLOOKUP(D796,product!$A:$A,product!G:G,,0)=0,"",_xlfn.XLOOKUP(D796,product!$A:$A,product!G:G,,0))</f>
        <v>None</v>
      </c>
      <c r="N796" t="str">
        <f>IF(_xlfn.XLOOKUP(D796,product!$A:$A,product!$B:$B,,0)=0,"",_xlfn.XLOOKUP(D796,product!$A:$A,product!$B:$B,,0))</f>
        <v>Forest Data</v>
      </c>
    </row>
    <row r="797" spans="1:14" x14ac:dyDescent="0.35">
      <c r="A797" t="s">
        <v>849</v>
      </c>
      <c r="B797" s="3">
        <v>45303</v>
      </c>
      <c r="C797" t="s">
        <v>1520</v>
      </c>
      <c r="D797" t="s">
        <v>6155</v>
      </c>
      <c r="E797">
        <v>1</v>
      </c>
      <c r="F797" t="str">
        <f>_xlfn.XLOOKUP(C797,customers!$A$1:$A$983,customers!$B$1:$B$983,,0)</f>
        <v>Paul Lopez</v>
      </c>
      <c r="G797" t="str">
        <f>_xlfn.XLOOKUP(C797,customers!$A:$A,customers!$C:$C,,0)</f>
        <v>paul.lopez128@outlook.com</v>
      </c>
      <c r="H797" t="str">
        <f>IF(_xlfn.XLOOKUP(C797,customers!$A:$A,customers!$G:$G,,0)=0,"",_xlfn.XLOOKUP(C797,customers!$A:$A,customers!$G:$G,,0))</f>
        <v>Pakistan</v>
      </c>
      <c r="I797" t="str">
        <f>IF(_xlfn.XLOOKUP(D797,product!$A:$A,product!$E:$E,,0)=0,"",_xlfn.XLOOKUP(D797,product!$A:$A,product!$E:$E,,0))</f>
        <v>FICTION</v>
      </c>
      <c r="J797" s="5">
        <f>IF(_xlfn.XLOOKUP(D797,product!$A:$A,product!$D:$D,,0)=0,"",_xlfn.XLOOKUP(D797,product!$A:$A,product!$D:$D,,0))</f>
        <v>30.63</v>
      </c>
      <c r="K797" s="7">
        <f t="shared" si="12"/>
        <v>30.63</v>
      </c>
      <c r="L797" s="10" t="str">
        <f>IF(_xlfn.XLOOKUP(D797,product!$A:$A,product!$F:$F,,0)=0,"",_xlfn.XLOOKUP(D797,product!$A:$A,product!$F:$F,,0))</f>
        <v>No</v>
      </c>
      <c r="M797" t="str">
        <f>IF(_xlfn.XLOOKUP(D797,product!$A:$A,product!G:G,,0)=0,"",_xlfn.XLOOKUP(D797,product!$A:$A,product!G:G,,0))</f>
        <v>None</v>
      </c>
      <c r="N797" t="str">
        <f>IF(_xlfn.XLOOKUP(D797,product!$A:$A,product!$B:$B,,0)=0,"",_xlfn.XLOOKUP(D797,product!$A:$A,product!$B:$B,,0))</f>
        <v>Mind Forest</v>
      </c>
    </row>
    <row r="798" spans="1:14" x14ac:dyDescent="0.35">
      <c r="A798" t="s">
        <v>866</v>
      </c>
      <c r="B798" s="3">
        <v>45206</v>
      </c>
      <c r="C798" t="s">
        <v>2007</v>
      </c>
      <c r="D798" t="s">
        <v>6156</v>
      </c>
      <c r="E798">
        <v>1</v>
      </c>
      <c r="F798" t="str">
        <f>_xlfn.XLOOKUP(C798,customers!$A$1:$A$983,customers!$B$1:$B$983,,0)</f>
        <v>Mark Thomas</v>
      </c>
      <c r="G798" t="str">
        <f>_xlfn.XLOOKUP(C798,customers!$A:$A,customers!$C:$C,,0)</f>
        <v>mark.thomas263@yahoo.com</v>
      </c>
      <c r="H798" t="str">
        <f>IF(_xlfn.XLOOKUP(C798,customers!$A:$A,customers!$G:$G,,0)=0,"",_xlfn.XLOOKUP(C798,customers!$A:$A,customers!$G:$G,,0))</f>
        <v>Pakistan</v>
      </c>
      <c r="I798" t="str">
        <f>IF(_xlfn.XLOOKUP(D798,product!$A:$A,product!$E:$E,,0)=0,"",_xlfn.XLOOKUP(D798,product!$A:$A,product!$E:$E,,0))</f>
        <v>BUSINESS</v>
      </c>
      <c r="J798" s="5">
        <f>IF(_xlfn.XLOOKUP(D798,product!$A:$A,product!$D:$D,,0)=0,"",_xlfn.XLOOKUP(D798,product!$A:$A,product!$D:$D,,0))</f>
        <v>36.97</v>
      </c>
      <c r="K798" s="7">
        <f t="shared" si="12"/>
        <v>36.97</v>
      </c>
      <c r="L798" s="10" t="str">
        <f>IF(_xlfn.XLOOKUP(D798,product!$A:$A,product!$F:$F,,0)=0,"",_xlfn.XLOOKUP(D798,product!$A:$A,product!$F:$F,,0))</f>
        <v>No</v>
      </c>
      <c r="M798" t="str">
        <f>IF(_xlfn.XLOOKUP(D798,product!$A:$A,product!G:G,,0)=0,"",_xlfn.XLOOKUP(D798,product!$A:$A,product!G:G,,0))</f>
        <v>Silver</v>
      </c>
      <c r="N798" t="str">
        <f>IF(_xlfn.XLOOKUP(D798,product!$A:$A,product!$B:$B,,0)=0,"",_xlfn.XLOOKUP(D798,product!$A:$A,product!$B:$B,,0))</f>
        <v>Science Mind</v>
      </c>
    </row>
    <row r="799" spans="1:14" x14ac:dyDescent="0.35">
      <c r="A799" t="s">
        <v>883</v>
      </c>
      <c r="B799" s="3">
        <v>45614</v>
      </c>
      <c r="C799" t="s">
        <v>2257</v>
      </c>
      <c r="D799" t="s">
        <v>6157</v>
      </c>
      <c r="E799">
        <v>1</v>
      </c>
      <c r="F799" t="str">
        <f>_xlfn.XLOOKUP(C799,customers!$A$1:$A$983,customers!$B$1:$B$983,,0)</f>
        <v>Ryan Lopez</v>
      </c>
      <c r="G799" t="str">
        <f>_xlfn.XLOOKUP(C799,customers!$A:$A,customers!$C:$C,,0)</f>
        <v>ryan.lopez361@yahoo.com</v>
      </c>
      <c r="H799" t="str">
        <f>IF(_xlfn.XLOOKUP(C799,customers!$A:$A,customers!$G:$G,,0)=0,"",_xlfn.XLOOKUP(C799,customers!$A:$A,customers!$G:$G,,0))</f>
        <v>USA</v>
      </c>
      <c r="I799" t="str">
        <f>IF(_xlfn.XLOOKUP(D799,product!$A:$A,product!$E:$E,,0)=0,"",_xlfn.XLOOKUP(D799,product!$A:$A,product!$E:$E,,0))</f>
        <v>HISTORY</v>
      </c>
      <c r="J799" s="5">
        <f>IF(_xlfn.XLOOKUP(D799,product!$A:$A,product!$D:$D,,0)=0,"",_xlfn.XLOOKUP(D799,product!$A:$A,product!$D:$D,,0))</f>
        <v>35.89</v>
      </c>
      <c r="K799" s="7">
        <f t="shared" si="12"/>
        <v>35.89</v>
      </c>
      <c r="L799" s="10" t="str">
        <f>IF(_xlfn.XLOOKUP(D799,product!$A:$A,product!$F:$F,,0)=0,"",_xlfn.XLOOKUP(D799,product!$A:$A,product!$F:$F,,0))</f>
        <v>No</v>
      </c>
      <c r="M799" t="str">
        <f>IF(_xlfn.XLOOKUP(D799,product!$A:$A,product!G:G,,0)=0,"",_xlfn.XLOOKUP(D799,product!$A:$A,product!G:G,,0))</f>
        <v>None</v>
      </c>
      <c r="N799" t="str">
        <f>IF(_xlfn.XLOOKUP(D799,product!$A:$A,product!$B:$B,,0)=0,"",_xlfn.XLOOKUP(D799,product!$A:$A,product!$B:$B,,0))</f>
        <v>Power Journey</v>
      </c>
    </row>
    <row r="800" spans="1:14" x14ac:dyDescent="0.35">
      <c r="A800" t="s">
        <v>900</v>
      </c>
      <c r="B800" s="3">
        <v>45283</v>
      </c>
      <c r="C800" t="s">
        <v>2951</v>
      </c>
      <c r="D800" t="s">
        <v>6158</v>
      </c>
      <c r="E800">
        <v>1</v>
      </c>
      <c r="F800" t="str">
        <f>_xlfn.XLOOKUP(C800,customers!$A$1:$A$983,customers!$B$1:$B$983,,0)</f>
        <v>James Jackson</v>
      </c>
      <c r="G800" t="str">
        <f>_xlfn.XLOOKUP(C800,customers!$A:$A,customers!$C:$C,,0)</f>
        <v>james.jackson690@hotmail.com</v>
      </c>
      <c r="H800" t="str">
        <f>IF(_xlfn.XLOOKUP(C800,customers!$A:$A,customers!$G:$G,,0)=0,"",_xlfn.XLOOKUP(C800,customers!$A:$A,customers!$G:$G,,0))</f>
        <v>Spain</v>
      </c>
      <c r="I800" t="str">
        <f>IF(_xlfn.XLOOKUP(D800,product!$A:$A,product!$E:$E,,0)=0,"",_xlfn.XLOOKUP(D800,product!$A:$A,product!$E:$E,,0))</f>
        <v>FICTION</v>
      </c>
      <c r="J800" s="5">
        <f>IF(_xlfn.XLOOKUP(D800,product!$A:$A,product!$D:$D,,0)=0,"",_xlfn.XLOOKUP(D800,product!$A:$A,product!$D:$D,,0))</f>
        <v>27.82</v>
      </c>
      <c r="K800" s="7">
        <f t="shared" si="12"/>
        <v>27.82</v>
      </c>
      <c r="L800" s="10" t="str">
        <f>IF(_xlfn.XLOOKUP(D800,product!$A:$A,product!$F:$F,,0)=0,"",_xlfn.XLOOKUP(D800,product!$A:$A,product!$F:$F,,0))</f>
        <v>No</v>
      </c>
      <c r="M800" t="str">
        <f>IF(_xlfn.XLOOKUP(D800,product!$A:$A,product!G:G,,0)=0,"",_xlfn.XLOOKUP(D800,product!$A:$A,product!G:G,,0))</f>
        <v>None</v>
      </c>
      <c r="N800" t="str">
        <f>IF(_xlfn.XLOOKUP(D800,product!$A:$A,product!$B:$B,,0)=0,"",_xlfn.XLOOKUP(D800,product!$A:$A,product!$B:$B,,0))</f>
        <v>Quantum Future</v>
      </c>
    </row>
    <row r="801" spans="1:14" x14ac:dyDescent="0.35">
      <c r="A801" t="s">
        <v>917</v>
      </c>
      <c r="B801" s="3">
        <v>45358</v>
      </c>
      <c r="C801" t="s">
        <v>3204</v>
      </c>
      <c r="D801" t="s">
        <v>6159</v>
      </c>
      <c r="E801">
        <v>1</v>
      </c>
      <c r="F801" t="str">
        <f>_xlfn.XLOOKUP(C801,customers!$A$1:$A$983,customers!$B$1:$B$983,,0)</f>
        <v>Andrew Thomas</v>
      </c>
      <c r="G801" t="str">
        <f>_xlfn.XLOOKUP(C801,customers!$A:$A,customers!$C:$C,,0)</f>
        <v>andrew.thomas815@gmail.com</v>
      </c>
      <c r="H801" t="str">
        <f>IF(_xlfn.XLOOKUP(C801,customers!$A:$A,customers!$G:$G,,0)=0,"",_xlfn.XLOOKUP(C801,customers!$A:$A,customers!$G:$G,,0))</f>
        <v>Egypt</v>
      </c>
      <c r="I801" t="str">
        <f>IF(_xlfn.XLOOKUP(D801,product!$A:$A,product!$E:$E,,0)=0,"",_xlfn.XLOOKUP(D801,product!$A:$A,product!$E:$E,,0))</f>
        <v>BUSINESS</v>
      </c>
      <c r="J801" s="5">
        <f>IF(_xlfn.XLOOKUP(D801,product!$A:$A,product!$D:$D,,0)=0,"",_xlfn.XLOOKUP(D801,product!$A:$A,product!$D:$D,,0))</f>
        <v>37.520000000000003</v>
      </c>
      <c r="K801" s="7">
        <f t="shared" si="12"/>
        <v>37.520000000000003</v>
      </c>
      <c r="L801" s="10" t="str">
        <f>IF(_xlfn.XLOOKUP(D801,product!$A:$A,product!$F:$F,,0)=0,"",_xlfn.XLOOKUP(D801,product!$A:$A,product!$F:$F,,0))</f>
        <v>No</v>
      </c>
      <c r="M801" t="str">
        <f>IF(_xlfn.XLOOKUP(D801,product!$A:$A,product!G:G,,0)=0,"",_xlfn.XLOOKUP(D801,product!$A:$A,product!G:G,,0))</f>
        <v>Gold</v>
      </c>
      <c r="N801" t="str">
        <f>IF(_xlfn.XLOOKUP(D801,product!$A:$A,product!$B:$B,,0)=0,"",_xlfn.XLOOKUP(D801,product!$A:$A,product!$B:$B,,0))</f>
        <v>Secrets Data</v>
      </c>
    </row>
    <row r="802" spans="1:14" x14ac:dyDescent="0.35">
      <c r="A802" t="s">
        <v>934</v>
      </c>
      <c r="B802" s="3">
        <v>44969</v>
      </c>
      <c r="C802" t="s">
        <v>1072</v>
      </c>
      <c r="D802" t="s">
        <v>6160</v>
      </c>
      <c r="E802">
        <v>1</v>
      </c>
      <c r="F802" t="str">
        <f>_xlfn.XLOOKUP(C802,customers!$A$1:$A$983,customers!$B$1:$B$983,,0)</f>
        <v>Isabella Jackson</v>
      </c>
      <c r="G802" t="str">
        <f>_xlfn.XLOOKUP(C802,customers!$A:$A,customers!$C:$C,,0)</f>
        <v>isabella.jackson10@outlook.com</v>
      </c>
      <c r="H802" t="str">
        <f>IF(_xlfn.XLOOKUP(C802,customers!$A:$A,customers!$G:$G,,0)=0,"",_xlfn.XLOOKUP(C802,customers!$A:$A,customers!$G:$G,,0))</f>
        <v>USA</v>
      </c>
      <c r="I802" t="str">
        <f>IF(_xlfn.XLOOKUP(D802,product!$A:$A,product!$E:$E,,0)=0,"",_xlfn.XLOOKUP(D802,product!$A:$A,product!$E:$E,,0))</f>
        <v>HISTORY</v>
      </c>
      <c r="J802" s="5">
        <f>IF(_xlfn.XLOOKUP(D802,product!$A:$A,product!$D:$D,,0)=0,"",_xlfn.XLOOKUP(D802,product!$A:$A,product!$D:$D,,0))</f>
        <v>21.27</v>
      </c>
      <c r="K802" s="7">
        <f t="shared" si="12"/>
        <v>21.27</v>
      </c>
      <c r="L802" s="10" t="str">
        <f>IF(_xlfn.XLOOKUP(D802,product!$A:$A,product!$F:$F,,0)=0,"",_xlfn.XLOOKUP(D802,product!$A:$A,product!$F:$F,,0))</f>
        <v>Yes</v>
      </c>
      <c r="M802" t="str">
        <f>IF(_xlfn.XLOOKUP(D802,product!$A:$A,product!G:G,,0)=0,"",_xlfn.XLOOKUP(D802,product!$A:$A,product!G:G,,0))</f>
        <v>None</v>
      </c>
      <c r="N802" t="str">
        <f>IF(_xlfn.XLOOKUP(D802,product!$A:$A,product!$B:$B,,0)=0,"",_xlfn.XLOOKUP(D802,product!$A:$A,product!$B:$B,,0))</f>
        <v>Future Secrets</v>
      </c>
    </row>
    <row r="803" spans="1:14" x14ac:dyDescent="0.35">
      <c r="A803" t="s">
        <v>951</v>
      </c>
      <c r="B803" s="3">
        <v>45465</v>
      </c>
      <c r="C803" t="s">
        <v>2855</v>
      </c>
      <c r="D803" t="s">
        <v>6161</v>
      </c>
      <c r="E803">
        <v>1</v>
      </c>
      <c r="F803" t="str">
        <f>_xlfn.XLOOKUP(C803,customers!$A$1:$A$983,customers!$B$1:$B$983,,0)</f>
        <v>Mark Harris</v>
      </c>
      <c r="G803" t="str">
        <f>_xlfn.XLOOKUP(C803,customers!$A:$A,customers!$C:$C,,0)</f>
        <v>mark.harris643@hotmail.com</v>
      </c>
      <c r="H803" t="str">
        <f>IF(_xlfn.XLOOKUP(C803,customers!$A:$A,customers!$G:$G,,0)=0,"",_xlfn.XLOOKUP(C803,customers!$A:$A,customers!$G:$G,,0))</f>
        <v>Sweden</v>
      </c>
      <c r="I803" t="str">
        <f>IF(_xlfn.XLOOKUP(D803,product!$A:$A,product!$E:$E,,0)=0,"",_xlfn.XLOOKUP(D803,product!$A:$A,product!$E:$E,,0))</f>
        <v>FICTION</v>
      </c>
      <c r="J803" s="5">
        <f>IF(_xlfn.XLOOKUP(D803,product!$A:$A,product!$D:$D,,0)=0,"",_xlfn.XLOOKUP(D803,product!$A:$A,product!$D:$D,,0))</f>
        <v>22.48</v>
      </c>
      <c r="K803" s="7">
        <f t="shared" si="12"/>
        <v>22.48</v>
      </c>
      <c r="L803" s="10" t="str">
        <f>IF(_xlfn.XLOOKUP(D803,product!$A:$A,product!$F:$F,,0)=0,"",_xlfn.XLOOKUP(D803,product!$A:$A,product!$F:$F,,0))</f>
        <v>Yes</v>
      </c>
      <c r="M803" t="str">
        <f>IF(_xlfn.XLOOKUP(D803,product!$A:$A,product!G:G,,0)=0,"",_xlfn.XLOOKUP(D803,product!$A:$A,product!G:G,,0))</f>
        <v>Gold</v>
      </c>
      <c r="N803" t="str">
        <f>IF(_xlfn.XLOOKUP(D803,product!$A:$A,product!$B:$B,,0)=0,"",_xlfn.XLOOKUP(D803,product!$A:$A,product!$B:$B,,0))</f>
        <v>Forest Journey</v>
      </c>
    </row>
    <row r="804" spans="1:14" x14ac:dyDescent="0.35">
      <c r="A804" t="s">
        <v>968</v>
      </c>
      <c r="B804" s="3">
        <v>45074</v>
      </c>
      <c r="C804" t="s">
        <v>1135</v>
      </c>
      <c r="D804" t="s">
        <v>6162</v>
      </c>
      <c r="E804">
        <v>1</v>
      </c>
      <c r="F804" t="str">
        <f>_xlfn.XLOOKUP(C804,customers!$A$1:$A$983,customers!$B$1:$B$983,,0)</f>
        <v>Zoe Lopez</v>
      </c>
      <c r="G804" t="str">
        <f>_xlfn.XLOOKUP(C804,customers!$A:$A,customers!$C:$C,,0)</f>
        <v>zoe.lopez24@gmail.com</v>
      </c>
      <c r="H804" t="str">
        <f>IF(_xlfn.XLOOKUP(C804,customers!$A:$A,customers!$G:$G,,0)=0,"",_xlfn.XLOOKUP(C804,customers!$A:$A,customers!$G:$G,,0))</f>
        <v>Spain</v>
      </c>
      <c r="I804" t="str">
        <f>IF(_xlfn.XLOOKUP(D804,product!$A:$A,product!$E:$E,,0)=0,"",_xlfn.XLOOKUP(D804,product!$A:$A,product!$E:$E,,0))</f>
        <v>BUSINESS</v>
      </c>
      <c r="J804" s="5">
        <f>IF(_xlfn.XLOOKUP(D804,product!$A:$A,product!$D:$D,,0)=0,"",_xlfn.XLOOKUP(D804,product!$A:$A,product!$D:$D,,0))</f>
        <v>26.2</v>
      </c>
      <c r="K804" s="7">
        <f t="shared" si="12"/>
        <v>26.2</v>
      </c>
      <c r="L804" s="10" t="str">
        <f>IF(_xlfn.XLOOKUP(D804,product!$A:$A,product!$F:$F,,0)=0,"",_xlfn.XLOOKUP(D804,product!$A:$A,product!$F:$F,,0))</f>
        <v>No</v>
      </c>
      <c r="M804" t="str">
        <f>IF(_xlfn.XLOOKUP(D804,product!$A:$A,product!G:G,,0)=0,"",_xlfn.XLOOKUP(D804,product!$A:$A,product!G:G,,0))</f>
        <v>Silver</v>
      </c>
      <c r="N804" t="str">
        <f>IF(_xlfn.XLOOKUP(D804,product!$A:$A,product!$B:$B,,0)=0,"",_xlfn.XLOOKUP(D804,product!$A:$A,product!$B:$B,,0))</f>
        <v>Journey Quantum</v>
      </c>
    </row>
    <row r="805" spans="1:14" x14ac:dyDescent="0.35">
      <c r="A805" t="s">
        <v>985</v>
      </c>
      <c r="B805" s="3">
        <v>45578</v>
      </c>
      <c r="C805" t="s">
        <v>1704</v>
      </c>
      <c r="D805" t="s">
        <v>6163</v>
      </c>
      <c r="E805">
        <v>1</v>
      </c>
      <c r="F805" t="str">
        <f>_xlfn.XLOOKUP(C805,customers!$A$1:$A$983,customers!$B$1:$B$983,,0)</f>
        <v>Charlotte Clark</v>
      </c>
      <c r="G805" t="str">
        <f>_xlfn.XLOOKUP(C805,customers!$A:$A,customers!$C:$C,,0)</f>
        <v>charlotte.clark172@outlook.com</v>
      </c>
      <c r="H805" t="str">
        <f>IF(_xlfn.XLOOKUP(C805,customers!$A:$A,customers!$G:$G,,0)=0,"",_xlfn.XLOOKUP(C805,customers!$A:$A,customers!$G:$G,,0))</f>
        <v>USA</v>
      </c>
      <c r="I805" t="str">
        <f>IF(_xlfn.XLOOKUP(D805,product!$A:$A,product!$E:$E,,0)=0,"",_xlfn.XLOOKUP(D805,product!$A:$A,product!$E:$E,,0))</f>
        <v>FICTION</v>
      </c>
      <c r="J805" s="5">
        <f>IF(_xlfn.XLOOKUP(D805,product!$A:$A,product!$D:$D,,0)=0,"",_xlfn.XLOOKUP(D805,product!$A:$A,product!$D:$D,,0))</f>
        <v>33.380000000000003</v>
      </c>
      <c r="K805" s="7">
        <f t="shared" si="12"/>
        <v>33.380000000000003</v>
      </c>
      <c r="L805" s="10" t="str">
        <f>IF(_xlfn.XLOOKUP(D805,product!$A:$A,product!$F:$F,,0)=0,"",_xlfn.XLOOKUP(D805,product!$A:$A,product!$F:$F,,0))</f>
        <v>No</v>
      </c>
      <c r="M805" t="str">
        <f>IF(_xlfn.XLOOKUP(D805,product!$A:$A,product!G:G,,0)=0,"",_xlfn.XLOOKUP(D805,product!$A:$A,product!G:G,,0))</f>
        <v>Silver</v>
      </c>
      <c r="N805" t="str">
        <f>IF(_xlfn.XLOOKUP(D805,product!$A:$A,product!$B:$B,,0)=0,"",_xlfn.XLOOKUP(D805,product!$A:$A,product!$B:$B,,0))</f>
        <v>Data Mind</v>
      </c>
    </row>
    <row r="806" spans="1:14" x14ac:dyDescent="0.35">
      <c r="A806" t="s">
        <v>1002</v>
      </c>
      <c r="B806" s="3">
        <v>45128</v>
      </c>
      <c r="C806" t="s">
        <v>1733</v>
      </c>
      <c r="D806" t="s">
        <v>6164</v>
      </c>
      <c r="E806">
        <v>1</v>
      </c>
      <c r="F806" t="str">
        <f>_xlfn.XLOOKUP(C806,customers!$A$1:$A$983,customers!$B$1:$B$983,,0)</f>
        <v>Jessica Anderson</v>
      </c>
      <c r="G806" t="str">
        <f>_xlfn.XLOOKUP(C806,customers!$A:$A,customers!$C:$C,,0)</f>
        <v>jessica.anderson179@yahoo.com</v>
      </c>
      <c r="H806" t="str">
        <f>IF(_xlfn.XLOOKUP(C806,customers!$A:$A,customers!$G:$G,,0)=0,"",_xlfn.XLOOKUP(C806,customers!$A:$A,customers!$G:$G,,0))</f>
        <v>Spain</v>
      </c>
      <c r="I806" t="str">
        <f>IF(_xlfn.XLOOKUP(D806,product!$A:$A,product!$E:$E,,0)=0,"",_xlfn.XLOOKUP(D806,product!$A:$A,product!$E:$E,,0))</f>
        <v>TECH</v>
      </c>
      <c r="J806" s="5">
        <f>IF(_xlfn.XLOOKUP(D806,product!$A:$A,product!$D:$D,,0)=0,"",_xlfn.XLOOKUP(D806,product!$A:$A,product!$D:$D,,0))</f>
        <v>26.77</v>
      </c>
      <c r="K806" s="7">
        <f t="shared" si="12"/>
        <v>26.77</v>
      </c>
      <c r="L806" s="10" t="str">
        <f>IF(_xlfn.XLOOKUP(D806,product!$A:$A,product!$F:$F,,0)=0,"",_xlfn.XLOOKUP(D806,product!$A:$A,product!$F:$F,,0))</f>
        <v>No</v>
      </c>
      <c r="M806" t="str">
        <f>IF(_xlfn.XLOOKUP(D806,product!$A:$A,product!G:G,,0)=0,"",_xlfn.XLOOKUP(D806,product!$A:$A,product!G:G,,0))</f>
        <v>None</v>
      </c>
      <c r="N806" t="str">
        <f>IF(_xlfn.XLOOKUP(D806,product!$A:$A,product!$B:$B,,0)=0,"",_xlfn.XLOOKUP(D806,product!$A:$A,product!$B:$B,,0))</f>
        <v>Quantum Mind</v>
      </c>
    </row>
    <row r="807" spans="1:14" x14ac:dyDescent="0.35">
      <c r="A807" t="s">
        <v>1019</v>
      </c>
      <c r="B807" s="3">
        <v>45507</v>
      </c>
      <c r="C807" t="s">
        <v>3410</v>
      </c>
      <c r="D807" t="s">
        <v>6165</v>
      </c>
      <c r="E807">
        <v>1</v>
      </c>
      <c r="F807" t="str">
        <f>_xlfn.XLOOKUP(C807,customers!$A$1:$A$983,customers!$B$1:$B$983,,0)</f>
        <v>Peter Brown</v>
      </c>
      <c r="G807" t="str">
        <f>_xlfn.XLOOKUP(C807,customers!$A:$A,customers!$C:$C,,0)</f>
        <v>peter.brown919@outlook.com</v>
      </c>
      <c r="H807" t="str">
        <f>IF(_xlfn.XLOOKUP(C807,customers!$A:$A,customers!$G:$G,,0)=0,"",_xlfn.XLOOKUP(C807,customers!$A:$A,customers!$G:$G,,0))</f>
        <v>Germany</v>
      </c>
      <c r="I807" t="str">
        <f>IF(_xlfn.XLOOKUP(D807,product!$A:$A,product!$E:$E,,0)=0,"",_xlfn.XLOOKUP(D807,product!$A:$A,product!$E:$E,,0))</f>
        <v>TECH</v>
      </c>
      <c r="J807" s="5">
        <f>IF(_xlfn.XLOOKUP(D807,product!$A:$A,product!$D:$D,,0)=0,"",_xlfn.XLOOKUP(D807,product!$A:$A,product!$D:$D,,0))</f>
        <v>24.29</v>
      </c>
      <c r="K807" s="7">
        <f t="shared" si="12"/>
        <v>24.29</v>
      </c>
      <c r="L807" s="10" t="str">
        <f>IF(_xlfn.XLOOKUP(D807,product!$A:$A,product!$F:$F,,0)=0,"",_xlfn.XLOOKUP(D807,product!$A:$A,product!$F:$F,,0))</f>
        <v>No</v>
      </c>
      <c r="M807" t="str">
        <f>IF(_xlfn.XLOOKUP(D807,product!$A:$A,product!G:G,,0)=0,"",_xlfn.XLOOKUP(D807,product!$A:$A,product!G:G,,0))</f>
        <v>Gold</v>
      </c>
      <c r="N807" t="str">
        <f>IF(_xlfn.XLOOKUP(D807,product!$A:$A,product!$B:$B,,0)=0,"",_xlfn.XLOOKUP(D807,product!$A:$A,product!$B:$B,,0))</f>
        <v>Journey Quantum</v>
      </c>
    </row>
    <row r="808" spans="1:14" x14ac:dyDescent="0.35">
      <c r="A808" t="s">
        <v>1036</v>
      </c>
      <c r="B808" s="3">
        <v>44953</v>
      </c>
      <c r="C808" t="s">
        <v>3510</v>
      </c>
      <c r="D808" t="s">
        <v>6166</v>
      </c>
      <c r="E808">
        <v>1</v>
      </c>
      <c r="F808" t="str">
        <f>_xlfn.XLOOKUP(C808,customers!$A$1:$A$983,customers!$B$1:$B$983,,0)</f>
        <v>Sophia Baker</v>
      </c>
      <c r="G808" t="str">
        <f>_xlfn.XLOOKUP(C808,customers!$A:$A,customers!$C:$C,,0)</f>
        <v>sophia.baker970@yahoo.com</v>
      </c>
      <c r="H808" t="str">
        <f>IF(_xlfn.XLOOKUP(C808,customers!$A:$A,customers!$G:$G,,0)=0,"",_xlfn.XLOOKUP(C808,customers!$A:$A,customers!$G:$G,,0))</f>
        <v>Pakistan</v>
      </c>
      <c r="I808" t="str">
        <f>IF(_xlfn.XLOOKUP(D808,product!$A:$A,product!$E:$E,,0)=0,"",_xlfn.XLOOKUP(D808,product!$A:$A,product!$E:$E,,0))</f>
        <v>HISTORY</v>
      </c>
      <c r="J808" s="5">
        <f>IF(_xlfn.XLOOKUP(D808,product!$A:$A,product!$D:$D,,0)=0,"",_xlfn.XLOOKUP(D808,product!$A:$A,product!$D:$D,,0))</f>
        <v>17.5</v>
      </c>
      <c r="K808" s="7">
        <f t="shared" si="12"/>
        <v>17.5</v>
      </c>
      <c r="L808" s="10" t="str">
        <f>IF(_xlfn.XLOOKUP(D808,product!$A:$A,product!$F:$F,,0)=0,"",_xlfn.XLOOKUP(D808,product!$A:$A,product!$F:$F,,0))</f>
        <v>No</v>
      </c>
      <c r="M808" t="str">
        <f>IF(_xlfn.XLOOKUP(D808,product!$A:$A,product!G:G,,0)=0,"",_xlfn.XLOOKUP(D808,product!$A:$A,product!G:G,,0))</f>
        <v>Silver</v>
      </c>
      <c r="N808" t="str">
        <f>IF(_xlfn.XLOOKUP(D808,product!$A:$A,product!$B:$B,,0)=0,"",_xlfn.XLOOKUP(D808,product!$A:$A,product!$B:$B,,0))</f>
        <v>Data Secrets</v>
      </c>
    </row>
    <row r="809" spans="1:14" x14ac:dyDescent="0.35">
      <c r="A809" t="s">
        <v>1053</v>
      </c>
      <c r="B809" s="3">
        <v>45390</v>
      </c>
      <c r="C809" t="s">
        <v>3125</v>
      </c>
      <c r="D809" t="s">
        <v>6167</v>
      </c>
      <c r="E809">
        <v>1</v>
      </c>
      <c r="F809" t="str">
        <f>_xlfn.XLOOKUP(C809,customers!$A$1:$A$983,customers!$B$1:$B$983,,0)</f>
        <v>Charlotte Scott</v>
      </c>
      <c r="G809" t="str">
        <f>_xlfn.XLOOKUP(C809,customers!$A:$A,customers!$C:$C,,0)</f>
        <v>charlotte.scott775@outlook.com</v>
      </c>
      <c r="H809" t="str">
        <f>IF(_xlfn.XLOOKUP(C809,customers!$A:$A,customers!$G:$G,,0)=0,"",_xlfn.XLOOKUP(C809,customers!$A:$A,customers!$G:$G,,0))</f>
        <v>USA</v>
      </c>
      <c r="I809" t="str">
        <f>IF(_xlfn.XLOOKUP(D809,product!$A:$A,product!$E:$E,,0)=0,"",_xlfn.XLOOKUP(D809,product!$A:$A,product!$E:$E,,0))</f>
        <v>HISTORY</v>
      </c>
      <c r="J809" s="5">
        <f>IF(_xlfn.XLOOKUP(D809,product!$A:$A,product!$D:$D,,0)=0,"",_xlfn.XLOOKUP(D809,product!$A:$A,product!$D:$D,,0))</f>
        <v>36.74</v>
      </c>
      <c r="K809" s="7">
        <f t="shared" si="12"/>
        <v>36.74</v>
      </c>
      <c r="L809" s="10" t="str">
        <f>IF(_xlfn.XLOOKUP(D809,product!$A:$A,product!$F:$F,,0)=0,"",_xlfn.XLOOKUP(D809,product!$A:$A,product!$F:$F,,0))</f>
        <v>No</v>
      </c>
      <c r="M809" t="str">
        <f>IF(_xlfn.XLOOKUP(D809,product!$A:$A,product!G:G,,0)=0,"",_xlfn.XLOOKUP(D809,product!$A:$A,product!G:G,,0))</f>
        <v>None</v>
      </c>
      <c r="N809" t="str">
        <f>IF(_xlfn.XLOOKUP(D809,product!$A:$A,product!$B:$B,,0)=0,"",_xlfn.XLOOKUP(D809,product!$A:$A,product!$B:$B,,0))</f>
        <v>Power Data</v>
      </c>
    </row>
    <row r="810" spans="1:14" x14ac:dyDescent="0.35">
      <c r="A810" t="s">
        <v>20</v>
      </c>
      <c r="B810" s="3">
        <v>45199</v>
      </c>
      <c r="C810" t="s">
        <v>3131</v>
      </c>
      <c r="D810" t="s">
        <v>6168</v>
      </c>
      <c r="E810">
        <v>2</v>
      </c>
      <c r="F810" t="str">
        <f>_xlfn.XLOOKUP(C810,customers!$A$1:$A$983,customers!$B$1:$B$983,,0)</f>
        <v>Paul White</v>
      </c>
      <c r="G810" t="str">
        <f>_xlfn.XLOOKUP(C810,customers!$A:$A,customers!$C:$C,,0)</f>
        <v>paul.white778@yahoo.com</v>
      </c>
      <c r="H810" t="str">
        <f>IF(_xlfn.XLOOKUP(C810,customers!$A:$A,customers!$G:$G,,0)=0,"",_xlfn.XLOOKUP(C810,customers!$A:$A,customers!$G:$G,,0))</f>
        <v>Sweden</v>
      </c>
      <c r="I810" t="str">
        <f>IF(_xlfn.XLOOKUP(D810,product!$A:$A,product!$E:$E,,0)=0,"",_xlfn.XLOOKUP(D810,product!$A:$A,product!$E:$E,,0))</f>
        <v>FICTION</v>
      </c>
      <c r="J810" s="5">
        <f>IF(_xlfn.XLOOKUP(D810,product!$A:$A,product!$D:$D,,0)=0,"",_xlfn.XLOOKUP(D810,product!$A:$A,product!$D:$D,,0))</f>
        <v>28.34</v>
      </c>
      <c r="K810" s="7">
        <f t="shared" si="12"/>
        <v>56.68</v>
      </c>
      <c r="L810" s="10" t="str">
        <f>IF(_xlfn.XLOOKUP(D810,product!$A:$A,product!$F:$F,,0)=0,"",_xlfn.XLOOKUP(D810,product!$A:$A,product!$F:$F,,0))</f>
        <v>No</v>
      </c>
      <c r="M810" t="str">
        <f>IF(_xlfn.XLOOKUP(D810,product!$A:$A,product!G:G,,0)=0,"",_xlfn.XLOOKUP(D810,product!$A:$A,product!G:G,,0))</f>
        <v>None</v>
      </c>
      <c r="N810" t="str">
        <f>IF(_xlfn.XLOOKUP(D810,product!$A:$A,product!$B:$B,,0)=0,"",_xlfn.XLOOKUP(D810,product!$A:$A,product!$B:$B,,0))</f>
        <v>Journey Power</v>
      </c>
    </row>
    <row r="811" spans="1:14" x14ac:dyDescent="0.35">
      <c r="A811" t="s">
        <v>12</v>
      </c>
      <c r="B811" s="3">
        <v>45642</v>
      </c>
      <c r="C811" t="s">
        <v>2094</v>
      </c>
      <c r="D811" t="s">
        <v>6169</v>
      </c>
      <c r="E811">
        <v>3</v>
      </c>
      <c r="F811" t="str">
        <f>_xlfn.XLOOKUP(C811,customers!$A$1:$A$983,customers!$B$1:$B$983,,0)</f>
        <v>Mia Jackson</v>
      </c>
      <c r="G811" t="str">
        <f>_xlfn.XLOOKUP(C811,customers!$A:$A,customers!$C:$C,,0)</f>
        <v>mia.jackson294@outlook.com</v>
      </c>
      <c r="H811" t="str">
        <f>IF(_xlfn.XLOOKUP(C811,customers!$A:$A,customers!$G:$G,,0)=0,"",_xlfn.XLOOKUP(C811,customers!$A:$A,customers!$G:$G,,0))</f>
        <v>Spain</v>
      </c>
      <c r="I811" t="str">
        <f>IF(_xlfn.XLOOKUP(D811,product!$A:$A,product!$E:$E,,0)=0,"",_xlfn.XLOOKUP(D811,product!$A:$A,product!$E:$E,,0))</f>
        <v>TECH</v>
      </c>
      <c r="J811" s="5">
        <f>IF(_xlfn.XLOOKUP(D811,product!$A:$A,product!$D:$D,,0)=0,"",_xlfn.XLOOKUP(D811,product!$A:$A,product!$D:$D,,0))</f>
        <v>10.69</v>
      </c>
      <c r="K811" s="7">
        <f t="shared" si="12"/>
        <v>32.07</v>
      </c>
      <c r="L811" s="10" t="str">
        <f>IF(_xlfn.XLOOKUP(D811,product!$A:$A,product!$F:$F,,0)=0,"",_xlfn.XLOOKUP(D811,product!$A:$A,product!$F:$F,,0))</f>
        <v>Yes</v>
      </c>
      <c r="M811" t="str">
        <f>IF(_xlfn.XLOOKUP(D811,product!$A:$A,product!G:G,,0)=0,"",_xlfn.XLOOKUP(D811,product!$A:$A,product!G:G,,0))</f>
        <v>Gold</v>
      </c>
      <c r="N811" t="str">
        <f>IF(_xlfn.XLOOKUP(D811,product!$A:$A,product!$B:$B,,0)=0,"",_xlfn.XLOOKUP(D811,product!$A:$A,product!$B:$B,,0))</f>
        <v>Silent Future</v>
      </c>
    </row>
    <row r="812" spans="1:14" x14ac:dyDescent="0.35">
      <c r="A812" t="s">
        <v>33</v>
      </c>
      <c r="B812" s="3">
        <v>45009</v>
      </c>
      <c r="C812" t="s">
        <v>2772</v>
      </c>
      <c r="D812" t="s">
        <v>6170</v>
      </c>
      <c r="E812">
        <v>1</v>
      </c>
      <c r="F812" t="str">
        <f>_xlfn.XLOOKUP(C812,customers!$A$1:$A$983,customers!$B$1:$B$983,,0)</f>
        <v>Anna Green</v>
      </c>
      <c r="G812" t="str">
        <f>_xlfn.XLOOKUP(C812,customers!$A:$A,customers!$C:$C,,0)</f>
        <v>anna.green603@hotmail.com</v>
      </c>
      <c r="H812" t="str">
        <f>IF(_xlfn.XLOOKUP(C812,customers!$A:$A,customers!$G:$G,,0)=0,"",_xlfn.XLOOKUP(C812,customers!$A:$A,customers!$G:$G,,0))</f>
        <v>Germany</v>
      </c>
      <c r="I812" t="str">
        <f>IF(_xlfn.XLOOKUP(D812,product!$A:$A,product!$E:$E,,0)=0,"",_xlfn.XLOOKUP(D812,product!$A:$A,product!$E:$E,,0))</f>
        <v>HISTORY</v>
      </c>
      <c r="J812" s="5">
        <f>IF(_xlfn.XLOOKUP(D812,product!$A:$A,product!$D:$D,,0)=0,"",_xlfn.XLOOKUP(D812,product!$A:$A,product!$D:$D,,0))</f>
        <v>28.35</v>
      </c>
      <c r="K812" s="7">
        <f t="shared" si="12"/>
        <v>28.35</v>
      </c>
      <c r="L812" s="10" t="str">
        <f>IF(_xlfn.XLOOKUP(D812,product!$A:$A,product!$F:$F,,0)=0,"",_xlfn.XLOOKUP(D812,product!$A:$A,product!$F:$F,,0))</f>
        <v>Yes</v>
      </c>
      <c r="M812" t="str">
        <f>IF(_xlfn.XLOOKUP(D812,product!$A:$A,product!G:G,,0)=0,"",_xlfn.XLOOKUP(D812,product!$A:$A,product!G:G,,0))</f>
        <v>Gold</v>
      </c>
      <c r="N812" t="str">
        <f>IF(_xlfn.XLOOKUP(D812,product!$A:$A,product!$B:$B,,0)=0,"",_xlfn.XLOOKUP(D812,product!$A:$A,product!$B:$B,,0))</f>
        <v>Journey Future</v>
      </c>
    </row>
    <row r="813" spans="1:14" x14ac:dyDescent="0.35">
      <c r="A813" t="s">
        <v>50</v>
      </c>
      <c r="B813" s="3">
        <v>45332</v>
      </c>
      <c r="C813" t="s">
        <v>1200</v>
      </c>
      <c r="D813" t="s">
        <v>6171</v>
      </c>
      <c r="E813">
        <v>2</v>
      </c>
      <c r="F813" t="str">
        <f>_xlfn.XLOOKUP(C813,customers!$A$1:$A$983,customers!$B$1:$B$983,,0)</f>
        <v>Kevin Rodriguez</v>
      </c>
      <c r="G813" t="str">
        <f>_xlfn.XLOOKUP(C813,customers!$A:$A,customers!$C:$C,,0)</f>
        <v>kevin.rodriguez39@hotmail.com</v>
      </c>
      <c r="H813" t="str">
        <f>IF(_xlfn.XLOOKUP(C813,customers!$A:$A,customers!$G:$G,,0)=0,"",_xlfn.XLOOKUP(C813,customers!$A:$A,customers!$G:$G,,0))</f>
        <v>Japan</v>
      </c>
      <c r="I813" t="str">
        <f>IF(_xlfn.XLOOKUP(D813,product!$A:$A,product!$E:$E,,0)=0,"",_xlfn.XLOOKUP(D813,product!$A:$A,product!$E:$E,,0))</f>
        <v>SCIENCE</v>
      </c>
      <c r="J813" s="5">
        <f>IF(_xlfn.XLOOKUP(D813,product!$A:$A,product!$D:$D,,0)=0,"",_xlfn.XLOOKUP(D813,product!$A:$A,product!$D:$D,,0))</f>
        <v>25.99</v>
      </c>
      <c r="K813" s="7">
        <f t="shared" si="12"/>
        <v>51.98</v>
      </c>
      <c r="L813" s="10" t="str">
        <f>IF(_xlfn.XLOOKUP(D813,product!$A:$A,product!$F:$F,,0)=0,"",_xlfn.XLOOKUP(D813,product!$A:$A,product!$F:$F,,0))</f>
        <v>Yes</v>
      </c>
      <c r="M813" t="str">
        <f>IF(_xlfn.XLOOKUP(D813,product!$A:$A,product!G:G,,0)=0,"",_xlfn.XLOOKUP(D813,product!$A:$A,product!G:G,,0))</f>
        <v>None</v>
      </c>
      <c r="N813" t="str">
        <f>IF(_xlfn.XLOOKUP(D813,product!$A:$A,product!$B:$B,,0)=0,"",_xlfn.XLOOKUP(D813,product!$A:$A,product!$B:$B,,0))</f>
        <v>Power Quantum</v>
      </c>
    </row>
    <row r="814" spans="1:14" x14ac:dyDescent="0.35">
      <c r="A814" t="s">
        <v>137</v>
      </c>
      <c r="B814" s="3">
        <v>45150</v>
      </c>
      <c r="C814" t="s">
        <v>2168</v>
      </c>
      <c r="D814" t="s">
        <v>6172</v>
      </c>
      <c r="E814">
        <v>1</v>
      </c>
      <c r="F814" t="str">
        <f>_xlfn.XLOOKUP(C814,customers!$A$1:$A$983,customers!$B$1:$B$983,,0)</f>
        <v>Edward Thompson</v>
      </c>
      <c r="G814" t="str">
        <f>_xlfn.XLOOKUP(C814,customers!$A:$A,customers!$C:$C,,0)</f>
        <v>edward.thompson323@outlook.com</v>
      </c>
      <c r="H814" t="str">
        <f>IF(_xlfn.XLOOKUP(C814,customers!$A:$A,customers!$G:$G,,0)=0,"",_xlfn.XLOOKUP(C814,customers!$A:$A,customers!$G:$G,,0))</f>
        <v>Spain</v>
      </c>
      <c r="I814" t="str">
        <f>IF(_xlfn.XLOOKUP(D814,product!$A:$A,product!$E:$E,,0)=0,"",_xlfn.XLOOKUP(D814,product!$A:$A,product!$E:$E,,0))</f>
        <v>TECH</v>
      </c>
      <c r="J814" s="5">
        <f>IF(_xlfn.XLOOKUP(D814,product!$A:$A,product!$D:$D,,0)=0,"",_xlfn.XLOOKUP(D814,product!$A:$A,product!$D:$D,,0))</f>
        <v>20.37</v>
      </c>
      <c r="K814" s="7">
        <f t="shared" si="12"/>
        <v>20.37</v>
      </c>
      <c r="L814" s="10" t="str">
        <f>IF(_xlfn.XLOOKUP(D814,product!$A:$A,product!$F:$F,,0)=0,"",_xlfn.XLOOKUP(D814,product!$A:$A,product!$F:$F,,0))</f>
        <v>Yes</v>
      </c>
      <c r="M814" t="str">
        <f>IF(_xlfn.XLOOKUP(D814,product!$A:$A,product!G:G,,0)=0,"",_xlfn.XLOOKUP(D814,product!$A:$A,product!G:G,,0))</f>
        <v>Silver</v>
      </c>
      <c r="N814" t="str">
        <f>IF(_xlfn.XLOOKUP(D814,product!$A:$A,product!$B:$B,,0)=0,"",_xlfn.XLOOKUP(D814,product!$A:$A,product!$B:$B,,0))</f>
        <v>Forest Data</v>
      </c>
    </row>
    <row r="815" spans="1:14" x14ac:dyDescent="0.35">
      <c r="A815" t="s">
        <v>154</v>
      </c>
      <c r="B815" s="3">
        <v>45433</v>
      </c>
      <c r="C815" t="s">
        <v>2894</v>
      </c>
      <c r="D815" t="s">
        <v>6173</v>
      </c>
      <c r="E815">
        <v>2</v>
      </c>
      <c r="F815" t="str">
        <f>_xlfn.XLOOKUP(C815,customers!$A$1:$A$983,customers!$B$1:$B$983,,0)</f>
        <v>Robert Robinson</v>
      </c>
      <c r="G815" t="str">
        <f>_xlfn.XLOOKUP(C815,customers!$A:$A,customers!$C:$C,,0)</f>
        <v>robert.robinson662@outlook.com</v>
      </c>
      <c r="H815" t="str">
        <f>IF(_xlfn.XLOOKUP(C815,customers!$A:$A,customers!$G:$G,,0)=0,"",_xlfn.XLOOKUP(C815,customers!$A:$A,customers!$G:$G,,0))</f>
        <v>Egypt</v>
      </c>
      <c r="I815" t="str">
        <f>IF(_xlfn.XLOOKUP(D815,product!$A:$A,product!$E:$E,,0)=0,"",_xlfn.XLOOKUP(D815,product!$A:$A,product!$E:$E,,0))</f>
        <v>FICTION</v>
      </c>
      <c r="J815" s="5">
        <f>IF(_xlfn.XLOOKUP(D815,product!$A:$A,product!$D:$D,,0)=0,"",_xlfn.XLOOKUP(D815,product!$A:$A,product!$D:$D,,0))</f>
        <v>12.33</v>
      </c>
      <c r="K815" s="7">
        <f t="shared" si="12"/>
        <v>24.66</v>
      </c>
      <c r="L815" s="10" t="str">
        <f>IF(_xlfn.XLOOKUP(D815,product!$A:$A,product!$F:$F,,0)=0,"",_xlfn.XLOOKUP(D815,product!$A:$A,product!$F:$F,,0))</f>
        <v>No</v>
      </c>
      <c r="M815" t="str">
        <f>IF(_xlfn.XLOOKUP(D815,product!$A:$A,product!G:G,,0)=0,"",_xlfn.XLOOKUP(D815,product!$A:$A,product!G:G,,0))</f>
        <v>Silver</v>
      </c>
      <c r="N815" t="str">
        <f>IF(_xlfn.XLOOKUP(D815,product!$A:$A,product!$B:$B,,0)=0,"",_xlfn.XLOOKUP(D815,product!$A:$A,product!$B:$B,,0))</f>
        <v>Quantum Science</v>
      </c>
    </row>
    <row r="816" spans="1:14" x14ac:dyDescent="0.35">
      <c r="A816" t="s">
        <v>171</v>
      </c>
      <c r="B816" s="3">
        <v>45237</v>
      </c>
      <c r="C816" t="s">
        <v>2194</v>
      </c>
      <c r="D816" t="s">
        <v>6174</v>
      </c>
      <c r="E816">
        <v>2</v>
      </c>
      <c r="F816" t="str">
        <f>_xlfn.XLOOKUP(C816,customers!$A$1:$A$983,customers!$B$1:$B$983,,0)</f>
        <v>Edward Allen</v>
      </c>
      <c r="G816" t="str">
        <f>_xlfn.XLOOKUP(C816,customers!$A:$A,customers!$C:$C,,0)</f>
        <v>edward.allen334@gmail.com</v>
      </c>
      <c r="H816" t="str">
        <f>IF(_xlfn.XLOOKUP(C816,customers!$A:$A,customers!$G:$G,,0)=0,"",_xlfn.XLOOKUP(C816,customers!$A:$A,customers!$G:$G,,0))</f>
        <v>USA</v>
      </c>
      <c r="I816" t="str">
        <f>IF(_xlfn.XLOOKUP(D816,product!$A:$A,product!$E:$E,,0)=0,"",_xlfn.XLOOKUP(D816,product!$A:$A,product!$E:$E,,0))</f>
        <v>HISTORY</v>
      </c>
      <c r="J816" s="5">
        <f>IF(_xlfn.XLOOKUP(D816,product!$A:$A,product!$D:$D,,0)=0,"",_xlfn.XLOOKUP(D816,product!$A:$A,product!$D:$D,,0))</f>
        <v>16.010000000000002</v>
      </c>
      <c r="K816" s="7">
        <f t="shared" si="12"/>
        <v>32.020000000000003</v>
      </c>
      <c r="L816" s="10" t="str">
        <f>IF(_xlfn.XLOOKUP(D816,product!$A:$A,product!$F:$F,,0)=0,"",_xlfn.XLOOKUP(D816,product!$A:$A,product!$F:$F,,0))</f>
        <v>No</v>
      </c>
      <c r="M816" t="str">
        <f>IF(_xlfn.XLOOKUP(D816,product!$A:$A,product!G:G,,0)=0,"",_xlfn.XLOOKUP(D816,product!$A:$A,product!G:G,,0))</f>
        <v>Gold</v>
      </c>
      <c r="N816" t="str">
        <f>IF(_xlfn.XLOOKUP(D816,product!$A:$A,product!$B:$B,,0)=0,"",_xlfn.XLOOKUP(D816,product!$A:$A,product!$B:$B,,0))</f>
        <v>Power Science</v>
      </c>
    </row>
    <row r="817" spans="1:14" x14ac:dyDescent="0.35">
      <c r="A817" t="s">
        <v>188</v>
      </c>
      <c r="B817" s="3">
        <v>45490</v>
      </c>
      <c r="C817" t="s">
        <v>3303</v>
      </c>
      <c r="D817" t="s">
        <v>6175</v>
      </c>
      <c r="E817">
        <v>2</v>
      </c>
      <c r="F817" t="str">
        <f>_xlfn.XLOOKUP(C817,customers!$A$1:$A$983,customers!$B$1:$B$983,,0)</f>
        <v>Edward Lopez</v>
      </c>
      <c r="G817" t="str">
        <f>_xlfn.XLOOKUP(C817,customers!$A:$A,customers!$C:$C,,0)</f>
        <v>edward.lopez865@yahoo.com</v>
      </c>
      <c r="H817" t="str">
        <f>IF(_xlfn.XLOOKUP(C817,customers!$A:$A,customers!$G:$G,,0)=0,"",_xlfn.XLOOKUP(C817,customers!$A:$A,customers!$G:$G,,0))</f>
        <v>Spain</v>
      </c>
      <c r="I817" t="str">
        <f>IF(_xlfn.XLOOKUP(D817,product!$A:$A,product!$E:$E,,0)=0,"",_xlfn.XLOOKUP(D817,product!$A:$A,product!$E:$E,,0))</f>
        <v>TECH</v>
      </c>
      <c r="J817" s="5">
        <f>IF(_xlfn.XLOOKUP(D817,product!$A:$A,product!$D:$D,,0)=0,"",_xlfn.XLOOKUP(D817,product!$A:$A,product!$D:$D,,0))</f>
        <v>25.95</v>
      </c>
      <c r="K817" s="7">
        <f t="shared" si="12"/>
        <v>51.9</v>
      </c>
      <c r="L817" s="10" t="str">
        <f>IF(_xlfn.XLOOKUP(D817,product!$A:$A,product!$F:$F,,0)=0,"",_xlfn.XLOOKUP(D817,product!$A:$A,product!$F:$F,,0))</f>
        <v>No</v>
      </c>
      <c r="M817" t="str">
        <f>IF(_xlfn.XLOOKUP(D817,product!$A:$A,product!G:G,,0)=0,"",_xlfn.XLOOKUP(D817,product!$A:$A,product!G:G,,0))</f>
        <v>None</v>
      </c>
      <c r="N817" t="str">
        <f>IF(_xlfn.XLOOKUP(D817,product!$A:$A,product!$B:$B,,0)=0,"",_xlfn.XLOOKUP(D817,product!$A:$A,product!$B:$B,,0))</f>
        <v>Future Forest</v>
      </c>
    </row>
    <row r="818" spans="1:14" x14ac:dyDescent="0.35">
      <c r="A818" t="s">
        <v>205</v>
      </c>
      <c r="B818" s="3">
        <v>45086</v>
      </c>
      <c r="C818" t="s">
        <v>3386</v>
      </c>
      <c r="D818" t="s">
        <v>6176</v>
      </c>
      <c r="E818">
        <v>2</v>
      </c>
      <c r="F818" t="str">
        <f>_xlfn.XLOOKUP(C818,customers!$A$1:$A$983,customers!$B$1:$B$983,,0)</f>
        <v>Isabella Lee</v>
      </c>
      <c r="G818" t="str">
        <f>_xlfn.XLOOKUP(C818,customers!$A:$A,customers!$C:$C,,0)</f>
        <v>isabella.lee907@outlook.com</v>
      </c>
      <c r="H818" t="str">
        <f>IF(_xlfn.XLOOKUP(C818,customers!$A:$A,customers!$G:$G,,0)=0,"",_xlfn.XLOOKUP(C818,customers!$A:$A,customers!$G:$G,,0))</f>
        <v>Portugal</v>
      </c>
      <c r="I818" t="str">
        <f>IF(_xlfn.XLOOKUP(D818,product!$A:$A,product!$E:$E,,0)=0,"",_xlfn.XLOOKUP(D818,product!$A:$A,product!$E:$E,,0))</f>
        <v>HISTORY</v>
      </c>
      <c r="J818" s="5">
        <f>IF(_xlfn.XLOOKUP(D818,product!$A:$A,product!$D:$D,,0)=0,"",_xlfn.XLOOKUP(D818,product!$A:$A,product!$D:$D,,0))</f>
        <v>24.07</v>
      </c>
      <c r="K818" s="7">
        <f t="shared" si="12"/>
        <v>48.14</v>
      </c>
      <c r="L818" s="10" t="str">
        <f>IF(_xlfn.XLOOKUP(D818,product!$A:$A,product!$F:$F,,0)=0,"",_xlfn.XLOOKUP(D818,product!$A:$A,product!$F:$F,,0))</f>
        <v>No</v>
      </c>
      <c r="M818" t="str">
        <f>IF(_xlfn.XLOOKUP(D818,product!$A:$A,product!G:G,,0)=0,"",_xlfn.XLOOKUP(D818,product!$A:$A,product!G:G,,0))</f>
        <v>None</v>
      </c>
      <c r="N818" t="str">
        <f>IF(_xlfn.XLOOKUP(D818,product!$A:$A,product!$B:$B,,0)=0,"",_xlfn.XLOOKUP(D818,product!$A:$A,product!$B:$B,,0))</f>
        <v>Power Silent</v>
      </c>
    </row>
    <row r="819" spans="1:14" x14ac:dyDescent="0.35">
      <c r="A819" t="s">
        <v>222</v>
      </c>
      <c r="B819" s="3">
        <v>45557</v>
      </c>
      <c r="C819" t="s">
        <v>2658</v>
      </c>
      <c r="D819" t="s">
        <v>6177</v>
      </c>
      <c r="E819">
        <v>2</v>
      </c>
      <c r="F819" t="str">
        <f>_xlfn.XLOOKUP(C819,customers!$A$1:$A$983,customers!$B$1:$B$983,,0)</f>
        <v>Zoe Anderson</v>
      </c>
      <c r="G819" t="str">
        <f>_xlfn.XLOOKUP(C819,customers!$A:$A,customers!$C:$C,,0)</f>
        <v>zoe.anderson548@hotmail.com</v>
      </c>
      <c r="H819" t="str">
        <f>IF(_xlfn.XLOOKUP(C819,customers!$A:$A,customers!$G:$G,,0)=0,"",_xlfn.XLOOKUP(C819,customers!$A:$A,customers!$G:$G,,0))</f>
        <v>Spain</v>
      </c>
      <c r="I819" t="str">
        <f>IF(_xlfn.XLOOKUP(D819,product!$A:$A,product!$E:$E,,0)=0,"",_xlfn.XLOOKUP(D819,product!$A:$A,product!$E:$E,,0))</f>
        <v>SCIENCE</v>
      </c>
      <c r="J819" s="5">
        <f>IF(_xlfn.XLOOKUP(D819,product!$A:$A,product!$D:$D,,0)=0,"",_xlfn.XLOOKUP(D819,product!$A:$A,product!$D:$D,,0))</f>
        <v>34.79</v>
      </c>
      <c r="K819" s="7">
        <f t="shared" si="12"/>
        <v>69.58</v>
      </c>
      <c r="L819" s="10" t="str">
        <f>IF(_xlfn.XLOOKUP(D819,product!$A:$A,product!$F:$F,,0)=0,"",_xlfn.XLOOKUP(D819,product!$A:$A,product!$F:$F,,0))</f>
        <v>No</v>
      </c>
      <c r="M819" t="str">
        <f>IF(_xlfn.XLOOKUP(D819,product!$A:$A,product!G:G,,0)=0,"",_xlfn.XLOOKUP(D819,product!$A:$A,product!G:G,,0))</f>
        <v>Gold</v>
      </c>
      <c r="N819" t="str">
        <f>IF(_xlfn.XLOOKUP(D819,product!$A:$A,product!$B:$B,,0)=0,"",_xlfn.XLOOKUP(D819,product!$A:$A,product!$B:$B,,0))</f>
        <v>Future Quantum</v>
      </c>
    </row>
    <row r="820" spans="1:14" x14ac:dyDescent="0.35">
      <c r="A820" t="s">
        <v>239</v>
      </c>
      <c r="B820" s="3">
        <v>45033</v>
      </c>
      <c r="C820" t="s">
        <v>1708</v>
      </c>
      <c r="D820" t="s">
        <v>6178</v>
      </c>
      <c r="E820">
        <v>2</v>
      </c>
      <c r="F820" t="str">
        <f>_xlfn.XLOOKUP(C820,customers!$A$1:$A$983,customers!$B$1:$B$983,,0)</f>
        <v>Jessica Jackson</v>
      </c>
      <c r="G820" t="str">
        <f>_xlfn.XLOOKUP(C820,customers!$A:$A,customers!$C:$C,,0)</f>
        <v>jessica.jackson173@outlook.com</v>
      </c>
      <c r="H820" t="str">
        <f>IF(_xlfn.XLOOKUP(C820,customers!$A:$A,customers!$G:$G,,0)=0,"",_xlfn.XLOOKUP(C820,customers!$A:$A,customers!$G:$G,,0))</f>
        <v>Pakistan</v>
      </c>
      <c r="I820" t="str">
        <f>IF(_xlfn.XLOOKUP(D820,product!$A:$A,product!$E:$E,,0)=0,"",_xlfn.XLOOKUP(D820,product!$A:$A,product!$E:$E,,0))</f>
        <v>TECH</v>
      </c>
      <c r="J820" s="5">
        <f>IF(_xlfn.XLOOKUP(D820,product!$A:$A,product!$D:$D,,0)=0,"",_xlfn.XLOOKUP(D820,product!$A:$A,product!$D:$D,,0))</f>
        <v>27.76</v>
      </c>
      <c r="K820" s="7">
        <f t="shared" si="12"/>
        <v>55.52</v>
      </c>
      <c r="L820" s="10" t="str">
        <f>IF(_xlfn.XLOOKUP(D820,product!$A:$A,product!$F:$F,,0)=0,"",_xlfn.XLOOKUP(D820,product!$A:$A,product!$F:$F,,0))</f>
        <v>Yes</v>
      </c>
      <c r="M820" t="str">
        <f>IF(_xlfn.XLOOKUP(D820,product!$A:$A,product!G:G,,0)=0,"",_xlfn.XLOOKUP(D820,product!$A:$A,product!G:G,,0))</f>
        <v>Silver</v>
      </c>
      <c r="N820" t="str">
        <f>IF(_xlfn.XLOOKUP(D820,product!$A:$A,product!$B:$B,,0)=0,"",_xlfn.XLOOKUP(D820,product!$A:$A,product!$B:$B,,0))</f>
        <v>Secrets Silent</v>
      </c>
    </row>
    <row r="821" spans="1:14" x14ac:dyDescent="0.35">
      <c r="A821" t="s">
        <v>256</v>
      </c>
      <c r="B821" s="3">
        <v>45296</v>
      </c>
      <c r="C821" t="s">
        <v>1346</v>
      </c>
      <c r="D821" t="s">
        <v>6179</v>
      </c>
      <c r="E821">
        <v>2</v>
      </c>
      <c r="F821" t="str">
        <f>_xlfn.XLOOKUP(C821,customers!$A$1:$A$983,customers!$B$1:$B$983,,0)</f>
        <v>Jessica Baker</v>
      </c>
      <c r="G821" t="str">
        <f>_xlfn.XLOOKUP(C821,customers!$A:$A,customers!$C:$C,,0)</f>
        <v>jessica.baker76@outlook.com</v>
      </c>
      <c r="H821" t="str">
        <f>IF(_xlfn.XLOOKUP(C821,customers!$A:$A,customers!$G:$G,,0)=0,"",_xlfn.XLOOKUP(C821,customers!$A:$A,customers!$G:$G,,0))</f>
        <v>Sweden</v>
      </c>
      <c r="I821" t="str">
        <f>IF(_xlfn.XLOOKUP(D821,product!$A:$A,product!$E:$E,,0)=0,"",_xlfn.XLOOKUP(D821,product!$A:$A,product!$E:$E,,0))</f>
        <v>BUSINESS</v>
      </c>
      <c r="J821" s="5">
        <f>IF(_xlfn.XLOOKUP(D821,product!$A:$A,product!$D:$D,,0)=0,"",_xlfn.XLOOKUP(D821,product!$A:$A,product!$D:$D,,0))</f>
        <v>14.81</v>
      </c>
      <c r="K821" s="7">
        <f t="shared" si="12"/>
        <v>29.62</v>
      </c>
      <c r="L821" s="10" t="str">
        <f>IF(_xlfn.XLOOKUP(D821,product!$A:$A,product!$F:$F,,0)=0,"",_xlfn.XLOOKUP(D821,product!$A:$A,product!$F:$F,,0))</f>
        <v>Yes</v>
      </c>
      <c r="M821" t="str">
        <f>IF(_xlfn.XLOOKUP(D821,product!$A:$A,product!G:G,,0)=0,"",_xlfn.XLOOKUP(D821,product!$A:$A,product!G:G,,0))</f>
        <v>None</v>
      </c>
      <c r="N821" t="str">
        <f>IF(_xlfn.XLOOKUP(D821,product!$A:$A,product!$B:$B,,0)=0,"",_xlfn.XLOOKUP(D821,product!$A:$A,product!$B:$B,,0))</f>
        <v>Science Quantum</v>
      </c>
    </row>
    <row r="822" spans="1:14" x14ac:dyDescent="0.35">
      <c r="A822" t="s">
        <v>273</v>
      </c>
      <c r="B822" s="3">
        <v>45225</v>
      </c>
      <c r="C822" t="s">
        <v>1446</v>
      </c>
      <c r="D822" t="s">
        <v>6180</v>
      </c>
      <c r="E822">
        <v>2</v>
      </c>
      <c r="F822" t="str">
        <f>_xlfn.XLOOKUP(C822,customers!$A$1:$A$983,customers!$B$1:$B$983,,0)</f>
        <v>Mark Allen</v>
      </c>
      <c r="G822" t="str">
        <f>_xlfn.XLOOKUP(C822,customers!$A:$A,customers!$C:$C,,0)</f>
        <v>mark.allen106@hotmail.com</v>
      </c>
      <c r="H822" t="str">
        <f>IF(_xlfn.XLOOKUP(C822,customers!$A:$A,customers!$G:$G,,0)=0,"",_xlfn.XLOOKUP(C822,customers!$A:$A,customers!$G:$G,,0))</f>
        <v>Japan</v>
      </c>
      <c r="I822" t="str">
        <f>IF(_xlfn.XLOOKUP(D822,product!$A:$A,product!$E:$E,,0)=0,"",_xlfn.XLOOKUP(D822,product!$A:$A,product!$E:$E,,0))</f>
        <v>TECH</v>
      </c>
      <c r="J822" s="5">
        <f>IF(_xlfn.XLOOKUP(D822,product!$A:$A,product!$D:$D,,0)=0,"",_xlfn.XLOOKUP(D822,product!$A:$A,product!$D:$D,,0))</f>
        <v>13.66</v>
      </c>
      <c r="K822" s="7">
        <f t="shared" si="12"/>
        <v>27.32</v>
      </c>
      <c r="L822" s="10" t="str">
        <f>IF(_xlfn.XLOOKUP(D822,product!$A:$A,product!$F:$F,,0)=0,"",_xlfn.XLOOKUP(D822,product!$A:$A,product!$F:$F,,0))</f>
        <v>Yes</v>
      </c>
      <c r="M822" t="str">
        <f>IF(_xlfn.XLOOKUP(D822,product!$A:$A,product!G:G,,0)=0,"",_xlfn.XLOOKUP(D822,product!$A:$A,product!G:G,,0))</f>
        <v>None</v>
      </c>
      <c r="N822" t="str">
        <f>IF(_xlfn.XLOOKUP(D822,product!$A:$A,product!$B:$B,,0)=0,"",_xlfn.XLOOKUP(D822,product!$A:$A,product!$B:$B,,0))</f>
        <v>Quantum Science</v>
      </c>
    </row>
    <row r="823" spans="1:14" x14ac:dyDescent="0.35">
      <c r="A823" t="s">
        <v>290</v>
      </c>
      <c r="B823" s="3">
        <v>45599</v>
      </c>
      <c r="C823" t="s">
        <v>2044</v>
      </c>
      <c r="D823" t="s">
        <v>6181</v>
      </c>
      <c r="E823">
        <v>2</v>
      </c>
      <c r="F823" t="str">
        <f>_xlfn.XLOOKUP(C823,customers!$A$1:$A$983,customers!$B$1:$B$983,,0)</f>
        <v>Hannah Wright</v>
      </c>
      <c r="G823" t="str">
        <f>_xlfn.XLOOKUP(C823,customers!$A:$A,customers!$C:$C,,0)</f>
        <v>hannah.wright276@gmail.com</v>
      </c>
      <c r="H823" t="str">
        <f>IF(_xlfn.XLOOKUP(C823,customers!$A:$A,customers!$G:$G,,0)=0,"",_xlfn.XLOOKUP(C823,customers!$A:$A,customers!$G:$G,,0))</f>
        <v>Spain</v>
      </c>
      <c r="I823" t="str">
        <f>IF(_xlfn.XLOOKUP(D823,product!$A:$A,product!$E:$E,,0)=0,"",_xlfn.XLOOKUP(D823,product!$A:$A,product!$E:$E,,0))</f>
        <v>TECH</v>
      </c>
      <c r="J823" s="5">
        <f>IF(_xlfn.XLOOKUP(D823,product!$A:$A,product!$D:$D,,0)=0,"",_xlfn.XLOOKUP(D823,product!$A:$A,product!$D:$D,,0))</f>
        <v>25.4</v>
      </c>
      <c r="K823" s="7">
        <f t="shared" si="12"/>
        <v>50.8</v>
      </c>
      <c r="L823" s="10" t="str">
        <f>IF(_xlfn.XLOOKUP(D823,product!$A:$A,product!$F:$F,,0)=0,"",_xlfn.XLOOKUP(D823,product!$A:$A,product!$F:$F,,0))</f>
        <v>Yes</v>
      </c>
      <c r="M823" t="str">
        <f>IF(_xlfn.XLOOKUP(D823,product!$A:$A,product!G:G,,0)=0,"",_xlfn.XLOOKUP(D823,product!$A:$A,product!G:G,,0))</f>
        <v>Gold</v>
      </c>
      <c r="N823" t="str">
        <f>IF(_xlfn.XLOOKUP(D823,product!$A:$A,product!$B:$B,,0)=0,"",_xlfn.XLOOKUP(D823,product!$A:$A,product!$B:$B,,0))</f>
        <v>Silent Science</v>
      </c>
    </row>
    <row r="824" spans="1:14" x14ac:dyDescent="0.35">
      <c r="A824" t="s">
        <v>307</v>
      </c>
      <c r="B824" s="3">
        <v>45279</v>
      </c>
      <c r="C824" t="s">
        <v>2210</v>
      </c>
      <c r="D824" t="s">
        <v>6182</v>
      </c>
      <c r="E824">
        <v>2</v>
      </c>
      <c r="F824" t="str">
        <f>_xlfn.XLOOKUP(C824,customers!$A$1:$A$983,customers!$B$1:$B$983,,0)</f>
        <v>Thomas Smith</v>
      </c>
      <c r="G824" t="str">
        <f>_xlfn.XLOOKUP(C824,customers!$A:$A,customers!$C:$C,,0)</f>
        <v>thomas.smith341@gmail.com</v>
      </c>
      <c r="H824" t="str">
        <f>IF(_xlfn.XLOOKUP(C824,customers!$A:$A,customers!$G:$G,,0)=0,"",_xlfn.XLOOKUP(C824,customers!$A:$A,customers!$G:$G,,0))</f>
        <v>Spain</v>
      </c>
      <c r="I824" t="str">
        <f>IF(_xlfn.XLOOKUP(D824,product!$A:$A,product!$E:$E,,0)=0,"",_xlfn.XLOOKUP(D824,product!$A:$A,product!$E:$E,,0))</f>
        <v>FICTION</v>
      </c>
      <c r="J824" s="5">
        <f>IF(_xlfn.XLOOKUP(D824,product!$A:$A,product!$D:$D,,0)=0,"",_xlfn.XLOOKUP(D824,product!$A:$A,product!$D:$D,,0))</f>
        <v>11.19</v>
      </c>
      <c r="K824" s="7">
        <f t="shared" si="12"/>
        <v>22.38</v>
      </c>
      <c r="L824" s="10" t="str">
        <f>IF(_xlfn.XLOOKUP(D824,product!$A:$A,product!$F:$F,,0)=0,"",_xlfn.XLOOKUP(D824,product!$A:$A,product!$F:$F,,0))</f>
        <v>Yes</v>
      </c>
      <c r="M824" t="str">
        <f>IF(_xlfn.XLOOKUP(D824,product!$A:$A,product!G:G,,0)=0,"",_xlfn.XLOOKUP(D824,product!$A:$A,product!G:G,,0))</f>
        <v>None</v>
      </c>
      <c r="N824" t="str">
        <f>IF(_xlfn.XLOOKUP(D824,product!$A:$A,product!$B:$B,,0)=0,"",_xlfn.XLOOKUP(D824,product!$A:$A,product!$B:$B,,0))</f>
        <v>Future Forest</v>
      </c>
    </row>
    <row r="825" spans="1:14" x14ac:dyDescent="0.35">
      <c r="A825" t="s">
        <v>324</v>
      </c>
      <c r="B825" s="3">
        <v>45381</v>
      </c>
      <c r="C825" t="s">
        <v>1788</v>
      </c>
      <c r="D825" t="s">
        <v>6183</v>
      </c>
      <c r="E825">
        <v>2</v>
      </c>
      <c r="F825" t="str">
        <f>_xlfn.XLOOKUP(C825,customers!$A$1:$A$983,customers!$B$1:$B$983,,0)</f>
        <v>Laura Adams</v>
      </c>
      <c r="G825" t="str">
        <f>_xlfn.XLOOKUP(C825,customers!$A:$A,customers!$C:$C,,0)</f>
        <v>laura.adams195@outlook.com</v>
      </c>
      <c r="H825" t="str">
        <f>IF(_xlfn.XLOOKUP(C825,customers!$A:$A,customers!$G:$G,,0)=0,"",_xlfn.XLOOKUP(C825,customers!$A:$A,customers!$G:$G,,0))</f>
        <v>Spain</v>
      </c>
      <c r="I825" t="str">
        <f>IF(_xlfn.XLOOKUP(D825,product!$A:$A,product!$E:$E,,0)=0,"",_xlfn.XLOOKUP(D825,product!$A:$A,product!$E:$E,,0))</f>
        <v>SCIENCE</v>
      </c>
      <c r="J825" s="5">
        <f>IF(_xlfn.XLOOKUP(D825,product!$A:$A,product!$D:$D,,0)=0,"",_xlfn.XLOOKUP(D825,product!$A:$A,product!$D:$D,,0))</f>
        <v>36.450000000000003</v>
      </c>
      <c r="K825" s="7">
        <f t="shared" si="12"/>
        <v>72.900000000000006</v>
      </c>
      <c r="L825" s="10" t="str">
        <f>IF(_xlfn.XLOOKUP(D825,product!$A:$A,product!$F:$F,,0)=0,"",_xlfn.XLOOKUP(D825,product!$A:$A,product!$F:$F,,0))</f>
        <v>Yes</v>
      </c>
      <c r="M825" t="str">
        <f>IF(_xlfn.XLOOKUP(D825,product!$A:$A,product!G:G,,0)=0,"",_xlfn.XLOOKUP(D825,product!$A:$A,product!G:G,,0))</f>
        <v>Silver</v>
      </c>
      <c r="N825" t="str">
        <f>IF(_xlfn.XLOOKUP(D825,product!$A:$A,product!$B:$B,,0)=0,"",_xlfn.XLOOKUP(D825,product!$A:$A,product!$B:$B,,0))</f>
        <v>Secrets Silent</v>
      </c>
    </row>
    <row r="826" spans="1:14" x14ac:dyDescent="0.35">
      <c r="A826" t="s">
        <v>341</v>
      </c>
      <c r="B826" s="3">
        <v>44961</v>
      </c>
      <c r="C826" t="s">
        <v>1081</v>
      </c>
      <c r="D826" t="s">
        <v>6184</v>
      </c>
      <c r="E826">
        <v>2</v>
      </c>
      <c r="F826" t="str">
        <f>_xlfn.XLOOKUP(C826,customers!$A$1:$A$983,customers!$B$1:$B$983,,0)</f>
        <v>Anna Garcia</v>
      </c>
      <c r="G826" t="str">
        <f>_xlfn.XLOOKUP(C826,customers!$A:$A,customers!$C:$C,,0)</f>
        <v>anna.garcia12@outlook.com</v>
      </c>
      <c r="H826" t="str">
        <f>IF(_xlfn.XLOOKUP(C826,customers!$A:$A,customers!$G:$G,,0)=0,"",_xlfn.XLOOKUP(C826,customers!$A:$A,customers!$G:$G,,0))</f>
        <v>Japan</v>
      </c>
      <c r="I826" t="str">
        <f>IF(_xlfn.XLOOKUP(D826,product!$A:$A,product!$E:$E,,0)=0,"",_xlfn.XLOOKUP(D826,product!$A:$A,product!$E:$E,,0))</f>
        <v>FICTION</v>
      </c>
      <c r="J826" s="5">
        <f>IF(_xlfn.XLOOKUP(D826,product!$A:$A,product!$D:$D,,0)=0,"",_xlfn.XLOOKUP(D826,product!$A:$A,product!$D:$D,,0))</f>
        <v>31.86</v>
      </c>
      <c r="K826" s="7">
        <f t="shared" si="12"/>
        <v>63.72</v>
      </c>
      <c r="L826" s="10" t="str">
        <f>IF(_xlfn.XLOOKUP(D826,product!$A:$A,product!$F:$F,,0)=0,"",_xlfn.XLOOKUP(D826,product!$A:$A,product!$F:$F,,0))</f>
        <v>Yes</v>
      </c>
      <c r="M826" t="str">
        <f>IF(_xlfn.XLOOKUP(D826,product!$A:$A,product!G:G,,0)=0,"",_xlfn.XLOOKUP(D826,product!$A:$A,product!G:G,,0))</f>
        <v>None</v>
      </c>
      <c r="N826" t="str">
        <f>IF(_xlfn.XLOOKUP(D826,product!$A:$A,product!$B:$B,,0)=0,"",_xlfn.XLOOKUP(D826,product!$A:$A,product!$B:$B,,0))</f>
        <v>Secrets Power</v>
      </c>
    </row>
    <row r="827" spans="1:14" x14ac:dyDescent="0.35">
      <c r="A827" t="s">
        <v>358</v>
      </c>
      <c r="B827" s="3">
        <v>45458</v>
      </c>
      <c r="C827" t="s">
        <v>3431</v>
      </c>
      <c r="D827" t="s">
        <v>6185</v>
      </c>
      <c r="E827">
        <v>2</v>
      </c>
      <c r="F827" t="str">
        <f>_xlfn.XLOOKUP(C827,customers!$A$1:$A$983,customers!$B$1:$B$983,,0)</f>
        <v>Paul Taylor</v>
      </c>
      <c r="G827" t="str">
        <f>_xlfn.XLOOKUP(C827,customers!$A:$A,customers!$C:$C,,0)</f>
        <v>paul.taylor930@outlook.com</v>
      </c>
      <c r="H827" t="str">
        <f>IF(_xlfn.XLOOKUP(C827,customers!$A:$A,customers!$G:$G,,0)=0,"",_xlfn.XLOOKUP(C827,customers!$A:$A,customers!$G:$G,,0))</f>
        <v>Nigeria</v>
      </c>
      <c r="I827" t="str">
        <f>IF(_xlfn.XLOOKUP(D827,product!$A:$A,product!$E:$E,,0)=0,"",_xlfn.XLOOKUP(D827,product!$A:$A,product!$E:$E,,0))</f>
        <v>HISTORY</v>
      </c>
      <c r="J827" s="5">
        <f>IF(_xlfn.XLOOKUP(D827,product!$A:$A,product!$D:$D,,0)=0,"",_xlfn.XLOOKUP(D827,product!$A:$A,product!$D:$D,,0))</f>
        <v>14.55</v>
      </c>
      <c r="K827" s="7">
        <f t="shared" si="12"/>
        <v>29.1</v>
      </c>
      <c r="L827" s="10" t="str">
        <f>IF(_xlfn.XLOOKUP(D827,product!$A:$A,product!$F:$F,,0)=0,"",_xlfn.XLOOKUP(D827,product!$A:$A,product!$F:$F,,0))</f>
        <v>Yes</v>
      </c>
      <c r="M827" t="str">
        <f>IF(_xlfn.XLOOKUP(D827,product!$A:$A,product!G:G,,0)=0,"",_xlfn.XLOOKUP(D827,product!$A:$A,product!G:G,,0))</f>
        <v>None</v>
      </c>
      <c r="N827" t="str">
        <f>IF(_xlfn.XLOOKUP(D827,product!$A:$A,product!$B:$B,,0)=0,"",_xlfn.XLOOKUP(D827,product!$A:$A,product!$B:$B,,0))</f>
        <v>Journey Quantum</v>
      </c>
    </row>
    <row r="828" spans="1:14" x14ac:dyDescent="0.35">
      <c r="A828" t="s">
        <v>375</v>
      </c>
      <c r="B828" s="3">
        <v>45065</v>
      </c>
      <c r="C828" t="s">
        <v>2754</v>
      </c>
      <c r="D828" t="s">
        <v>6186</v>
      </c>
      <c r="E828">
        <v>2</v>
      </c>
      <c r="F828" t="str">
        <f>_xlfn.XLOOKUP(C828,customers!$A$1:$A$983,customers!$B$1:$B$983,,0)</f>
        <v>Sophia King</v>
      </c>
      <c r="G828" t="str">
        <f>_xlfn.XLOOKUP(C828,customers!$A:$A,customers!$C:$C,,0)</f>
        <v>sophia.king594@gmail.com</v>
      </c>
      <c r="H828" t="str">
        <f>IF(_xlfn.XLOOKUP(C828,customers!$A:$A,customers!$G:$G,,0)=0,"",_xlfn.XLOOKUP(C828,customers!$A:$A,customers!$G:$G,,0))</f>
        <v>Germany</v>
      </c>
      <c r="I828" t="str">
        <f>IF(_xlfn.XLOOKUP(D828,product!$A:$A,product!$E:$E,,0)=0,"",_xlfn.XLOOKUP(D828,product!$A:$A,product!$E:$E,,0))</f>
        <v>SCIENCE</v>
      </c>
      <c r="J828" s="5">
        <f>IF(_xlfn.XLOOKUP(D828,product!$A:$A,product!$D:$D,,0)=0,"",_xlfn.XLOOKUP(D828,product!$A:$A,product!$D:$D,,0))</f>
        <v>29.69</v>
      </c>
      <c r="K828" s="7">
        <f t="shared" si="12"/>
        <v>59.38</v>
      </c>
      <c r="L828" s="10" t="str">
        <f>IF(_xlfn.XLOOKUP(D828,product!$A:$A,product!$F:$F,,0)=0,"",_xlfn.XLOOKUP(D828,product!$A:$A,product!$F:$F,,0))</f>
        <v>No</v>
      </c>
      <c r="M828" t="str">
        <f>IF(_xlfn.XLOOKUP(D828,product!$A:$A,product!G:G,,0)=0,"",_xlfn.XLOOKUP(D828,product!$A:$A,product!G:G,,0))</f>
        <v>None</v>
      </c>
      <c r="N828" t="str">
        <f>IF(_xlfn.XLOOKUP(D828,product!$A:$A,product!$B:$B,,0)=0,"",_xlfn.XLOOKUP(D828,product!$A:$A,product!$B:$B,,0))</f>
        <v>Forest Quantum</v>
      </c>
    </row>
    <row r="829" spans="1:14" x14ac:dyDescent="0.35">
      <c r="A829" t="s">
        <v>392</v>
      </c>
      <c r="B829" s="3">
        <v>45587</v>
      </c>
      <c r="C829" t="s">
        <v>1721</v>
      </c>
      <c r="D829" t="s">
        <v>6187</v>
      </c>
      <c r="E829">
        <v>2</v>
      </c>
      <c r="F829" t="str">
        <f>_xlfn.XLOOKUP(C829,customers!$A$1:$A$983,customers!$B$1:$B$983,,0)</f>
        <v>Brian Thomas</v>
      </c>
      <c r="G829" t="str">
        <f>_xlfn.XLOOKUP(C829,customers!$A:$A,customers!$C:$C,,0)</f>
        <v>brian.thomas176@yahoo.com</v>
      </c>
      <c r="H829" t="str">
        <f>IF(_xlfn.XLOOKUP(C829,customers!$A:$A,customers!$G:$G,,0)=0,"",_xlfn.XLOOKUP(C829,customers!$A:$A,customers!$G:$G,,0))</f>
        <v>Egypt</v>
      </c>
      <c r="I829" t="str">
        <f>IF(_xlfn.XLOOKUP(D829,product!$A:$A,product!$E:$E,,0)=0,"",_xlfn.XLOOKUP(D829,product!$A:$A,product!$E:$E,,0))</f>
        <v>SCIENCE</v>
      </c>
      <c r="J829" s="5">
        <f>IF(_xlfn.XLOOKUP(D829,product!$A:$A,product!$D:$D,,0)=0,"",_xlfn.XLOOKUP(D829,product!$A:$A,product!$D:$D,,0))</f>
        <v>10.48</v>
      </c>
      <c r="K829" s="7">
        <f t="shared" si="12"/>
        <v>20.96</v>
      </c>
      <c r="L829" s="10" t="str">
        <f>IF(_xlfn.XLOOKUP(D829,product!$A:$A,product!$F:$F,,0)=0,"",_xlfn.XLOOKUP(D829,product!$A:$A,product!$F:$F,,0))</f>
        <v>No</v>
      </c>
      <c r="M829" t="str">
        <f>IF(_xlfn.XLOOKUP(D829,product!$A:$A,product!G:G,,0)=0,"",_xlfn.XLOOKUP(D829,product!$A:$A,product!G:G,,0))</f>
        <v>Silver</v>
      </c>
      <c r="N829" t="str">
        <f>IF(_xlfn.XLOOKUP(D829,product!$A:$A,product!$B:$B,,0)=0,"",_xlfn.XLOOKUP(D829,product!$A:$A,product!$B:$B,,0))</f>
        <v>Science Silent</v>
      </c>
    </row>
    <row r="830" spans="1:14" x14ac:dyDescent="0.35">
      <c r="A830" t="s">
        <v>409</v>
      </c>
      <c r="B830" s="3">
        <v>45119</v>
      </c>
      <c r="C830" t="s">
        <v>3135</v>
      </c>
      <c r="D830" t="s">
        <v>6188</v>
      </c>
      <c r="E830">
        <v>2</v>
      </c>
      <c r="F830" t="str">
        <f>_xlfn.XLOOKUP(C830,customers!$A$1:$A$983,customers!$B$1:$B$983,,0)</f>
        <v>Joshua Thompson</v>
      </c>
      <c r="G830" t="str">
        <f>_xlfn.XLOOKUP(C830,customers!$A:$A,customers!$C:$C,,0)</f>
        <v>joshua.thompson780@hotmail.com</v>
      </c>
      <c r="H830" t="str">
        <f>IF(_xlfn.XLOOKUP(C830,customers!$A:$A,customers!$G:$G,,0)=0,"",_xlfn.XLOOKUP(C830,customers!$A:$A,customers!$G:$G,,0))</f>
        <v>Spain</v>
      </c>
      <c r="I830" t="str">
        <f>IF(_xlfn.XLOOKUP(D830,product!$A:$A,product!$E:$E,,0)=0,"",_xlfn.XLOOKUP(D830,product!$A:$A,product!$E:$E,,0))</f>
        <v>TECH</v>
      </c>
      <c r="J830" s="5">
        <f>IF(_xlfn.XLOOKUP(D830,product!$A:$A,product!$D:$D,,0)=0,"",_xlfn.XLOOKUP(D830,product!$A:$A,product!$D:$D,,0))</f>
        <v>36.200000000000003</v>
      </c>
      <c r="K830" s="7">
        <f t="shared" si="12"/>
        <v>72.400000000000006</v>
      </c>
      <c r="L830" s="10" t="str">
        <f>IF(_xlfn.XLOOKUP(D830,product!$A:$A,product!$F:$F,,0)=0,"",_xlfn.XLOOKUP(D830,product!$A:$A,product!$F:$F,,0))</f>
        <v>Yes</v>
      </c>
      <c r="M830" t="str">
        <f>IF(_xlfn.XLOOKUP(D830,product!$A:$A,product!G:G,,0)=0,"",_xlfn.XLOOKUP(D830,product!$A:$A,product!G:G,,0))</f>
        <v>None</v>
      </c>
      <c r="N830" t="str">
        <f>IF(_xlfn.XLOOKUP(D830,product!$A:$A,product!$B:$B,,0)=0,"",_xlfn.XLOOKUP(D830,product!$A:$A,product!$B:$B,,0))</f>
        <v>Mind Journey</v>
      </c>
    </row>
    <row r="831" spans="1:14" x14ac:dyDescent="0.35">
      <c r="A831" t="s">
        <v>426</v>
      </c>
      <c r="B831" s="3">
        <v>45531</v>
      </c>
      <c r="C831" t="s">
        <v>1296</v>
      </c>
      <c r="D831" t="s">
        <v>6189</v>
      </c>
      <c r="E831">
        <v>2</v>
      </c>
      <c r="F831" t="str">
        <f>_xlfn.XLOOKUP(C831,customers!$A$1:$A$983,customers!$B$1:$B$983,,0)</f>
        <v>Thomas Lee</v>
      </c>
      <c r="G831" t="str">
        <f>_xlfn.XLOOKUP(C831,customers!$A:$A,customers!$C:$C,,0)</f>
        <v>thomas.lee63@outlook.com</v>
      </c>
      <c r="H831" t="str">
        <f>IF(_xlfn.XLOOKUP(C831,customers!$A:$A,customers!$G:$G,,0)=0,"",_xlfn.XLOOKUP(C831,customers!$A:$A,customers!$G:$G,,0))</f>
        <v>Germany</v>
      </c>
      <c r="I831" t="str">
        <f>IF(_xlfn.XLOOKUP(D831,product!$A:$A,product!$E:$E,,0)=0,"",_xlfn.XLOOKUP(D831,product!$A:$A,product!$E:$E,,0))</f>
        <v>BUSINESS</v>
      </c>
      <c r="J831" s="5">
        <f>IF(_xlfn.XLOOKUP(D831,product!$A:$A,product!$D:$D,,0)=0,"",_xlfn.XLOOKUP(D831,product!$A:$A,product!$D:$D,,0))</f>
        <v>20.66</v>
      </c>
      <c r="K831" s="7">
        <f t="shared" si="12"/>
        <v>41.32</v>
      </c>
      <c r="L831" s="10" t="str">
        <f>IF(_xlfn.XLOOKUP(D831,product!$A:$A,product!$F:$F,,0)=0,"",_xlfn.XLOOKUP(D831,product!$A:$A,product!$F:$F,,0))</f>
        <v>Yes</v>
      </c>
      <c r="M831" t="str">
        <f>IF(_xlfn.XLOOKUP(D831,product!$A:$A,product!G:G,,0)=0,"",_xlfn.XLOOKUP(D831,product!$A:$A,product!G:G,,0))</f>
        <v>Gold</v>
      </c>
      <c r="N831" t="str">
        <f>IF(_xlfn.XLOOKUP(D831,product!$A:$A,product!$B:$B,,0)=0,"",_xlfn.XLOOKUP(D831,product!$A:$A,product!$B:$B,,0))</f>
        <v>Secrets Forest</v>
      </c>
    </row>
    <row r="832" spans="1:14" x14ac:dyDescent="0.35">
      <c r="A832" t="s">
        <v>443</v>
      </c>
      <c r="B832" s="3">
        <v>44929</v>
      </c>
      <c r="C832" t="s">
        <v>3289</v>
      </c>
      <c r="D832" t="s">
        <v>6190</v>
      </c>
      <c r="E832">
        <v>2</v>
      </c>
      <c r="F832" t="str">
        <f>_xlfn.XLOOKUP(C832,customers!$A$1:$A$983,customers!$B$1:$B$983,,0)</f>
        <v>John Wright</v>
      </c>
      <c r="G832" t="str">
        <f>_xlfn.XLOOKUP(C832,customers!$A:$A,customers!$C:$C,,0)</f>
        <v>john.wright858@hotmail.com</v>
      </c>
      <c r="H832" t="str">
        <f>IF(_xlfn.XLOOKUP(C832,customers!$A:$A,customers!$G:$G,,0)=0,"",_xlfn.XLOOKUP(C832,customers!$A:$A,customers!$G:$G,,0))</f>
        <v>USA</v>
      </c>
      <c r="I832" t="str">
        <f>IF(_xlfn.XLOOKUP(D832,product!$A:$A,product!$E:$E,,0)=0,"",_xlfn.XLOOKUP(D832,product!$A:$A,product!$E:$E,,0))</f>
        <v>BUSINESS</v>
      </c>
      <c r="J832" s="5">
        <f>IF(_xlfn.XLOOKUP(D832,product!$A:$A,product!$D:$D,,0)=0,"",_xlfn.XLOOKUP(D832,product!$A:$A,product!$D:$D,,0))</f>
        <v>36.76</v>
      </c>
      <c r="K832" s="7">
        <f t="shared" si="12"/>
        <v>73.52</v>
      </c>
      <c r="L832" s="10" t="str">
        <f>IF(_xlfn.XLOOKUP(D832,product!$A:$A,product!$F:$F,,0)=0,"",_xlfn.XLOOKUP(D832,product!$A:$A,product!$F:$F,,0))</f>
        <v>Yes</v>
      </c>
      <c r="M832" t="str">
        <f>IF(_xlfn.XLOOKUP(D832,product!$A:$A,product!G:G,,0)=0,"",_xlfn.XLOOKUP(D832,product!$A:$A,product!G:G,,0))</f>
        <v>None</v>
      </c>
      <c r="N832" t="str">
        <f>IF(_xlfn.XLOOKUP(D832,product!$A:$A,product!$B:$B,,0)=0,"",_xlfn.XLOOKUP(D832,product!$A:$A,product!$B:$B,,0))</f>
        <v>Power Silent</v>
      </c>
    </row>
    <row r="833" spans="1:14" x14ac:dyDescent="0.35">
      <c r="A833" t="s">
        <v>460</v>
      </c>
      <c r="B833" s="3">
        <v>45408</v>
      </c>
      <c r="C833" t="s">
        <v>2810</v>
      </c>
      <c r="D833" t="s">
        <v>6191</v>
      </c>
      <c r="E833">
        <v>2</v>
      </c>
      <c r="F833" t="str">
        <f>_xlfn.XLOOKUP(C833,customers!$A$1:$A$983,customers!$B$1:$B$983,,0)</f>
        <v>Sophia Brown</v>
      </c>
      <c r="G833" t="str">
        <f>_xlfn.XLOOKUP(C833,customers!$A:$A,customers!$C:$C,,0)</f>
        <v>sophia.brown621@yahoo.com</v>
      </c>
      <c r="H833" t="str">
        <f>IF(_xlfn.XLOOKUP(C833,customers!$A:$A,customers!$G:$G,,0)=0,"",_xlfn.XLOOKUP(C833,customers!$A:$A,customers!$G:$G,,0))</f>
        <v>Germany</v>
      </c>
      <c r="I833" t="str">
        <f>IF(_xlfn.XLOOKUP(D833,product!$A:$A,product!$E:$E,,0)=0,"",_xlfn.XLOOKUP(D833,product!$A:$A,product!$E:$E,,0))</f>
        <v>HISTORY</v>
      </c>
      <c r="J833" s="5">
        <f>IF(_xlfn.XLOOKUP(D833,product!$A:$A,product!$D:$D,,0)=0,"",_xlfn.XLOOKUP(D833,product!$A:$A,product!$D:$D,,0))</f>
        <v>16.46</v>
      </c>
      <c r="K833" s="7">
        <f t="shared" si="12"/>
        <v>32.92</v>
      </c>
      <c r="L833" s="10" t="str">
        <f>IF(_xlfn.XLOOKUP(D833,product!$A:$A,product!$F:$F,,0)=0,"",_xlfn.XLOOKUP(D833,product!$A:$A,product!$F:$F,,0))</f>
        <v>No</v>
      </c>
      <c r="M833" t="str">
        <f>IF(_xlfn.XLOOKUP(D833,product!$A:$A,product!G:G,,0)=0,"",_xlfn.XLOOKUP(D833,product!$A:$A,product!G:G,,0))</f>
        <v>Silver</v>
      </c>
      <c r="N833" t="str">
        <f>IF(_xlfn.XLOOKUP(D833,product!$A:$A,product!$B:$B,,0)=0,"",_xlfn.XLOOKUP(D833,product!$A:$A,product!$B:$B,,0))</f>
        <v>Silent Power</v>
      </c>
    </row>
    <row r="834" spans="1:14" x14ac:dyDescent="0.35">
      <c r="A834" t="s">
        <v>477</v>
      </c>
      <c r="B834" s="3">
        <v>45188</v>
      </c>
      <c r="C834" t="s">
        <v>2161</v>
      </c>
      <c r="D834" t="s">
        <v>6192</v>
      </c>
      <c r="E834">
        <v>2</v>
      </c>
      <c r="F834" t="str">
        <f>_xlfn.XLOOKUP(C834,customers!$A$1:$A$983,customers!$B$1:$B$983,,0)</f>
        <v>Ava Harris</v>
      </c>
      <c r="G834" t="str">
        <f>_xlfn.XLOOKUP(C834,customers!$A:$A,customers!$C:$C,,0)</f>
        <v>ava.harris320@gmail.com</v>
      </c>
      <c r="H834" t="str">
        <f>IF(_xlfn.XLOOKUP(C834,customers!$A:$A,customers!$G:$G,,0)=0,"",_xlfn.XLOOKUP(C834,customers!$A:$A,customers!$G:$G,,0))</f>
        <v>Egypt</v>
      </c>
      <c r="I834" t="str">
        <f>IF(_xlfn.XLOOKUP(D834,product!$A:$A,product!$E:$E,,0)=0,"",_xlfn.XLOOKUP(D834,product!$A:$A,product!$E:$E,,0))</f>
        <v>HISTORY</v>
      </c>
      <c r="J834" s="5">
        <f>IF(_xlfn.XLOOKUP(D834,product!$A:$A,product!$D:$D,,0)=0,"",_xlfn.XLOOKUP(D834,product!$A:$A,product!$D:$D,,0))</f>
        <v>29.51</v>
      </c>
      <c r="K834" s="7">
        <f t="shared" si="12"/>
        <v>59.02</v>
      </c>
      <c r="L834" s="10" t="str">
        <f>IF(_xlfn.XLOOKUP(D834,product!$A:$A,product!$F:$F,,0)=0,"",_xlfn.XLOOKUP(D834,product!$A:$A,product!$F:$F,,0))</f>
        <v>No</v>
      </c>
      <c r="M834" t="str">
        <f>IF(_xlfn.XLOOKUP(D834,product!$A:$A,product!G:G,,0)=0,"",_xlfn.XLOOKUP(D834,product!$A:$A,product!G:G,,0))</f>
        <v>Gold</v>
      </c>
      <c r="N834" t="str">
        <f>IF(_xlfn.XLOOKUP(D834,product!$A:$A,product!$B:$B,,0)=0,"",_xlfn.XLOOKUP(D834,product!$A:$A,product!$B:$B,,0))</f>
        <v>Science Power</v>
      </c>
    </row>
    <row r="835" spans="1:14" x14ac:dyDescent="0.35">
      <c r="A835" t="s">
        <v>494</v>
      </c>
      <c r="B835" s="3">
        <v>45631</v>
      </c>
      <c r="C835" t="s">
        <v>3402</v>
      </c>
      <c r="D835" t="s">
        <v>6193</v>
      </c>
      <c r="E835">
        <v>2</v>
      </c>
      <c r="F835" t="str">
        <f>_xlfn.XLOOKUP(C835,customers!$A$1:$A$983,customers!$B$1:$B$983,,0)</f>
        <v>Steven Thomas</v>
      </c>
      <c r="G835" t="str">
        <f>_xlfn.XLOOKUP(C835,customers!$A:$A,customers!$C:$C,,0)</f>
        <v>steven.thomas915@hotmail.com</v>
      </c>
      <c r="H835" t="str">
        <f>IF(_xlfn.XLOOKUP(C835,customers!$A:$A,customers!$G:$G,,0)=0,"",_xlfn.XLOOKUP(C835,customers!$A:$A,customers!$G:$G,,0))</f>
        <v>Singapore</v>
      </c>
      <c r="I835" t="str">
        <f>IF(_xlfn.XLOOKUP(D835,product!$A:$A,product!$E:$E,,0)=0,"",_xlfn.XLOOKUP(D835,product!$A:$A,product!$E:$E,,0))</f>
        <v>BUSINESS</v>
      </c>
      <c r="J835" s="5">
        <f>IF(_xlfn.XLOOKUP(D835,product!$A:$A,product!$D:$D,,0)=0,"",_xlfn.XLOOKUP(D835,product!$A:$A,product!$D:$D,,0))</f>
        <v>35.82</v>
      </c>
      <c r="K835" s="7">
        <f t="shared" ref="K835:K898" si="13">J835*E835</f>
        <v>71.64</v>
      </c>
      <c r="L835" s="10" t="str">
        <f>IF(_xlfn.XLOOKUP(D835,product!$A:$A,product!$F:$F,,0)=0,"",_xlfn.XLOOKUP(D835,product!$A:$A,product!$F:$F,,0))</f>
        <v>No</v>
      </c>
      <c r="M835" t="str">
        <f>IF(_xlfn.XLOOKUP(D835,product!$A:$A,product!G:G,,0)=0,"",_xlfn.XLOOKUP(D835,product!$A:$A,product!G:G,,0))</f>
        <v>None</v>
      </c>
      <c r="N835" t="str">
        <f>IF(_xlfn.XLOOKUP(D835,product!$A:$A,product!$B:$B,,0)=0,"",_xlfn.XLOOKUP(D835,product!$A:$A,product!$B:$B,,0))</f>
        <v>Quantum Silent</v>
      </c>
    </row>
    <row r="836" spans="1:14" x14ac:dyDescent="0.35">
      <c r="A836" t="s">
        <v>511</v>
      </c>
      <c r="B836" s="3">
        <v>44989</v>
      </c>
      <c r="C836" t="s">
        <v>1584</v>
      </c>
      <c r="D836" t="s">
        <v>6194</v>
      </c>
      <c r="E836">
        <v>2</v>
      </c>
      <c r="F836" t="str">
        <f>_xlfn.XLOOKUP(C836,customers!$A$1:$A$983,customers!$B$1:$B$983,,0)</f>
        <v>Emma Thomas</v>
      </c>
      <c r="G836" t="str">
        <f>_xlfn.XLOOKUP(C836,customers!$A:$A,customers!$C:$C,,0)</f>
        <v>emma.thomas146@yahoo.com</v>
      </c>
      <c r="H836" t="str">
        <f>IF(_xlfn.XLOOKUP(C836,customers!$A:$A,customers!$G:$G,,0)=0,"",_xlfn.XLOOKUP(C836,customers!$A:$A,customers!$G:$G,,0))</f>
        <v>Pakistan</v>
      </c>
      <c r="I836" t="str">
        <f>IF(_xlfn.XLOOKUP(D836,product!$A:$A,product!$E:$E,,0)=0,"",_xlfn.XLOOKUP(D836,product!$A:$A,product!$E:$E,,0))</f>
        <v>TECH</v>
      </c>
      <c r="J836" s="5">
        <f>IF(_xlfn.XLOOKUP(D836,product!$A:$A,product!$D:$D,,0)=0,"",_xlfn.XLOOKUP(D836,product!$A:$A,product!$D:$D,,0))</f>
        <v>32.53</v>
      </c>
      <c r="K836" s="7">
        <f t="shared" si="13"/>
        <v>65.06</v>
      </c>
      <c r="L836" s="10" t="str">
        <f>IF(_xlfn.XLOOKUP(D836,product!$A:$A,product!$F:$F,,0)=0,"",_xlfn.XLOOKUP(D836,product!$A:$A,product!$F:$F,,0))</f>
        <v>Yes</v>
      </c>
      <c r="M836" t="str">
        <f>IF(_xlfn.XLOOKUP(D836,product!$A:$A,product!G:G,,0)=0,"",_xlfn.XLOOKUP(D836,product!$A:$A,product!G:G,,0))</f>
        <v>Platinum</v>
      </c>
      <c r="N836" t="str">
        <f>IF(_xlfn.XLOOKUP(D836,product!$A:$A,product!$B:$B,,0)=0,"",_xlfn.XLOOKUP(D836,product!$A:$A,product!$B:$B,,0))</f>
        <v>Secrets Power</v>
      </c>
    </row>
    <row r="837" spans="1:14" x14ac:dyDescent="0.35">
      <c r="A837" t="s">
        <v>528</v>
      </c>
      <c r="B837" s="3">
        <v>45349</v>
      </c>
      <c r="C837" t="s">
        <v>1667</v>
      </c>
      <c r="D837" t="s">
        <v>6195</v>
      </c>
      <c r="E837">
        <v>2</v>
      </c>
      <c r="F837" t="str">
        <f>_xlfn.XLOOKUP(C837,customers!$A$1:$A$983,customers!$B$1:$B$983,,0)</f>
        <v>Amelia Young</v>
      </c>
      <c r="G837" t="str">
        <f>_xlfn.XLOOKUP(C837,customers!$A:$A,customers!$C:$C,,0)</f>
        <v>amelia.young164@hotmail.com</v>
      </c>
      <c r="H837" t="str">
        <f>IF(_xlfn.XLOOKUP(C837,customers!$A:$A,customers!$G:$G,,0)=0,"",_xlfn.XLOOKUP(C837,customers!$A:$A,customers!$G:$G,,0))</f>
        <v>UAE</v>
      </c>
      <c r="I837" t="str">
        <f>IF(_xlfn.XLOOKUP(D837,product!$A:$A,product!$E:$E,,0)=0,"",_xlfn.XLOOKUP(D837,product!$A:$A,product!$E:$E,,0))</f>
        <v>HISTORY</v>
      </c>
      <c r="J837" s="5">
        <f>IF(_xlfn.XLOOKUP(D837,product!$A:$A,product!$D:$D,,0)=0,"",_xlfn.XLOOKUP(D837,product!$A:$A,product!$D:$D,,0))</f>
        <v>26.68</v>
      </c>
      <c r="K837" s="7">
        <f t="shared" si="13"/>
        <v>53.36</v>
      </c>
      <c r="L837" s="10" t="str">
        <f>IF(_xlfn.XLOOKUP(D837,product!$A:$A,product!$F:$F,,0)=0,"",_xlfn.XLOOKUP(D837,product!$A:$A,product!$F:$F,,0))</f>
        <v>No</v>
      </c>
      <c r="M837" t="str">
        <f>IF(_xlfn.XLOOKUP(D837,product!$A:$A,product!G:G,,0)=0,"",_xlfn.XLOOKUP(D837,product!$A:$A,product!G:G,,0))</f>
        <v>None</v>
      </c>
      <c r="N837" t="str">
        <f>IF(_xlfn.XLOOKUP(D837,product!$A:$A,product!$B:$B,,0)=0,"",_xlfn.XLOOKUP(D837,product!$A:$A,product!$B:$B,,0))</f>
        <v>Quantum Power</v>
      </c>
    </row>
    <row r="838" spans="1:14" x14ac:dyDescent="0.35">
      <c r="A838" t="s">
        <v>545</v>
      </c>
      <c r="B838" s="3">
        <v>45163</v>
      </c>
      <c r="C838" t="s">
        <v>3240</v>
      </c>
      <c r="D838" t="s">
        <v>6196</v>
      </c>
      <c r="E838">
        <v>2</v>
      </c>
      <c r="F838" t="str">
        <f>_xlfn.XLOOKUP(C838,customers!$A$1:$A$983,customers!$B$1:$B$983,,0)</f>
        <v>Emma Jackson</v>
      </c>
      <c r="G838" t="str">
        <f>_xlfn.XLOOKUP(C838,customers!$A:$A,customers!$C:$C,,0)</f>
        <v>emma.jackson833@outlook.com</v>
      </c>
      <c r="H838" t="str">
        <f>IF(_xlfn.XLOOKUP(C838,customers!$A:$A,customers!$G:$G,,0)=0,"",_xlfn.XLOOKUP(C838,customers!$A:$A,customers!$G:$G,,0))</f>
        <v>Egypt</v>
      </c>
      <c r="I838" t="str">
        <f>IF(_xlfn.XLOOKUP(D838,product!$A:$A,product!$E:$E,,0)=0,"",_xlfn.XLOOKUP(D838,product!$A:$A,product!$E:$E,,0))</f>
        <v>FICTION</v>
      </c>
      <c r="J838" s="5">
        <f>IF(_xlfn.XLOOKUP(D838,product!$A:$A,product!$D:$D,,0)=0,"",_xlfn.XLOOKUP(D838,product!$A:$A,product!$D:$D,,0))</f>
        <v>33.82</v>
      </c>
      <c r="K838" s="7">
        <f t="shared" si="13"/>
        <v>67.64</v>
      </c>
      <c r="L838" s="10" t="str">
        <f>IF(_xlfn.XLOOKUP(D838,product!$A:$A,product!$F:$F,,0)=0,"",_xlfn.XLOOKUP(D838,product!$A:$A,product!$F:$F,,0))</f>
        <v>Yes</v>
      </c>
      <c r="M838" t="str">
        <f>IF(_xlfn.XLOOKUP(D838,product!$A:$A,product!G:G,,0)=0,"",_xlfn.XLOOKUP(D838,product!$A:$A,product!G:G,,0))</f>
        <v>Silver</v>
      </c>
      <c r="N838" t="str">
        <f>IF(_xlfn.XLOOKUP(D838,product!$A:$A,product!$B:$B,,0)=0,"",_xlfn.XLOOKUP(D838,product!$A:$A,product!$B:$B,,0))</f>
        <v>Forest Quantum</v>
      </c>
    </row>
    <row r="839" spans="1:14" x14ac:dyDescent="0.35">
      <c r="A839" t="s">
        <v>562</v>
      </c>
      <c r="B839" s="3">
        <v>45422</v>
      </c>
      <c r="C839" t="s">
        <v>1435</v>
      </c>
      <c r="D839" t="s">
        <v>6197</v>
      </c>
      <c r="E839">
        <v>2</v>
      </c>
      <c r="F839" t="str">
        <f>_xlfn.XLOOKUP(C839,customers!$A$1:$A$983,customers!$B$1:$B$983,,0)</f>
        <v>Steven Clark</v>
      </c>
      <c r="G839" t="str">
        <f>_xlfn.XLOOKUP(C839,customers!$A:$A,customers!$C:$C,,0)</f>
        <v>steven.clark103@gmail.com</v>
      </c>
      <c r="H839" t="str">
        <f>IF(_xlfn.XLOOKUP(C839,customers!$A:$A,customers!$G:$G,,0)=0,"",_xlfn.XLOOKUP(C839,customers!$A:$A,customers!$G:$G,,0))</f>
        <v>Sweden</v>
      </c>
      <c r="I839" t="str">
        <f>IF(_xlfn.XLOOKUP(D839,product!$A:$A,product!$E:$E,,0)=0,"",_xlfn.XLOOKUP(D839,product!$A:$A,product!$E:$E,,0))</f>
        <v>BUSINESS</v>
      </c>
      <c r="J839" s="5">
        <f>IF(_xlfn.XLOOKUP(D839,product!$A:$A,product!$D:$D,,0)=0,"",_xlfn.XLOOKUP(D839,product!$A:$A,product!$D:$D,,0))</f>
        <v>33.17</v>
      </c>
      <c r="K839" s="7">
        <f t="shared" si="13"/>
        <v>66.34</v>
      </c>
      <c r="L839" s="10" t="str">
        <f>IF(_xlfn.XLOOKUP(D839,product!$A:$A,product!$F:$F,,0)=0,"",_xlfn.XLOOKUP(D839,product!$A:$A,product!$F:$F,,0))</f>
        <v>No</v>
      </c>
      <c r="M839" t="str">
        <f>IF(_xlfn.XLOOKUP(D839,product!$A:$A,product!G:G,,0)=0,"",_xlfn.XLOOKUP(D839,product!$A:$A,product!G:G,,0))</f>
        <v>None</v>
      </c>
      <c r="N839" t="str">
        <f>IF(_xlfn.XLOOKUP(D839,product!$A:$A,product!$B:$B,,0)=0,"",_xlfn.XLOOKUP(D839,product!$A:$A,product!$B:$B,,0))</f>
        <v>Journey Secrets</v>
      </c>
    </row>
    <row r="840" spans="1:14" x14ac:dyDescent="0.35">
      <c r="A840" t="s">
        <v>579</v>
      </c>
      <c r="B840" s="3">
        <v>45244</v>
      </c>
      <c r="C840" t="s">
        <v>2445</v>
      </c>
      <c r="D840" t="s">
        <v>6198</v>
      </c>
      <c r="E840">
        <v>2</v>
      </c>
      <c r="F840" t="str">
        <f>_xlfn.XLOOKUP(C840,customers!$A$1:$A$983,customers!$B$1:$B$983,,0)</f>
        <v>Emma Rodriguez</v>
      </c>
      <c r="G840" t="str">
        <f>_xlfn.XLOOKUP(C840,customers!$A:$A,customers!$C:$C,,0)</f>
        <v>emma.rodriguez445@hotmail.com</v>
      </c>
      <c r="H840" t="str">
        <f>IF(_xlfn.XLOOKUP(C840,customers!$A:$A,customers!$G:$G,,0)=0,"",_xlfn.XLOOKUP(C840,customers!$A:$A,customers!$G:$G,,0))</f>
        <v>Sweden</v>
      </c>
      <c r="I840" t="str">
        <f>IF(_xlfn.XLOOKUP(D840,product!$A:$A,product!$E:$E,,0)=0,"",_xlfn.XLOOKUP(D840,product!$A:$A,product!$E:$E,,0))</f>
        <v>TECH</v>
      </c>
      <c r="J840" s="5">
        <f>IF(_xlfn.XLOOKUP(D840,product!$A:$A,product!$D:$D,,0)=0,"",_xlfn.XLOOKUP(D840,product!$A:$A,product!$D:$D,,0))</f>
        <v>19.920000000000002</v>
      </c>
      <c r="K840" s="7">
        <f t="shared" si="13"/>
        <v>39.840000000000003</v>
      </c>
      <c r="L840" s="10" t="str">
        <f>IF(_xlfn.XLOOKUP(D840,product!$A:$A,product!$F:$F,,0)=0,"",_xlfn.XLOOKUP(D840,product!$A:$A,product!$F:$F,,0))</f>
        <v>No</v>
      </c>
      <c r="M840" t="str">
        <f>IF(_xlfn.XLOOKUP(D840,product!$A:$A,product!G:G,,0)=0,"",_xlfn.XLOOKUP(D840,product!$A:$A,product!G:G,,0))</f>
        <v>None</v>
      </c>
      <c r="N840" t="str">
        <f>IF(_xlfn.XLOOKUP(D840,product!$A:$A,product!$B:$B,,0)=0,"",_xlfn.XLOOKUP(D840,product!$A:$A,product!$B:$B,,0))</f>
        <v>Forest Future</v>
      </c>
    </row>
    <row r="841" spans="1:14" x14ac:dyDescent="0.35">
      <c r="A841" t="s">
        <v>596</v>
      </c>
      <c r="B841" s="3">
        <v>45496</v>
      </c>
      <c r="C841" t="s">
        <v>3534</v>
      </c>
      <c r="D841" t="s">
        <v>6199</v>
      </c>
      <c r="E841">
        <v>2</v>
      </c>
      <c r="F841" t="str">
        <f>_xlfn.XLOOKUP(C841,customers!$A$1:$A$983,customers!$B$1:$B$983,,0)</f>
        <v>Chloe Lee</v>
      </c>
      <c r="G841" t="str">
        <f>_xlfn.XLOOKUP(C841,customers!$A:$A,customers!$C:$C,,0)</f>
        <v>chloe.lee982@hotmail.com</v>
      </c>
      <c r="H841" t="str">
        <f>IF(_xlfn.XLOOKUP(C841,customers!$A:$A,customers!$G:$G,,0)=0,"",_xlfn.XLOOKUP(C841,customers!$A:$A,customers!$G:$G,,0))</f>
        <v>Mexico</v>
      </c>
      <c r="I841" t="str">
        <f>IF(_xlfn.XLOOKUP(D841,product!$A:$A,product!$E:$E,,0)=0,"",_xlfn.XLOOKUP(D841,product!$A:$A,product!$E:$E,,0))</f>
        <v>TECH</v>
      </c>
      <c r="J841" s="5">
        <f>IF(_xlfn.XLOOKUP(D841,product!$A:$A,product!$D:$D,,0)=0,"",_xlfn.XLOOKUP(D841,product!$A:$A,product!$D:$D,,0))</f>
        <v>33.97</v>
      </c>
      <c r="K841" s="7">
        <f t="shared" si="13"/>
        <v>67.94</v>
      </c>
      <c r="L841" s="10" t="str">
        <f>IF(_xlfn.XLOOKUP(D841,product!$A:$A,product!$F:$F,,0)=0,"",_xlfn.XLOOKUP(D841,product!$A:$A,product!$F:$F,,0))</f>
        <v>Yes</v>
      </c>
      <c r="M841" t="str">
        <f>IF(_xlfn.XLOOKUP(D841,product!$A:$A,product!G:G,,0)=0,"",_xlfn.XLOOKUP(D841,product!$A:$A,product!G:G,,0))</f>
        <v>Silver</v>
      </c>
      <c r="N841" t="str">
        <f>IF(_xlfn.XLOOKUP(D841,product!$A:$A,product!$B:$B,,0)=0,"",_xlfn.XLOOKUP(D841,product!$A:$A,product!$B:$B,,0))</f>
        <v>Journey Future</v>
      </c>
    </row>
    <row r="842" spans="1:14" x14ac:dyDescent="0.35">
      <c r="A842" t="s">
        <v>613</v>
      </c>
      <c r="B842" s="3">
        <v>45106</v>
      </c>
      <c r="C842" t="s">
        <v>2656</v>
      </c>
      <c r="D842" t="s">
        <v>6200</v>
      </c>
      <c r="E842">
        <v>2</v>
      </c>
      <c r="F842" t="str">
        <f>_xlfn.XLOOKUP(C842,customers!$A$1:$A$983,customers!$B$1:$B$983,,0)</f>
        <v>George Hall</v>
      </c>
      <c r="G842" t="str">
        <f>_xlfn.XLOOKUP(C842,customers!$A:$A,customers!$C:$C,,0)</f>
        <v>george.hall547@hotmail.com</v>
      </c>
      <c r="H842" t="str">
        <f>IF(_xlfn.XLOOKUP(C842,customers!$A:$A,customers!$G:$G,,0)=0,"",_xlfn.XLOOKUP(C842,customers!$A:$A,customers!$G:$G,,0))</f>
        <v>Japan</v>
      </c>
      <c r="I842" t="str">
        <f>IF(_xlfn.XLOOKUP(D842,product!$A:$A,product!$E:$E,,0)=0,"",_xlfn.XLOOKUP(D842,product!$A:$A,product!$E:$E,,0))</f>
        <v>TECH</v>
      </c>
      <c r="J842" s="5">
        <f>IF(_xlfn.XLOOKUP(D842,product!$A:$A,product!$D:$D,,0)=0,"",_xlfn.XLOOKUP(D842,product!$A:$A,product!$D:$D,,0))</f>
        <v>24.92</v>
      </c>
      <c r="K842" s="7">
        <f t="shared" si="13"/>
        <v>49.84</v>
      </c>
      <c r="L842" s="10" t="str">
        <f>IF(_xlfn.XLOOKUP(D842,product!$A:$A,product!$F:$F,,0)=0,"",_xlfn.XLOOKUP(D842,product!$A:$A,product!$F:$F,,0))</f>
        <v>Yes</v>
      </c>
      <c r="M842" t="str">
        <f>IF(_xlfn.XLOOKUP(D842,product!$A:$A,product!G:G,,0)=0,"",_xlfn.XLOOKUP(D842,product!$A:$A,product!G:G,,0))</f>
        <v>Silver</v>
      </c>
      <c r="N842" t="str">
        <f>IF(_xlfn.XLOOKUP(D842,product!$A:$A,product!$B:$B,,0)=0,"",_xlfn.XLOOKUP(D842,product!$A:$A,product!$B:$B,,0))</f>
        <v>Data Science</v>
      </c>
    </row>
    <row r="843" spans="1:14" x14ac:dyDescent="0.35">
      <c r="A843" t="s">
        <v>630</v>
      </c>
      <c r="B843" s="3">
        <v>45545</v>
      </c>
      <c r="C843" t="s">
        <v>2441</v>
      </c>
      <c r="D843" t="s">
        <v>6201</v>
      </c>
      <c r="E843">
        <v>2</v>
      </c>
      <c r="F843" t="str">
        <f>_xlfn.XLOOKUP(C843,customers!$A$1:$A$983,customers!$B$1:$B$983,,0)</f>
        <v>Lucy Johnson</v>
      </c>
      <c r="G843" t="str">
        <f>_xlfn.XLOOKUP(C843,customers!$A:$A,customers!$C:$C,,0)</f>
        <v>lucy.johnson443@hotmail.com</v>
      </c>
      <c r="H843" t="str">
        <f>IF(_xlfn.XLOOKUP(C843,customers!$A:$A,customers!$G:$G,,0)=0,"",_xlfn.XLOOKUP(C843,customers!$A:$A,customers!$G:$G,,0))</f>
        <v>Pakistan</v>
      </c>
      <c r="I843" t="str">
        <f>IF(_xlfn.XLOOKUP(D843,product!$A:$A,product!$E:$E,,0)=0,"",_xlfn.XLOOKUP(D843,product!$A:$A,product!$E:$E,,0))</f>
        <v>FICTION</v>
      </c>
      <c r="J843" s="5">
        <f>IF(_xlfn.XLOOKUP(D843,product!$A:$A,product!$D:$D,,0)=0,"",_xlfn.XLOOKUP(D843,product!$A:$A,product!$D:$D,,0))</f>
        <v>29.92</v>
      </c>
      <c r="K843" s="7">
        <f t="shared" si="13"/>
        <v>59.84</v>
      </c>
      <c r="L843" s="10" t="str">
        <f>IF(_xlfn.XLOOKUP(D843,product!$A:$A,product!$F:$F,,0)=0,"",_xlfn.XLOOKUP(D843,product!$A:$A,product!$F:$F,,0))</f>
        <v>Yes</v>
      </c>
      <c r="M843" t="str">
        <f>IF(_xlfn.XLOOKUP(D843,product!$A:$A,product!G:G,,0)=0,"",_xlfn.XLOOKUP(D843,product!$A:$A,product!G:G,,0))</f>
        <v>Gold</v>
      </c>
      <c r="N843" t="str">
        <f>IF(_xlfn.XLOOKUP(D843,product!$A:$A,product!$B:$B,,0)=0,"",_xlfn.XLOOKUP(D843,product!$A:$A,product!$B:$B,,0))</f>
        <v>Science Future</v>
      </c>
    </row>
    <row r="844" spans="1:14" x14ac:dyDescent="0.35">
      <c r="A844" t="s">
        <v>647</v>
      </c>
      <c r="B844" s="3">
        <v>45019</v>
      </c>
      <c r="C844" t="s">
        <v>3070</v>
      </c>
      <c r="D844" t="s">
        <v>6202</v>
      </c>
      <c r="E844">
        <v>2</v>
      </c>
      <c r="F844" t="str">
        <f>_xlfn.XLOOKUP(C844,customers!$A$1:$A$983,customers!$B$1:$B$983,,0)</f>
        <v>Anthony Garcia</v>
      </c>
      <c r="G844" t="str">
        <f>_xlfn.XLOOKUP(C844,customers!$A:$A,customers!$C:$C,,0)</f>
        <v>anthony.garcia747@yahoo.com</v>
      </c>
      <c r="H844" t="str">
        <f>IF(_xlfn.XLOOKUP(C844,customers!$A:$A,customers!$G:$G,,0)=0,"",_xlfn.XLOOKUP(C844,customers!$A:$A,customers!$G:$G,,0))</f>
        <v>Germany</v>
      </c>
      <c r="I844" t="str">
        <f>IF(_xlfn.XLOOKUP(D844,product!$A:$A,product!$E:$E,,0)=0,"",_xlfn.XLOOKUP(D844,product!$A:$A,product!$E:$E,,0))</f>
        <v>BUSINESS</v>
      </c>
      <c r="J844" s="5">
        <f>IF(_xlfn.XLOOKUP(D844,product!$A:$A,product!$D:$D,,0)=0,"",_xlfn.XLOOKUP(D844,product!$A:$A,product!$D:$D,,0))</f>
        <v>19.62</v>
      </c>
      <c r="K844" s="7">
        <f t="shared" si="13"/>
        <v>39.24</v>
      </c>
      <c r="L844" s="10" t="str">
        <f>IF(_xlfn.XLOOKUP(D844,product!$A:$A,product!$F:$F,,0)=0,"",_xlfn.XLOOKUP(D844,product!$A:$A,product!$F:$F,,0))</f>
        <v>Yes</v>
      </c>
      <c r="M844" t="str">
        <f>IF(_xlfn.XLOOKUP(D844,product!$A:$A,product!G:G,,0)=0,"",_xlfn.XLOOKUP(D844,product!$A:$A,product!G:G,,0))</f>
        <v>None</v>
      </c>
      <c r="N844" t="str">
        <f>IF(_xlfn.XLOOKUP(D844,product!$A:$A,product!$B:$B,,0)=0,"",_xlfn.XLOOKUP(D844,product!$A:$A,product!$B:$B,,0))</f>
        <v>Secrets Power</v>
      </c>
    </row>
    <row r="845" spans="1:14" x14ac:dyDescent="0.35">
      <c r="A845" t="s">
        <v>664</v>
      </c>
      <c r="B845" s="3">
        <v>45308</v>
      </c>
      <c r="C845" t="s">
        <v>2536</v>
      </c>
      <c r="D845" t="s">
        <v>6203</v>
      </c>
      <c r="E845">
        <v>2</v>
      </c>
      <c r="F845" t="str">
        <f>_xlfn.XLOOKUP(C845,customers!$A$1:$A$983,customers!$B$1:$B$983,,0)</f>
        <v>Peter Young</v>
      </c>
      <c r="G845" t="str">
        <f>_xlfn.XLOOKUP(C845,customers!$A:$A,customers!$C:$C,,0)</f>
        <v>peter.young489@gmail.com</v>
      </c>
      <c r="H845" t="str">
        <f>IF(_xlfn.XLOOKUP(C845,customers!$A:$A,customers!$G:$G,,0)=0,"",_xlfn.XLOOKUP(C845,customers!$A:$A,customers!$G:$G,,0))</f>
        <v>Japan</v>
      </c>
      <c r="I845" t="str">
        <f>IF(_xlfn.XLOOKUP(D845,product!$A:$A,product!$E:$E,,0)=0,"",_xlfn.XLOOKUP(D845,product!$A:$A,product!$E:$E,,0))</f>
        <v>FICTION</v>
      </c>
      <c r="J845" s="5">
        <f>IF(_xlfn.XLOOKUP(D845,product!$A:$A,product!$D:$D,,0)=0,"",_xlfn.XLOOKUP(D845,product!$A:$A,product!$D:$D,,0))</f>
        <v>34.93</v>
      </c>
      <c r="K845" s="7">
        <f t="shared" si="13"/>
        <v>69.86</v>
      </c>
      <c r="L845" s="10" t="str">
        <f>IF(_xlfn.XLOOKUP(D845,product!$A:$A,product!$F:$F,,0)=0,"",_xlfn.XLOOKUP(D845,product!$A:$A,product!$F:$F,,0))</f>
        <v>Yes</v>
      </c>
      <c r="M845" t="str">
        <f>IF(_xlfn.XLOOKUP(D845,product!$A:$A,product!G:G,,0)=0,"",_xlfn.XLOOKUP(D845,product!$A:$A,product!G:G,,0))</f>
        <v>Gold</v>
      </c>
      <c r="N845" t="str">
        <f>IF(_xlfn.XLOOKUP(D845,product!$A:$A,product!$B:$B,,0)=0,"",_xlfn.XLOOKUP(D845,product!$A:$A,product!$B:$B,,0))</f>
        <v>Journey Silent</v>
      </c>
    </row>
    <row r="846" spans="1:14" x14ac:dyDescent="0.35">
      <c r="A846" t="s">
        <v>681</v>
      </c>
      <c r="B846" s="3">
        <v>45217</v>
      </c>
      <c r="C846" t="s">
        <v>3018</v>
      </c>
      <c r="D846" t="s">
        <v>6204</v>
      </c>
      <c r="E846">
        <v>2</v>
      </c>
      <c r="F846" t="str">
        <f>_xlfn.XLOOKUP(C846,customers!$A$1:$A$983,customers!$B$1:$B$983,,0)</f>
        <v>Grace Anderson</v>
      </c>
      <c r="G846" t="str">
        <f>_xlfn.XLOOKUP(C846,customers!$A:$A,customers!$C:$C,,0)</f>
        <v>grace.anderson722@outlook.com</v>
      </c>
      <c r="H846" t="str">
        <f>IF(_xlfn.XLOOKUP(C846,customers!$A:$A,customers!$G:$G,,0)=0,"",_xlfn.XLOOKUP(C846,customers!$A:$A,customers!$G:$G,,0))</f>
        <v>Pakistan</v>
      </c>
      <c r="I846" t="str">
        <f>IF(_xlfn.XLOOKUP(D846,product!$A:$A,product!$E:$E,,0)=0,"",_xlfn.XLOOKUP(D846,product!$A:$A,product!$E:$E,,0))</f>
        <v>HISTORY</v>
      </c>
      <c r="J846" s="5">
        <f>IF(_xlfn.XLOOKUP(D846,product!$A:$A,product!$D:$D,,0)=0,"",_xlfn.XLOOKUP(D846,product!$A:$A,product!$D:$D,,0))</f>
        <v>38.08</v>
      </c>
      <c r="K846" s="7">
        <f t="shared" si="13"/>
        <v>76.16</v>
      </c>
      <c r="L846" s="10" t="str">
        <f>IF(_xlfn.XLOOKUP(D846,product!$A:$A,product!$F:$F,,0)=0,"",_xlfn.XLOOKUP(D846,product!$A:$A,product!$F:$F,,0))</f>
        <v>No</v>
      </c>
      <c r="M846" t="str">
        <f>IF(_xlfn.XLOOKUP(D846,product!$A:$A,product!G:G,,0)=0,"",_xlfn.XLOOKUP(D846,product!$A:$A,product!G:G,,0))</f>
        <v>None</v>
      </c>
      <c r="N846" t="str">
        <f>IF(_xlfn.XLOOKUP(D846,product!$A:$A,product!$B:$B,,0)=0,"",_xlfn.XLOOKUP(D846,product!$A:$A,product!$B:$B,,0))</f>
        <v>Science Data</v>
      </c>
    </row>
    <row r="847" spans="1:14" x14ac:dyDescent="0.35">
      <c r="A847" t="s">
        <v>698</v>
      </c>
      <c r="B847" s="3">
        <v>45624</v>
      </c>
      <c r="C847" t="s">
        <v>1462</v>
      </c>
      <c r="D847" t="s">
        <v>6205</v>
      </c>
      <c r="E847">
        <v>2</v>
      </c>
      <c r="F847" t="str">
        <f>_xlfn.XLOOKUP(C847,customers!$A$1:$A$983,customers!$B$1:$B$983,,0)</f>
        <v>James Anderson</v>
      </c>
      <c r="G847" t="str">
        <f>_xlfn.XLOOKUP(C847,customers!$A:$A,customers!$C:$C,,0)</f>
        <v>james.anderson111@gmail.com</v>
      </c>
      <c r="H847" t="str">
        <f>IF(_xlfn.XLOOKUP(C847,customers!$A:$A,customers!$G:$G,,0)=0,"",_xlfn.XLOOKUP(C847,customers!$A:$A,customers!$G:$G,,0))</f>
        <v>Japan</v>
      </c>
      <c r="I847" t="str">
        <f>IF(_xlfn.XLOOKUP(D847,product!$A:$A,product!$E:$E,,0)=0,"",_xlfn.XLOOKUP(D847,product!$A:$A,product!$E:$E,,0))</f>
        <v>BUSINESS</v>
      </c>
      <c r="J847" s="5">
        <f>IF(_xlfn.XLOOKUP(D847,product!$A:$A,product!$D:$D,,0)=0,"",_xlfn.XLOOKUP(D847,product!$A:$A,product!$D:$D,,0))</f>
        <v>16.64</v>
      </c>
      <c r="K847" s="7">
        <f t="shared" si="13"/>
        <v>33.28</v>
      </c>
      <c r="L847" s="10" t="str">
        <f>IF(_xlfn.XLOOKUP(D847,product!$A:$A,product!$F:$F,,0)=0,"",_xlfn.XLOOKUP(D847,product!$A:$A,product!$F:$F,,0))</f>
        <v>Yes</v>
      </c>
      <c r="M847" t="str">
        <f>IF(_xlfn.XLOOKUP(D847,product!$A:$A,product!G:G,,0)=0,"",_xlfn.XLOOKUP(D847,product!$A:$A,product!G:G,,0))</f>
        <v>None</v>
      </c>
      <c r="N847" t="str">
        <f>IF(_xlfn.XLOOKUP(D847,product!$A:$A,product!$B:$B,,0)=0,"",_xlfn.XLOOKUP(D847,product!$A:$A,product!$B:$B,,0))</f>
        <v>Power Forest</v>
      </c>
    </row>
    <row r="848" spans="1:14" x14ac:dyDescent="0.35">
      <c r="A848" t="s">
        <v>715</v>
      </c>
      <c r="B848" s="3">
        <v>45270</v>
      </c>
      <c r="C848" t="s">
        <v>1536</v>
      </c>
      <c r="D848" t="s">
        <v>6206</v>
      </c>
      <c r="E848">
        <v>2</v>
      </c>
      <c r="F848" t="str">
        <f>_xlfn.XLOOKUP(C848,customers!$A$1:$A$983,customers!$B$1:$B$983,,0)</f>
        <v>Amelia Walker</v>
      </c>
      <c r="G848" t="str">
        <f>_xlfn.XLOOKUP(C848,customers!$A:$A,customers!$C:$C,,0)</f>
        <v>amelia.walker133@gmail.com</v>
      </c>
      <c r="H848" t="str">
        <f>IF(_xlfn.XLOOKUP(C848,customers!$A:$A,customers!$G:$G,,0)=0,"",_xlfn.XLOOKUP(C848,customers!$A:$A,customers!$G:$G,,0))</f>
        <v>Japan</v>
      </c>
      <c r="I848" t="str">
        <f>IF(_xlfn.XLOOKUP(D848,product!$A:$A,product!$E:$E,,0)=0,"",_xlfn.XLOOKUP(D848,product!$A:$A,product!$E:$E,,0))</f>
        <v>SCIENCE</v>
      </c>
      <c r="J848" s="5">
        <f>IF(_xlfn.XLOOKUP(D848,product!$A:$A,product!$D:$D,,0)=0,"",_xlfn.XLOOKUP(D848,product!$A:$A,product!$D:$D,,0))</f>
        <v>37.74</v>
      </c>
      <c r="K848" s="7">
        <f t="shared" si="13"/>
        <v>75.48</v>
      </c>
      <c r="L848" s="10" t="str">
        <f>IF(_xlfn.XLOOKUP(D848,product!$A:$A,product!$F:$F,,0)=0,"",_xlfn.XLOOKUP(D848,product!$A:$A,product!$F:$F,,0))</f>
        <v>No</v>
      </c>
      <c r="M848" t="str">
        <f>IF(_xlfn.XLOOKUP(D848,product!$A:$A,product!G:G,,0)=0,"",_xlfn.XLOOKUP(D848,product!$A:$A,product!G:G,,0))</f>
        <v>Silver</v>
      </c>
      <c r="N848" t="str">
        <f>IF(_xlfn.XLOOKUP(D848,product!$A:$A,product!$B:$B,,0)=0,"",_xlfn.XLOOKUP(D848,product!$A:$A,product!$B:$B,,0))</f>
        <v>Science Silent</v>
      </c>
    </row>
    <row r="849" spans="1:14" x14ac:dyDescent="0.35">
      <c r="A849" t="s">
        <v>732</v>
      </c>
      <c r="B849" s="3">
        <v>45372</v>
      </c>
      <c r="C849" t="s">
        <v>2268</v>
      </c>
      <c r="D849" t="s">
        <v>6207</v>
      </c>
      <c r="E849">
        <v>2</v>
      </c>
      <c r="F849" t="str">
        <f>_xlfn.XLOOKUP(C849,customers!$A$1:$A$983,customers!$B$1:$B$983,,0)</f>
        <v>David Johnson</v>
      </c>
      <c r="G849" t="str">
        <f>_xlfn.XLOOKUP(C849,customers!$A:$A,customers!$C:$C,,0)</f>
        <v>david.johnson366@yahoo.com</v>
      </c>
      <c r="H849" t="str">
        <f>IF(_xlfn.XLOOKUP(C849,customers!$A:$A,customers!$G:$G,,0)=0,"",_xlfn.XLOOKUP(C849,customers!$A:$A,customers!$G:$G,,0))</f>
        <v>Spain</v>
      </c>
      <c r="I849" t="str">
        <f>IF(_xlfn.XLOOKUP(D849,product!$A:$A,product!$E:$E,,0)=0,"",_xlfn.XLOOKUP(D849,product!$A:$A,product!$E:$E,,0))</f>
        <v>FICTION</v>
      </c>
      <c r="J849" s="5">
        <f>IF(_xlfn.XLOOKUP(D849,product!$A:$A,product!$D:$D,,0)=0,"",_xlfn.XLOOKUP(D849,product!$A:$A,product!$D:$D,,0))</f>
        <v>10.99</v>
      </c>
      <c r="K849" s="7">
        <f t="shared" si="13"/>
        <v>21.98</v>
      </c>
      <c r="L849" s="10" t="str">
        <f>IF(_xlfn.XLOOKUP(D849,product!$A:$A,product!$F:$F,,0)=0,"",_xlfn.XLOOKUP(D849,product!$A:$A,product!$F:$F,,0))</f>
        <v>No</v>
      </c>
      <c r="M849" t="str">
        <f>IF(_xlfn.XLOOKUP(D849,product!$A:$A,product!G:G,,0)=0,"",_xlfn.XLOOKUP(D849,product!$A:$A,product!G:G,,0))</f>
        <v>None</v>
      </c>
      <c r="N849" t="str">
        <f>IF(_xlfn.XLOOKUP(D849,product!$A:$A,product!$B:$B,,0)=0,"",_xlfn.XLOOKUP(D849,product!$A:$A,product!$B:$B,,0))</f>
        <v>Power Data</v>
      </c>
    </row>
    <row r="850" spans="1:14" x14ac:dyDescent="0.35">
      <c r="A850" t="s">
        <v>749</v>
      </c>
      <c r="B850" s="3">
        <v>44974</v>
      </c>
      <c r="C850" t="s">
        <v>2004</v>
      </c>
      <c r="D850" t="s">
        <v>6208</v>
      </c>
      <c r="E850">
        <v>2</v>
      </c>
      <c r="F850" t="str">
        <f>_xlfn.XLOOKUP(C850,customers!$A$1:$A$983,customers!$B$1:$B$983,,0)</f>
        <v>Thomas Robinson</v>
      </c>
      <c r="G850" t="str">
        <f>_xlfn.XLOOKUP(C850,customers!$A:$A,customers!$C:$C,,0)</f>
        <v>thomas.robinson262@hotmail.com</v>
      </c>
      <c r="H850" t="str">
        <f>IF(_xlfn.XLOOKUP(C850,customers!$A:$A,customers!$G:$G,,0)=0,"",_xlfn.XLOOKUP(C850,customers!$A:$A,customers!$G:$G,,0))</f>
        <v>USA</v>
      </c>
      <c r="I850" t="str">
        <f>IF(_xlfn.XLOOKUP(D850,product!$A:$A,product!$E:$E,,0)=0,"",_xlfn.XLOOKUP(D850,product!$A:$A,product!$E:$E,,0))</f>
        <v>FICTION</v>
      </c>
      <c r="J850" s="5">
        <f>IF(_xlfn.XLOOKUP(D850,product!$A:$A,product!$D:$D,,0)=0,"",_xlfn.XLOOKUP(D850,product!$A:$A,product!$D:$D,,0))</f>
        <v>26.72</v>
      </c>
      <c r="K850" s="7">
        <f t="shared" si="13"/>
        <v>53.44</v>
      </c>
      <c r="L850" s="10" t="str">
        <f>IF(_xlfn.XLOOKUP(D850,product!$A:$A,product!$F:$F,,0)=0,"",_xlfn.XLOOKUP(D850,product!$A:$A,product!$F:$F,,0))</f>
        <v>Yes</v>
      </c>
      <c r="M850" t="str">
        <f>IF(_xlfn.XLOOKUP(D850,product!$A:$A,product!G:G,,0)=0,"",_xlfn.XLOOKUP(D850,product!$A:$A,product!G:G,,0))</f>
        <v>Platinum</v>
      </c>
      <c r="N850" t="str">
        <f>IF(_xlfn.XLOOKUP(D850,product!$A:$A,product!$B:$B,,0)=0,"",_xlfn.XLOOKUP(D850,product!$A:$A,product!$B:$B,,0))</f>
        <v>Data Secrets</v>
      </c>
    </row>
    <row r="851" spans="1:14" x14ac:dyDescent="0.35">
      <c r="A851" t="s">
        <v>766</v>
      </c>
      <c r="B851" s="3">
        <v>45468</v>
      </c>
      <c r="C851" t="s">
        <v>116</v>
      </c>
      <c r="D851" t="s">
        <v>6209</v>
      </c>
      <c r="E851">
        <v>2</v>
      </c>
      <c r="F851" t="str">
        <f>_xlfn.XLOOKUP(C851,customers!$A$1:$A$983,customers!$B$1:$B$983,,0)</f>
        <v>Steven Rodriguez</v>
      </c>
      <c r="G851" t="str">
        <f>_xlfn.XLOOKUP(C851,customers!$A:$A,customers!$C:$C,,0)</f>
        <v>steven.rodriguez5@yahoo.com</v>
      </c>
      <c r="H851" t="str">
        <f>IF(_xlfn.XLOOKUP(C851,customers!$A:$A,customers!$G:$G,,0)=0,"",_xlfn.XLOOKUP(C851,customers!$A:$A,customers!$G:$G,,0))</f>
        <v>Egypt</v>
      </c>
      <c r="I851" t="str">
        <f>IF(_xlfn.XLOOKUP(D851,product!$A:$A,product!$E:$E,,0)=0,"",_xlfn.XLOOKUP(D851,product!$A:$A,product!$E:$E,,0))</f>
        <v>FICTION</v>
      </c>
      <c r="J851" s="5">
        <f>IF(_xlfn.XLOOKUP(D851,product!$A:$A,product!$D:$D,,0)=0,"",_xlfn.XLOOKUP(D851,product!$A:$A,product!$D:$D,,0))</f>
        <v>22.88</v>
      </c>
      <c r="K851" s="7">
        <f t="shared" si="13"/>
        <v>45.76</v>
      </c>
      <c r="L851" s="10" t="str">
        <f>IF(_xlfn.XLOOKUP(D851,product!$A:$A,product!$F:$F,,0)=0,"",_xlfn.XLOOKUP(D851,product!$A:$A,product!$F:$F,,0))</f>
        <v>No</v>
      </c>
      <c r="M851" t="str">
        <f>IF(_xlfn.XLOOKUP(D851,product!$A:$A,product!G:G,,0)=0,"",_xlfn.XLOOKUP(D851,product!$A:$A,product!G:G,,0))</f>
        <v>Silver</v>
      </c>
      <c r="N851" t="str">
        <f>IF(_xlfn.XLOOKUP(D851,product!$A:$A,product!$B:$B,,0)=0,"",_xlfn.XLOOKUP(D851,product!$A:$A,product!$B:$B,,0))</f>
        <v>Power Mind</v>
      </c>
    </row>
    <row r="852" spans="1:14" x14ac:dyDescent="0.35">
      <c r="A852" t="s">
        <v>783</v>
      </c>
      <c r="B852" s="3">
        <v>45050</v>
      </c>
      <c r="C852" t="s">
        <v>1439</v>
      </c>
      <c r="D852" t="s">
        <v>6210</v>
      </c>
      <c r="E852">
        <v>2</v>
      </c>
      <c r="F852" t="str">
        <f>_xlfn.XLOOKUP(C852,customers!$A$1:$A$983,customers!$B$1:$B$983,,0)</f>
        <v>Lucy Clark</v>
      </c>
      <c r="G852" t="str">
        <f>_xlfn.XLOOKUP(C852,customers!$A:$A,customers!$C:$C,,0)</f>
        <v>lucy.clark104@yahoo.com</v>
      </c>
      <c r="H852" t="str">
        <f>IF(_xlfn.XLOOKUP(C852,customers!$A:$A,customers!$G:$G,,0)=0,"",_xlfn.XLOOKUP(C852,customers!$A:$A,customers!$G:$G,,0))</f>
        <v>Egypt</v>
      </c>
      <c r="I852" t="str">
        <f>IF(_xlfn.XLOOKUP(D852,product!$A:$A,product!$E:$E,,0)=0,"",_xlfn.XLOOKUP(D852,product!$A:$A,product!$E:$E,,0))</f>
        <v>BUSINESS</v>
      </c>
      <c r="J852" s="5">
        <f>IF(_xlfn.XLOOKUP(D852,product!$A:$A,product!$D:$D,,0)=0,"",_xlfn.XLOOKUP(D852,product!$A:$A,product!$D:$D,,0))</f>
        <v>33.14</v>
      </c>
      <c r="K852" s="7">
        <f t="shared" si="13"/>
        <v>66.28</v>
      </c>
      <c r="L852" s="10" t="str">
        <f>IF(_xlfn.XLOOKUP(D852,product!$A:$A,product!$F:$F,,0)=0,"",_xlfn.XLOOKUP(D852,product!$A:$A,product!$F:$F,,0))</f>
        <v>No</v>
      </c>
      <c r="M852" t="str">
        <f>IF(_xlfn.XLOOKUP(D852,product!$A:$A,product!G:G,,0)=0,"",_xlfn.XLOOKUP(D852,product!$A:$A,product!G:G,,0))</f>
        <v>None</v>
      </c>
      <c r="N852" t="str">
        <f>IF(_xlfn.XLOOKUP(D852,product!$A:$A,product!$B:$B,,0)=0,"",_xlfn.XLOOKUP(D852,product!$A:$A,product!$B:$B,,0))</f>
        <v>Power Science</v>
      </c>
    </row>
    <row r="853" spans="1:14" x14ac:dyDescent="0.35">
      <c r="A853" t="s">
        <v>800</v>
      </c>
      <c r="B853" s="3">
        <v>45569</v>
      </c>
      <c r="C853" t="s">
        <v>2324</v>
      </c>
      <c r="D853" t="s">
        <v>6211</v>
      </c>
      <c r="E853">
        <v>2</v>
      </c>
      <c r="F853" t="str">
        <f>_xlfn.XLOOKUP(C853,customers!$A$1:$A$983,customers!$B$1:$B$983,,0)</f>
        <v>Brian Harris</v>
      </c>
      <c r="G853" t="str">
        <f>_xlfn.XLOOKUP(C853,customers!$A:$A,customers!$C:$C,,0)</f>
        <v>brian.harris390@outlook.com</v>
      </c>
      <c r="H853" t="str">
        <f>IF(_xlfn.XLOOKUP(C853,customers!$A:$A,customers!$G:$G,,0)=0,"",_xlfn.XLOOKUP(C853,customers!$A:$A,customers!$G:$G,,0))</f>
        <v>Japan</v>
      </c>
      <c r="I853" t="str">
        <f>IF(_xlfn.XLOOKUP(D853,product!$A:$A,product!$E:$E,,0)=0,"",_xlfn.XLOOKUP(D853,product!$A:$A,product!$E:$E,,0))</f>
        <v>TECH</v>
      </c>
      <c r="J853" s="5">
        <f>IF(_xlfn.XLOOKUP(D853,product!$A:$A,product!$D:$D,,0)=0,"",_xlfn.XLOOKUP(D853,product!$A:$A,product!$D:$D,,0))</f>
        <v>32.07</v>
      </c>
      <c r="K853" s="7">
        <f t="shared" si="13"/>
        <v>64.14</v>
      </c>
      <c r="L853" s="10" t="str">
        <f>IF(_xlfn.XLOOKUP(D853,product!$A:$A,product!$F:$F,,0)=0,"",_xlfn.XLOOKUP(D853,product!$A:$A,product!$F:$F,,0))</f>
        <v>Yes</v>
      </c>
      <c r="M853" t="str">
        <f>IF(_xlfn.XLOOKUP(D853,product!$A:$A,product!G:G,,0)=0,"",_xlfn.XLOOKUP(D853,product!$A:$A,product!G:G,,0))</f>
        <v>None</v>
      </c>
      <c r="N853" t="str">
        <f>IF(_xlfn.XLOOKUP(D853,product!$A:$A,product!$B:$B,,0)=0,"",_xlfn.XLOOKUP(D853,product!$A:$A,product!$B:$B,,0))</f>
        <v>Secrets Forest</v>
      </c>
    </row>
    <row r="854" spans="1:14" x14ac:dyDescent="0.35">
      <c r="A854" t="s">
        <v>817</v>
      </c>
      <c r="B854" s="3">
        <v>45134</v>
      </c>
      <c r="C854" t="s">
        <v>1976</v>
      </c>
      <c r="D854" t="s">
        <v>6212</v>
      </c>
      <c r="E854">
        <v>2</v>
      </c>
      <c r="F854" t="str">
        <f>_xlfn.XLOOKUP(C854,customers!$A$1:$A$983,customers!$B$1:$B$983,,0)</f>
        <v>Ava Jackson</v>
      </c>
      <c r="G854" t="str">
        <f>_xlfn.XLOOKUP(C854,customers!$A:$A,customers!$C:$C,,0)</f>
        <v>ava.jackson253@hotmail.com</v>
      </c>
      <c r="H854" t="str">
        <f>IF(_xlfn.XLOOKUP(C854,customers!$A:$A,customers!$G:$G,,0)=0,"",_xlfn.XLOOKUP(C854,customers!$A:$A,customers!$G:$G,,0))</f>
        <v>USA</v>
      </c>
      <c r="I854" t="str">
        <f>IF(_xlfn.XLOOKUP(D854,product!$A:$A,product!$E:$E,,0)=0,"",_xlfn.XLOOKUP(D854,product!$A:$A,product!$E:$E,,0))</f>
        <v>BUSINESS</v>
      </c>
      <c r="J854" s="5">
        <f>IF(_xlfn.XLOOKUP(D854,product!$A:$A,product!$D:$D,,0)=0,"",_xlfn.XLOOKUP(D854,product!$A:$A,product!$D:$D,,0))</f>
        <v>14</v>
      </c>
      <c r="K854" s="7">
        <f t="shared" si="13"/>
        <v>28</v>
      </c>
      <c r="L854" s="10" t="str">
        <f>IF(_xlfn.XLOOKUP(D854,product!$A:$A,product!$F:$F,,0)=0,"",_xlfn.XLOOKUP(D854,product!$A:$A,product!$F:$F,,0))</f>
        <v>Yes</v>
      </c>
      <c r="M854" t="str">
        <f>IF(_xlfn.XLOOKUP(D854,product!$A:$A,product!G:G,,0)=0,"",_xlfn.XLOOKUP(D854,product!$A:$A,product!G:G,,0))</f>
        <v>None</v>
      </c>
      <c r="N854" t="str">
        <f>IF(_xlfn.XLOOKUP(D854,product!$A:$A,product!$B:$B,,0)=0,"",_xlfn.XLOOKUP(D854,product!$A:$A,product!$B:$B,,0))</f>
        <v>Future Data</v>
      </c>
    </row>
    <row r="855" spans="1:14" x14ac:dyDescent="0.35">
      <c r="A855" t="s">
        <v>834</v>
      </c>
      <c r="B855" s="3">
        <v>45518</v>
      </c>
      <c r="C855" t="s">
        <v>1738</v>
      </c>
      <c r="D855" t="s">
        <v>6213</v>
      </c>
      <c r="E855">
        <v>2</v>
      </c>
      <c r="F855" t="str">
        <f>_xlfn.XLOOKUP(C855,customers!$A$1:$A$983,customers!$B$1:$B$983,,0)</f>
        <v>Paul Martinez</v>
      </c>
      <c r="G855" t="str">
        <f>_xlfn.XLOOKUP(C855,customers!$A:$A,customers!$C:$C,,0)</f>
        <v>paul.martinez180@hotmail.com</v>
      </c>
      <c r="H855" t="str">
        <f>IF(_xlfn.XLOOKUP(C855,customers!$A:$A,customers!$G:$G,,0)=0,"",_xlfn.XLOOKUP(C855,customers!$A:$A,customers!$G:$G,,0))</f>
        <v>Germany</v>
      </c>
      <c r="I855" t="str">
        <f>IF(_xlfn.XLOOKUP(D855,product!$A:$A,product!$E:$E,,0)=0,"",_xlfn.XLOOKUP(D855,product!$A:$A,product!$E:$E,,0))</f>
        <v>FICTION</v>
      </c>
      <c r="J855" s="5">
        <f>IF(_xlfn.XLOOKUP(D855,product!$A:$A,product!$D:$D,,0)=0,"",_xlfn.XLOOKUP(D855,product!$A:$A,product!$D:$D,,0))</f>
        <v>15.81</v>
      </c>
      <c r="K855" s="7">
        <f t="shared" si="13"/>
        <v>31.62</v>
      </c>
      <c r="L855" s="10" t="str">
        <f>IF(_xlfn.XLOOKUP(D855,product!$A:$A,product!$F:$F,,0)=0,"",_xlfn.XLOOKUP(D855,product!$A:$A,product!$F:$F,,0))</f>
        <v>No</v>
      </c>
      <c r="M855" t="str">
        <f>IF(_xlfn.XLOOKUP(D855,product!$A:$A,product!G:G,,0)=0,"",_xlfn.XLOOKUP(D855,product!$A:$A,product!G:G,,0))</f>
        <v>Gold</v>
      </c>
      <c r="N855" t="str">
        <f>IF(_xlfn.XLOOKUP(D855,product!$A:$A,product!$B:$B,,0)=0,"",_xlfn.XLOOKUP(D855,product!$A:$A,product!$B:$B,,0))</f>
        <v>Quantum Data</v>
      </c>
    </row>
    <row r="856" spans="1:14" x14ac:dyDescent="0.35">
      <c r="A856" t="s">
        <v>851</v>
      </c>
      <c r="B856" s="3">
        <v>44948</v>
      </c>
      <c r="C856" t="s">
        <v>2624</v>
      </c>
      <c r="D856" t="s">
        <v>6214</v>
      </c>
      <c r="E856">
        <v>2</v>
      </c>
      <c r="F856" t="str">
        <f>_xlfn.XLOOKUP(C856,customers!$A$1:$A$983,customers!$B$1:$B$983,,0)</f>
        <v>Lily Taylor</v>
      </c>
      <c r="G856" t="str">
        <f>_xlfn.XLOOKUP(C856,customers!$A:$A,customers!$C:$C,,0)</f>
        <v>lily.taylor532@outlook.com</v>
      </c>
      <c r="H856" t="str">
        <f>IF(_xlfn.XLOOKUP(C856,customers!$A:$A,customers!$G:$G,,0)=0,"",_xlfn.XLOOKUP(C856,customers!$A:$A,customers!$G:$G,,0))</f>
        <v>USA</v>
      </c>
      <c r="I856" t="str">
        <f>IF(_xlfn.XLOOKUP(D856,product!$A:$A,product!$E:$E,,0)=0,"",_xlfn.XLOOKUP(D856,product!$A:$A,product!$E:$E,,0))</f>
        <v>BUSINESS</v>
      </c>
      <c r="J856" s="5">
        <f>IF(_xlfn.XLOOKUP(D856,product!$A:$A,product!$D:$D,,0)=0,"",_xlfn.XLOOKUP(D856,product!$A:$A,product!$D:$D,,0))</f>
        <v>12.11</v>
      </c>
      <c r="K856" s="7">
        <f t="shared" si="13"/>
        <v>24.22</v>
      </c>
      <c r="L856" s="10" t="str">
        <f>IF(_xlfn.XLOOKUP(D856,product!$A:$A,product!$F:$F,,0)=0,"",_xlfn.XLOOKUP(D856,product!$A:$A,product!$F:$F,,0))</f>
        <v>Yes</v>
      </c>
      <c r="M856" t="str">
        <f>IF(_xlfn.XLOOKUP(D856,product!$A:$A,product!G:G,,0)=0,"",_xlfn.XLOOKUP(D856,product!$A:$A,product!G:G,,0))</f>
        <v>Gold</v>
      </c>
      <c r="N856" t="str">
        <f>IF(_xlfn.XLOOKUP(D856,product!$A:$A,product!$B:$B,,0)=0,"",_xlfn.XLOOKUP(D856,product!$A:$A,product!$B:$B,,0))</f>
        <v>Future Quantum</v>
      </c>
    </row>
    <row r="857" spans="1:14" x14ac:dyDescent="0.35">
      <c r="A857" t="s">
        <v>868</v>
      </c>
      <c r="B857" s="3">
        <v>45385</v>
      </c>
      <c r="C857" t="s">
        <v>2699</v>
      </c>
      <c r="D857" t="s">
        <v>6215</v>
      </c>
      <c r="E857">
        <v>2</v>
      </c>
      <c r="F857" t="str">
        <f>_xlfn.XLOOKUP(C857,customers!$A$1:$A$983,customers!$B$1:$B$983,,0)</f>
        <v>Isabella Hall</v>
      </c>
      <c r="G857" t="str">
        <f>_xlfn.XLOOKUP(C857,customers!$A:$A,customers!$C:$C,,0)</f>
        <v>isabella.hall568@outlook.com</v>
      </c>
      <c r="H857" t="str">
        <f>IF(_xlfn.XLOOKUP(C857,customers!$A:$A,customers!$G:$G,,0)=0,"",_xlfn.XLOOKUP(C857,customers!$A:$A,customers!$G:$G,,0))</f>
        <v>USA</v>
      </c>
      <c r="I857" t="str">
        <f>IF(_xlfn.XLOOKUP(D857,product!$A:$A,product!$E:$E,,0)=0,"",_xlfn.XLOOKUP(D857,product!$A:$A,product!$E:$E,,0))</f>
        <v>FICTION</v>
      </c>
      <c r="J857" s="5">
        <f>IF(_xlfn.XLOOKUP(D857,product!$A:$A,product!$D:$D,,0)=0,"",_xlfn.XLOOKUP(D857,product!$A:$A,product!$D:$D,,0))</f>
        <v>29.09</v>
      </c>
      <c r="K857" s="7">
        <f t="shared" si="13"/>
        <v>58.18</v>
      </c>
      <c r="L857" s="10" t="str">
        <f>IF(_xlfn.XLOOKUP(D857,product!$A:$A,product!$F:$F,,0)=0,"",_xlfn.XLOOKUP(D857,product!$A:$A,product!$F:$F,,0))</f>
        <v>Yes</v>
      </c>
      <c r="M857" t="str">
        <f>IF(_xlfn.XLOOKUP(D857,product!$A:$A,product!G:G,,0)=0,"",_xlfn.XLOOKUP(D857,product!$A:$A,product!G:G,,0))</f>
        <v>Silver</v>
      </c>
      <c r="N857" t="str">
        <f>IF(_xlfn.XLOOKUP(D857,product!$A:$A,product!$B:$B,,0)=0,"",_xlfn.XLOOKUP(D857,product!$A:$A,product!$B:$B,,0))</f>
        <v>Journey Forest</v>
      </c>
    </row>
    <row r="858" spans="1:14" x14ac:dyDescent="0.35">
      <c r="A858" t="s">
        <v>885</v>
      </c>
      <c r="B858" s="3">
        <v>45181</v>
      </c>
      <c r="C858" t="s">
        <v>1542</v>
      </c>
      <c r="D858" t="s">
        <v>6216</v>
      </c>
      <c r="E858">
        <v>2</v>
      </c>
      <c r="F858" t="str">
        <f>_xlfn.XLOOKUP(C858,customers!$A$1:$A$983,customers!$B$1:$B$983,,0)</f>
        <v>David Lopez</v>
      </c>
      <c r="G858" t="str">
        <f>_xlfn.XLOOKUP(C858,customers!$A:$A,customers!$C:$C,,0)</f>
        <v>david.lopez135@gmail.com</v>
      </c>
      <c r="H858" t="str">
        <f>IF(_xlfn.XLOOKUP(C858,customers!$A:$A,customers!$G:$G,,0)=0,"",_xlfn.XLOOKUP(C858,customers!$A:$A,customers!$G:$G,,0))</f>
        <v>Germany</v>
      </c>
      <c r="I858" t="str">
        <f>IF(_xlfn.XLOOKUP(D858,product!$A:$A,product!$E:$E,,0)=0,"",_xlfn.XLOOKUP(D858,product!$A:$A,product!$E:$E,,0))</f>
        <v>FICTION</v>
      </c>
      <c r="J858" s="5">
        <f>IF(_xlfn.XLOOKUP(D858,product!$A:$A,product!$D:$D,,0)=0,"",_xlfn.XLOOKUP(D858,product!$A:$A,product!$D:$D,,0))</f>
        <v>25.11</v>
      </c>
      <c r="K858" s="7">
        <f t="shared" si="13"/>
        <v>50.22</v>
      </c>
      <c r="L858" s="10" t="str">
        <f>IF(_xlfn.XLOOKUP(D858,product!$A:$A,product!$F:$F,,0)=0,"",_xlfn.XLOOKUP(D858,product!$A:$A,product!$F:$F,,0))</f>
        <v>No</v>
      </c>
      <c r="M858" t="str">
        <f>IF(_xlfn.XLOOKUP(D858,product!$A:$A,product!G:G,,0)=0,"",_xlfn.XLOOKUP(D858,product!$A:$A,product!G:G,,0))</f>
        <v>Silver</v>
      </c>
      <c r="N858" t="str">
        <f>IF(_xlfn.XLOOKUP(D858,product!$A:$A,product!$B:$B,,0)=0,"",_xlfn.XLOOKUP(D858,product!$A:$A,product!$B:$B,,0))</f>
        <v>Data Journey</v>
      </c>
    </row>
    <row r="859" spans="1:14" x14ac:dyDescent="0.35">
      <c r="A859" t="s">
        <v>902</v>
      </c>
      <c r="B859" s="3">
        <v>45650</v>
      </c>
      <c r="C859" t="s">
        <v>1455</v>
      </c>
      <c r="D859" t="s">
        <v>6217</v>
      </c>
      <c r="E859">
        <v>2</v>
      </c>
      <c r="F859" t="str">
        <f>_xlfn.XLOOKUP(C859,customers!$A$1:$A$983,customers!$B$1:$B$983,,0)</f>
        <v>Hannah Lee</v>
      </c>
      <c r="G859" t="str">
        <f>_xlfn.XLOOKUP(C859,customers!$A:$A,customers!$C:$C,,0)</f>
        <v>hannah.lee109@outlook.com</v>
      </c>
      <c r="H859" t="str">
        <f>IF(_xlfn.XLOOKUP(C859,customers!$A:$A,customers!$G:$G,,0)=0,"",_xlfn.XLOOKUP(C859,customers!$A:$A,customers!$G:$G,,0))</f>
        <v>USA</v>
      </c>
      <c r="I859" t="str">
        <f>IF(_xlfn.XLOOKUP(D859,product!$A:$A,product!$E:$E,,0)=0,"",_xlfn.XLOOKUP(D859,product!$A:$A,product!$E:$E,,0))</f>
        <v>HISTORY</v>
      </c>
      <c r="J859" s="5">
        <f>IF(_xlfn.XLOOKUP(D859,product!$A:$A,product!$D:$D,,0)=0,"",_xlfn.XLOOKUP(D859,product!$A:$A,product!$D:$D,,0))</f>
        <v>26.45</v>
      </c>
      <c r="K859" s="7">
        <f t="shared" si="13"/>
        <v>52.9</v>
      </c>
      <c r="L859" s="10" t="str">
        <f>IF(_xlfn.XLOOKUP(D859,product!$A:$A,product!$F:$F,,0)=0,"",_xlfn.XLOOKUP(D859,product!$A:$A,product!$F:$F,,0))</f>
        <v>No</v>
      </c>
      <c r="M859" t="str">
        <f>IF(_xlfn.XLOOKUP(D859,product!$A:$A,product!G:G,,0)=0,"",_xlfn.XLOOKUP(D859,product!$A:$A,product!G:G,,0))</f>
        <v>Silver</v>
      </c>
      <c r="N859" t="str">
        <f>IF(_xlfn.XLOOKUP(D859,product!$A:$A,product!$B:$B,,0)=0,"",_xlfn.XLOOKUP(D859,product!$A:$A,product!$B:$B,,0))</f>
        <v>Future Silent</v>
      </c>
    </row>
    <row r="860" spans="1:14" x14ac:dyDescent="0.35">
      <c r="A860" t="s">
        <v>919</v>
      </c>
      <c r="B860" s="3">
        <v>45005</v>
      </c>
      <c r="C860" t="s">
        <v>2932</v>
      </c>
      <c r="D860" t="s">
        <v>6218</v>
      </c>
      <c r="E860">
        <v>2</v>
      </c>
      <c r="F860" t="str">
        <f>_xlfn.XLOOKUP(C860,customers!$A$1:$A$983,customers!$B$1:$B$983,,0)</f>
        <v>Sophia White</v>
      </c>
      <c r="G860" t="str">
        <f>_xlfn.XLOOKUP(C860,customers!$A:$A,customers!$C:$C,,0)</f>
        <v>sophia.white681@hotmail.com</v>
      </c>
      <c r="H860" t="str">
        <f>IF(_xlfn.XLOOKUP(C860,customers!$A:$A,customers!$G:$G,,0)=0,"",_xlfn.XLOOKUP(C860,customers!$A:$A,customers!$G:$G,,0))</f>
        <v>Spain</v>
      </c>
      <c r="I860" t="str">
        <f>IF(_xlfn.XLOOKUP(D860,product!$A:$A,product!$E:$E,,0)=0,"",_xlfn.XLOOKUP(D860,product!$A:$A,product!$E:$E,,0))</f>
        <v>BUSINESS</v>
      </c>
      <c r="J860" s="5">
        <f>IF(_xlfn.XLOOKUP(D860,product!$A:$A,product!$D:$D,,0)=0,"",_xlfn.XLOOKUP(D860,product!$A:$A,product!$D:$D,,0))</f>
        <v>38.85</v>
      </c>
      <c r="K860" s="7">
        <f t="shared" si="13"/>
        <v>77.7</v>
      </c>
      <c r="L860" s="10" t="str">
        <f>IF(_xlfn.XLOOKUP(D860,product!$A:$A,product!$F:$F,,0)=0,"",_xlfn.XLOOKUP(D860,product!$A:$A,product!$F:$F,,0))</f>
        <v>No</v>
      </c>
      <c r="M860" t="str">
        <f>IF(_xlfn.XLOOKUP(D860,product!$A:$A,product!G:G,,0)=0,"",_xlfn.XLOOKUP(D860,product!$A:$A,product!G:G,,0))</f>
        <v>Silver</v>
      </c>
      <c r="N860" t="str">
        <f>IF(_xlfn.XLOOKUP(D860,product!$A:$A,product!$B:$B,,0)=0,"",_xlfn.XLOOKUP(D860,product!$A:$A,product!$B:$B,,0))</f>
        <v>Science Data</v>
      </c>
    </row>
    <row r="861" spans="1:14" x14ac:dyDescent="0.35">
      <c r="A861" t="s">
        <v>936</v>
      </c>
      <c r="B861" s="3">
        <v>45323</v>
      </c>
      <c r="C861" t="s">
        <v>1681</v>
      </c>
      <c r="D861" t="s">
        <v>6219</v>
      </c>
      <c r="E861">
        <v>2</v>
      </c>
      <c r="F861" t="str">
        <f>_xlfn.XLOOKUP(C861,customers!$A$1:$A$983,customers!$B$1:$B$983,,0)</f>
        <v>Chloe Garcia</v>
      </c>
      <c r="G861" t="str">
        <f>_xlfn.XLOOKUP(C861,customers!$A:$A,customers!$C:$C,,0)</f>
        <v>chloe.garcia167@yahoo.com</v>
      </c>
      <c r="H861" t="str">
        <f>IF(_xlfn.XLOOKUP(C861,customers!$A:$A,customers!$G:$G,,0)=0,"",_xlfn.XLOOKUP(C861,customers!$A:$A,customers!$G:$G,,0))</f>
        <v>Egypt</v>
      </c>
      <c r="I861" t="str">
        <f>IF(_xlfn.XLOOKUP(D861,product!$A:$A,product!$E:$E,,0)=0,"",_xlfn.XLOOKUP(D861,product!$A:$A,product!$E:$E,,0))</f>
        <v>SCIENCE</v>
      </c>
      <c r="J861" s="5">
        <f>IF(_xlfn.XLOOKUP(D861,product!$A:$A,product!$D:$D,,0)=0,"",_xlfn.XLOOKUP(D861,product!$A:$A,product!$D:$D,,0))</f>
        <v>13.84</v>
      </c>
      <c r="K861" s="7">
        <f t="shared" si="13"/>
        <v>27.68</v>
      </c>
      <c r="L861" s="10" t="str">
        <f>IF(_xlfn.XLOOKUP(D861,product!$A:$A,product!$F:$F,,0)=0,"",_xlfn.XLOOKUP(D861,product!$A:$A,product!$F:$F,,0))</f>
        <v>Yes</v>
      </c>
      <c r="M861" t="str">
        <f>IF(_xlfn.XLOOKUP(D861,product!$A:$A,product!G:G,,0)=0,"",_xlfn.XLOOKUP(D861,product!$A:$A,product!G:G,,0))</f>
        <v>Platinum</v>
      </c>
      <c r="N861" t="str">
        <f>IF(_xlfn.XLOOKUP(D861,product!$A:$A,product!$B:$B,,0)=0,"",_xlfn.XLOOKUP(D861,product!$A:$A,product!$B:$B,,0))</f>
        <v>Secrets Power</v>
      </c>
    </row>
    <row r="862" spans="1:14" x14ac:dyDescent="0.35">
      <c r="A862" t="s">
        <v>953</v>
      </c>
      <c r="B862" s="3">
        <v>45157</v>
      </c>
      <c r="C862" t="s">
        <v>3380</v>
      </c>
      <c r="D862" t="s">
        <v>6220</v>
      </c>
      <c r="E862">
        <v>2</v>
      </c>
      <c r="F862" t="str">
        <f>_xlfn.XLOOKUP(C862,customers!$A$1:$A$983,customers!$B$1:$B$983,,0)</f>
        <v>Brian Lee</v>
      </c>
      <c r="G862" t="str">
        <f>_xlfn.XLOOKUP(C862,customers!$A:$A,customers!$C:$C,,0)</f>
        <v>brian.lee904@gmail.com</v>
      </c>
      <c r="H862" t="str">
        <f>IF(_xlfn.XLOOKUP(C862,customers!$A:$A,customers!$G:$G,,0)=0,"",_xlfn.XLOOKUP(C862,customers!$A:$A,customers!$G:$G,,0))</f>
        <v>Pakistan</v>
      </c>
      <c r="I862" t="str">
        <f>IF(_xlfn.XLOOKUP(D862,product!$A:$A,product!$E:$E,,0)=0,"",_xlfn.XLOOKUP(D862,product!$A:$A,product!$E:$E,,0))</f>
        <v>BUSINESS</v>
      </c>
      <c r="J862" s="5">
        <f>IF(_xlfn.XLOOKUP(D862,product!$A:$A,product!$D:$D,,0)=0,"",_xlfn.XLOOKUP(D862,product!$A:$A,product!$D:$D,,0))</f>
        <v>26.83</v>
      </c>
      <c r="K862" s="7">
        <f t="shared" si="13"/>
        <v>53.66</v>
      </c>
      <c r="L862" s="10" t="str">
        <f>IF(_xlfn.XLOOKUP(D862,product!$A:$A,product!$F:$F,,0)=0,"",_xlfn.XLOOKUP(D862,product!$A:$A,product!$F:$F,,0))</f>
        <v>No</v>
      </c>
      <c r="M862" t="str">
        <f>IF(_xlfn.XLOOKUP(D862,product!$A:$A,product!G:G,,0)=0,"",_xlfn.XLOOKUP(D862,product!$A:$A,product!G:G,,0))</f>
        <v>None</v>
      </c>
      <c r="N862" t="str">
        <f>IF(_xlfn.XLOOKUP(D862,product!$A:$A,product!$B:$B,,0)=0,"",_xlfn.XLOOKUP(D862,product!$A:$A,product!$B:$B,,0))</f>
        <v>Forest Power</v>
      </c>
    </row>
    <row r="863" spans="1:14" x14ac:dyDescent="0.35">
      <c r="A863" t="s">
        <v>970</v>
      </c>
      <c r="B863" s="3">
        <v>45442</v>
      </c>
      <c r="C863" t="s">
        <v>2842</v>
      </c>
      <c r="D863" t="s">
        <v>6221</v>
      </c>
      <c r="E863">
        <v>2</v>
      </c>
      <c r="F863" t="str">
        <f>_xlfn.XLOOKUP(C863,customers!$A$1:$A$983,customers!$B$1:$B$983,,0)</f>
        <v>Steven Garcia</v>
      </c>
      <c r="G863" t="str">
        <f>_xlfn.XLOOKUP(C863,customers!$A:$A,customers!$C:$C,,0)</f>
        <v>steven.garcia636@outlook.com</v>
      </c>
      <c r="H863" t="str">
        <f>IF(_xlfn.XLOOKUP(C863,customers!$A:$A,customers!$G:$G,,0)=0,"",_xlfn.XLOOKUP(C863,customers!$A:$A,customers!$G:$G,,0))</f>
        <v>Spain</v>
      </c>
      <c r="I863" t="str">
        <f>IF(_xlfn.XLOOKUP(D863,product!$A:$A,product!$E:$E,,0)=0,"",_xlfn.XLOOKUP(D863,product!$A:$A,product!$E:$E,,0))</f>
        <v>SCIENCE</v>
      </c>
      <c r="J863" s="5">
        <f>IF(_xlfn.XLOOKUP(D863,product!$A:$A,product!$D:$D,,0)=0,"",_xlfn.XLOOKUP(D863,product!$A:$A,product!$D:$D,,0))</f>
        <v>29.04</v>
      </c>
      <c r="K863" s="7">
        <f t="shared" si="13"/>
        <v>58.08</v>
      </c>
      <c r="L863" s="10" t="str">
        <f>IF(_xlfn.XLOOKUP(D863,product!$A:$A,product!$F:$F,,0)=0,"",_xlfn.XLOOKUP(D863,product!$A:$A,product!$F:$F,,0))</f>
        <v>No</v>
      </c>
      <c r="M863" t="str">
        <f>IF(_xlfn.XLOOKUP(D863,product!$A:$A,product!G:G,,0)=0,"",_xlfn.XLOOKUP(D863,product!$A:$A,product!G:G,,0))</f>
        <v>None</v>
      </c>
      <c r="N863" t="str">
        <f>IF(_xlfn.XLOOKUP(D863,product!$A:$A,product!$B:$B,,0)=0,"",_xlfn.XLOOKUP(D863,product!$A:$A,product!$B:$B,,0))</f>
        <v>Journey Secrets</v>
      </c>
    </row>
    <row r="864" spans="1:14" x14ac:dyDescent="0.35">
      <c r="A864" t="s">
        <v>987</v>
      </c>
      <c r="B864" s="3">
        <v>45257</v>
      </c>
      <c r="C864" t="s">
        <v>3159</v>
      </c>
      <c r="D864" t="s">
        <v>6222</v>
      </c>
      <c r="E864">
        <v>2</v>
      </c>
      <c r="F864" t="str">
        <f>_xlfn.XLOOKUP(C864,customers!$A$1:$A$983,customers!$B$1:$B$983,,0)</f>
        <v>Kevin Robinson</v>
      </c>
      <c r="G864" t="str">
        <f>_xlfn.XLOOKUP(C864,customers!$A:$A,customers!$C:$C,,0)</f>
        <v>kevin.robinson792@gmail.com</v>
      </c>
      <c r="H864" t="str">
        <f>IF(_xlfn.XLOOKUP(C864,customers!$A:$A,customers!$G:$G,,0)=0,"",_xlfn.XLOOKUP(C864,customers!$A:$A,customers!$G:$G,,0))</f>
        <v>Germany</v>
      </c>
      <c r="I864" t="str">
        <f>IF(_xlfn.XLOOKUP(D864,product!$A:$A,product!$E:$E,,0)=0,"",_xlfn.XLOOKUP(D864,product!$A:$A,product!$E:$E,,0))</f>
        <v>SCIENCE</v>
      </c>
      <c r="J864" s="5">
        <f>IF(_xlfn.XLOOKUP(D864,product!$A:$A,product!$D:$D,,0)=0,"",_xlfn.XLOOKUP(D864,product!$A:$A,product!$D:$D,,0))</f>
        <v>30.04</v>
      </c>
      <c r="K864" s="7">
        <f t="shared" si="13"/>
        <v>60.08</v>
      </c>
      <c r="L864" s="10" t="str">
        <f>IF(_xlfn.XLOOKUP(D864,product!$A:$A,product!$F:$F,,0)=0,"",_xlfn.XLOOKUP(D864,product!$A:$A,product!$F:$F,,0))</f>
        <v>No</v>
      </c>
      <c r="M864" t="str">
        <f>IF(_xlfn.XLOOKUP(D864,product!$A:$A,product!G:G,,0)=0,"",_xlfn.XLOOKUP(D864,product!$A:$A,product!G:G,,0))</f>
        <v>None</v>
      </c>
      <c r="N864" t="str">
        <f>IF(_xlfn.XLOOKUP(D864,product!$A:$A,product!$B:$B,,0)=0,"",_xlfn.XLOOKUP(D864,product!$A:$A,product!$B:$B,,0))</f>
        <v>Mind Forest</v>
      </c>
    </row>
    <row r="865" spans="1:14" x14ac:dyDescent="0.35">
      <c r="A865" t="s">
        <v>1004</v>
      </c>
      <c r="B865" s="3">
        <v>45477</v>
      </c>
      <c r="C865" t="s">
        <v>2612</v>
      </c>
      <c r="D865" t="s">
        <v>6223</v>
      </c>
      <c r="E865">
        <v>2</v>
      </c>
      <c r="F865" t="str">
        <f>_xlfn.XLOOKUP(C865,customers!$A$1:$A$983,customers!$B$1:$B$983,,0)</f>
        <v>Lucy King</v>
      </c>
      <c r="G865" t="str">
        <f>_xlfn.XLOOKUP(C865,customers!$A:$A,customers!$C:$C,,0)</f>
        <v>lucy.king526@gmail.com</v>
      </c>
      <c r="H865" t="str">
        <f>IF(_xlfn.XLOOKUP(C865,customers!$A:$A,customers!$G:$G,,0)=0,"",_xlfn.XLOOKUP(C865,customers!$A:$A,customers!$G:$G,,0))</f>
        <v>Sweden</v>
      </c>
      <c r="I865" t="str">
        <f>IF(_xlfn.XLOOKUP(D865,product!$A:$A,product!$E:$E,,0)=0,"",_xlfn.XLOOKUP(D865,product!$A:$A,product!$E:$E,,0))</f>
        <v>TECH</v>
      </c>
      <c r="J865" s="5">
        <f>IF(_xlfn.XLOOKUP(D865,product!$A:$A,product!$D:$D,,0)=0,"",_xlfn.XLOOKUP(D865,product!$A:$A,product!$D:$D,,0))</f>
        <v>28.46</v>
      </c>
      <c r="K865" s="7">
        <f t="shared" si="13"/>
        <v>56.92</v>
      </c>
      <c r="L865" s="10" t="str">
        <f>IF(_xlfn.XLOOKUP(D865,product!$A:$A,product!$F:$F,,0)=0,"",_xlfn.XLOOKUP(D865,product!$A:$A,product!$F:$F,,0))</f>
        <v>No</v>
      </c>
      <c r="M865" t="str">
        <f>IF(_xlfn.XLOOKUP(D865,product!$A:$A,product!G:G,,0)=0,"",_xlfn.XLOOKUP(D865,product!$A:$A,product!G:G,,0))</f>
        <v>None</v>
      </c>
      <c r="N865" t="str">
        <f>IF(_xlfn.XLOOKUP(D865,product!$A:$A,product!$B:$B,,0)=0,"",_xlfn.XLOOKUP(D865,product!$A:$A,product!$B:$B,,0))</f>
        <v>Secrets Journey</v>
      </c>
    </row>
    <row r="866" spans="1:14" x14ac:dyDescent="0.35">
      <c r="A866" t="s">
        <v>1021</v>
      </c>
      <c r="B866" s="3">
        <v>45079</v>
      </c>
      <c r="C866" t="s">
        <v>1398</v>
      </c>
      <c r="D866" t="s">
        <v>6224</v>
      </c>
      <c r="E866">
        <v>2</v>
      </c>
      <c r="F866" t="str">
        <f>_xlfn.XLOOKUP(C866,customers!$A$1:$A$983,customers!$B$1:$B$983,,0)</f>
        <v>Amelia Martin</v>
      </c>
      <c r="G866" t="str">
        <f>_xlfn.XLOOKUP(C866,customers!$A:$A,customers!$C:$C,,0)</f>
        <v>amelia.martin92@outlook.com</v>
      </c>
      <c r="H866" t="str">
        <f>IF(_xlfn.XLOOKUP(C866,customers!$A:$A,customers!$G:$G,,0)=0,"",_xlfn.XLOOKUP(C866,customers!$A:$A,customers!$G:$G,,0))</f>
        <v>Pakistan</v>
      </c>
      <c r="I866" t="str">
        <f>IF(_xlfn.XLOOKUP(D866,product!$A:$A,product!$E:$E,,0)=0,"",_xlfn.XLOOKUP(D866,product!$A:$A,product!$E:$E,,0))</f>
        <v>HISTORY</v>
      </c>
      <c r="J866" s="5">
        <f>IF(_xlfn.XLOOKUP(D866,product!$A:$A,product!$D:$D,,0)=0,"",_xlfn.XLOOKUP(D866,product!$A:$A,product!$D:$D,,0))</f>
        <v>22.34</v>
      </c>
      <c r="K866" s="7">
        <f t="shared" si="13"/>
        <v>44.68</v>
      </c>
      <c r="L866" s="10" t="str">
        <f>IF(_xlfn.XLOOKUP(D866,product!$A:$A,product!$F:$F,,0)=0,"",_xlfn.XLOOKUP(D866,product!$A:$A,product!$F:$F,,0))</f>
        <v>Yes</v>
      </c>
      <c r="M866" t="str">
        <f>IF(_xlfn.XLOOKUP(D866,product!$A:$A,product!G:G,,0)=0,"",_xlfn.XLOOKUP(D866,product!$A:$A,product!G:G,,0))</f>
        <v>None</v>
      </c>
      <c r="N866" t="str">
        <f>IF(_xlfn.XLOOKUP(D866,product!$A:$A,product!$B:$B,,0)=0,"",_xlfn.XLOOKUP(D866,product!$A:$A,product!$B:$B,,0))</f>
        <v>Journey Silent</v>
      </c>
    </row>
    <row r="867" spans="1:14" x14ac:dyDescent="0.35">
      <c r="A867" t="s">
        <v>1038</v>
      </c>
      <c r="B867" s="3">
        <v>45560</v>
      </c>
      <c r="C867" t="s">
        <v>2791</v>
      </c>
      <c r="D867" t="s">
        <v>6225</v>
      </c>
      <c r="E867">
        <v>2</v>
      </c>
      <c r="F867" t="str">
        <f>_xlfn.XLOOKUP(C867,customers!$A$1:$A$983,customers!$B$1:$B$983,,0)</f>
        <v>Kevin Lopez</v>
      </c>
      <c r="G867" t="str">
        <f>_xlfn.XLOOKUP(C867,customers!$A:$A,customers!$C:$C,,0)</f>
        <v>kevin.lopez612@gmail.com</v>
      </c>
      <c r="H867" t="str">
        <f>IF(_xlfn.XLOOKUP(C867,customers!$A:$A,customers!$G:$G,,0)=0,"",_xlfn.XLOOKUP(C867,customers!$A:$A,customers!$G:$G,,0))</f>
        <v>Germany</v>
      </c>
      <c r="I867" t="str">
        <f>IF(_xlfn.XLOOKUP(D867,product!$A:$A,product!$E:$E,,0)=0,"",_xlfn.XLOOKUP(D867,product!$A:$A,product!$E:$E,,0))</f>
        <v>SCIENCE</v>
      </c>
      <c r="J867" s="5">
        <f>IF(_xlfn.XLOOKUP(D867,product!$A:$A,product!$D:$D,,0)=0,"",_xlfn.XLOOKUP(D867,product!$A:$A,product!$D:$D,,0))</f>
        <v>11.94</v>
      </c>
      <c r="K867" s="7">
        <f t="shared" si="13"/>
        <v>23.88</v>
      </c>
      <c r="L867" s="10" t="str">
        <f>IF(_xlfn.XLOOKUP(D867,product!$A:$A,product!$F:$F,,0)=0,"",_xlfn.XLOOKUP(D867,product!$A:$A,product!$F:$F,,0))</f>
        <v>Yes</v>
      </c>
      <c r="M867" t="str">
        <f>IF(_xlfn.XLOOKUP(D867,product!$A:$A,product!G:G,,0)=0,"",_xlfn.XLOOKUP(D867,product!$A:$A,product!G:G,,0))</f>
        <v>None</v>
      </c>
      <c r="N867" t="str">
        <f>IF(_xlfn.XLOOKUP(D867,product!$A:$A,product!$B:$B,,0)=0,"",_xlfn.XLOOKUP(D867,product!$A:$A,product!$B:$B,,0))</f>
        <v>Data Mind</v>
      </c>
    </row>
    <row r="868" spans="1:14" x14ac:dyDescent="0.35">
      <c r="A868" t="s">
        <v>1055</v>
      </c>
      <c r="B868" s="3">
        <v>45041</v>
      </c>
      <c r="C868" t="s">
        <v>2218</v>
      </c>
      <c r="D868" t="s">
        <v>6226</v>
      </c>
      <c r="E868">
        <v>2</v>
      </c>
      <c r="F868" t="str">
        <f>_xlfn.XLOOKUP(C868,customers!$A$1:$A$983,customers!$B$1:$B$983,,0)</f>
        <v>Emma Scott</v>
      </c>
      <c r="G868" t="str">
        <f>_xlfn.XLOOKUP(C868,customers!$A:$A,customers!$C:$C,,0)</f>
        <v>emma.scott344@yahoo.com</v>
      </c>
      <c r="H868" t="str">
        <f>IF(_xlfn.XLOOKUP(C868,customers!$A:$A,customers!$G:$G,,0)=0,"",_xlfn.XLOOKUP(C868,customers!$A:$A,customers!$G:$G,,0))</f>
        <v>Pakistan</v>
      </c>
      <c r="I868" t="str">
        <f>IF(_xlfn.XLOOKUP(D868,product!$A:$A,product!$E:$E,,0)=0,"",_xlfn.XLOOKUP(D868,product!$A:$A,product!$E:$E,,0))</f>
        <v>FICTION</v>
      </c>
      <c r="J868" s="5">
        <f>IF(_xlfn.XLOOKUP(D868,product!$A:$A,product!$D:$D,,0)=0,"",_xlfn.XLOOKUP(D868,product!$A:$A,product!$D:$D,,0))</f>
        <v>14.71</v>
      </c>
      <c r="K868" s="7">
        <f t="shared" si="13"/>
        <v>29.42</v>
      </c>
      <c r="L868" s="10" t="str">
        <f>IF(_xlfn.XLOOKUP(D868,product!$A:$A,product!$F:$F,,0)=0,"",_xlfn.XLOOKUP(D868,product!$A:$A,product!$F:$F,,0))</f>
        <v>Yes</v>
      </c>
      <c r="M868" t="str">
        <f>IF(_xlfn.XLOOKUP(D868,product!$A:$A,product!G:G,,0)=0,"",_xlfn.XLOOKUP(D868,product!$A:$A,product!G:G,,0))</f>
        <v>Silver</v>
      </c>
      <c r="N868" t="str">
        <f>IF(_xlfn.XLOOKUP(D868,product!$A:$A,product!$B:$B,,0)=0,"",_xlfn.XLOOKUP(D868,product!$A:$A,product!$B:$B,,0))</f>
        <v>Silent Science</v>
      </c>
    </row>
    <row r="869" spans="1:14" x14ac:dyDescent="0.35">
      <c r="A869" t="s">
        <v>22</v>
      </c>
      <c r="B869" s="3">
        <v>45312</v>
      </c>
      <c r="C869" t="s">
        <v>3141</v>
      </c>
      <c r="D869" t="s">
        <v>6227</v>
      </c>
      <c r="E869">
        <v>1</v>
      </c>
      <c r="F869" t="str">
        <f>_xlfn.XLOOKUP(C869,customers!$A$1:$A$983,customers!$B$1:$B$983,,0)</f>
        <v>Laura Walker</v>
      </c>
      <c r="G869" t="str">
        <f>_xlfn.XLOOKUP(C869,customers!$A:$A,customers!$C:$C,,0)</f>
        <v>laura.walker783@hotmail.com</v>
      </c>
      <c r="H869" t="str">
        <f>IF(_xlfn.XLOOKUP(C869,customers!$A:$A,customers!$G:$G,,0)=0,"",_xlfn.XLOOKUP(C869,customers!$A:$A,customers!$G:$G,,0))</f>
        <v>Germany</v>
      </c>
      <c r="I869" t="str">
        <f>IF(_xlfn.XLOOKUP(D869,product!$A:$A,product!$E:$E,,0)=0,"",_xlfn.XLOOKUP(D869,product!$A:$A,product!$E:$E,,0))</f>
        <v>BUSINESS</v>
      </c>
      <c r="J869" s="5">
        <f>IF(_xlfn.XLOOKUP(D869,product!$A:$A,product!$D:$D,,0)=0,"",_xlfn.XLOOKUP(D869,product!$A:$A,product!$D:$D,,0))</f>
        <v>25.19</v>
      </c>
      <c r="K869" s="7">
        <f t="shared" si="13"/>
        <v>25.19</v>
      </c>
      <c r="L869" s="10" t="str">
        <f>IF(_xlfn.XLOOKUP(D869,product!$A:$A,product!$F:$F,,0)=0,"",_xlfn.XLOOKUP(D869,product!$A:$A,product!$F:$F,,0))</f>
        <v>Yes</v>
      </c>
      <c r="M869" t="str">
        <f>IF(_xlfn.XLOOKUP(D869,product!$A:$A,product!G:G,,0)=0,"",_xlfn.XLOOKUP(D869,product!$A:$A,product!G:G,,0))</f>
        <v>Silver</v>
      </c>
      <c r="N869" t="str">
        <f>IF(_xlfn.XLOOKUP(D869,product!$A:$A,product!$B:$B,,0)=0,"",_xlfn.XLOOKUP(D869,product!$A:$A,product!$B:$B,,0))</f>
        <v>Journey Future</v>
      </c>
    </row>
    <row r="870" spans="1:14" x14ac:dyDescent="0.35">
      <c r="A870" t="s">
        <v>39</v>
      </c>
      <c r="B870" s="3">
        <v>45202</v>
      </c>
      <c r="C870" t="s">
        <v>1423</v>
      </c>
      <c r="D870" t="s">
        <v>6228</v>
      </c>
      <c r="E870">
        <v>3</v>
      </c>
      <c r="F870" t="str">
        <f>_xlfn.XLOOKUP(C870,customers!$A$1:$A$983,customers!$B$1:$B$983,,0)</f>
        <v>Lily Allen</v>
      </c>
      <c r="G870" t="str">
        <f>_xlfn.XLOOKUP(C870,customers!$A:$A,customers!$C:$C,,0)</f>
        <v>lily.allen99@yahoo.com</v>
      </c>
      <c r="H870" t="str">
        <f>IF(_xlfn.XLOOKUP(C870,customers!$A:$A,customers!$G:$G,,0)=0,"",_xlfn.XLOOKUP(C870,customers!$A:$A,customers!$G:$G,,0))</f>
        <v>Germany</v>
      </c>
      <c r="I870" t="str">
        <f>IF(_xlfn.XLOOKUP(D870,product!$A:$A,product!$E:$E,,0)=0,"",_xlfn.XLOOKUP(D870,product!$A:$A,product!$E:$E,,0))</f>
        <v>BUSINESS</v>
      </c>
      <c r="J870" s="5">
        <f>IF(_xlfn.XLOOKUP(D870,product!$A:$A,product!$D:$D,,0)=0,"",_xlfn.XLOOKUP(D870,product!$A:$A,product!$D:$D,,0))</f>
        <v>37.97</v>
      </c>
      <c r="K870" s="7">
        <f t="shared" si="13"/>
        <v>113.91</v>
      </c>
      <c r="L870" s="10" t="str">
        <f>IF(_xlfn.XLOOKUP(D870,product!$A:$A,product!$F:$F,,0)=0,"",_xlfn.XLOOKUP(D870,product!$A:$A,product!$F:$F,,0))</f>
        <v>No</v>
      </c>
      <c r="M870" t="str">
        <f>IF(_xlfn.XLOOKUP(D870,product!$A:$A,product!G:G,,0)=0,"",_xlfn.XLOOKUP(D870,product!$A:$A,product!G:G,,0))</f>
        <v>None</v>
      </c>
      <c r="N870" t="str">
        <f>IF(_xlfn.XLOOKUP(D870,product!$A:$A,product!$B:$B,,0)=0,"",_xlfn.XLOOKUP(D870,product!$A:$A,product!$B:$B,,0))</f>
        <v>Quantum Mind</v>
      </c>
    </row>
    <row r="871" spans="1:14" x14ac:dyDescent="0.35">
      <c r="A871" t="s">
        <v>56</v>
      </c>
      <c r="B871" s="3">
        <v>45605</v>
      </c>
      <c r="C871" t="s">
        <v>2118</v>
      </c>
      <c r="D871" t="s">
        <v>6229</v>
      </c>
      <c r="E871">
        <v>3</v>
      </c>
      <c r="F871" t="str">
        <f>_xlfn.XLOOKUP(C871,customers!$A$1:$A$983,customers!$B$1:$B$983,,0)</f>
        <v>Ryan Adams</v>
      </c>
      <c r="G871" t="str">
        <f>_xlfn.XLOOKUP(C871,customers!$A:$A,customers!$C:$C,,0)</f>
        <v>ryan.adams303@hotmail.com</v>
      </c>
      <c r="H871" t="str">
        <f>IF(_xlfn.XLOOKUP(C871,customers!$A:$A,customers!$G:$G,,0)=0,"",_xlfn.XLOOKUP(C871,customers!$A:$A,customers!$G:$G,,0))</f>
        <v>Spain</v>
      </c>
      <c r="I871" t="str">
        <f>IF(_xlfn.XLOOKUP(D871,product!$A:$A,product!$E:$E,,0)=0,"",_xlfn.XLOOKUP(D871,product!$A:$A,product!$E:$E,,0))</f>
        <v>BUSINESS</v>
      </c>
      <c r="J871" s="5">
        <f>IF(_xlfn.XLOOKUP(D871,product!$A:$A,product!$D:$D,,0)=0,"",_xlfn.XLOOKUP(D871,product!$A:$A,product!$D:$D,,0))</f>
        <v>29.11</v>
      </c>
      <c r="K871" s="7">
        <f t="shared" si="13"/>
        <v>87.33</v>
      </c>
      <c r="L871" s="10" t="str">
        <f>IF(_xlfn.XLOOKUP(D871,product!$A:$A,product!$F:$F,,0)=0,"",_xlfn.XLOOKUP(D871,product!$A:$A,product!$F:$F,,0))</f>
        <v>Yes</v>
      </c>
      <c r="M871" t="str">
        <f>IF(_xlfn.XLOOKUP(D871,product!$A:$A,product!G:G,,0)=0,"",_xlfn.XLOOKUP(D871,product!$A:$A,product!G:G,,0))</f>
        <v>Silver</v>
      </c>
      <c r="N871" t="str">
        <f>IF(_xlfn.XLOOKUP(D871,product!$A:$A,product!$B:$B,,0)=0,"",_xlfn.XLOOKUP(D871,product!$A:$A,product!$B:$B,,0))</f>
        <v>Future Power</v>
      </c>
    </row>
    <row r="872" spans="1:14" x14ac:dyDescent="0.35">
      <c r="A872" t="s">
        <v>143</v>
      </c>
      <c r="B872" s="3">
        <v>45288</v>
      </c>
      <c r="C872" t="s">
        <v>1486</v>
      </c>
      <c r="D872" t="s">
        <v>6230</v>
      </c>
      <c r="E872">
        <v>3</v>
      </c>
      <c r="F872" t="str">
        <f>_xlfn.XLOOKUP(C872,customers!$A$1:$A$983,customers!$B$1:$B$983,,0)</f>
        <v>Ella Adams</v>
      </c>
      <c r="G872" t="str">
        <f>_xlfn.XLOOKUP(C872,customers!$A:$A,customers!$C:$C,,0)</f>
        <v>ella.adams119@hotmail.com</v>
      </c>
      <c r="H872" t="str">
        <f>IF(_xlfn.XLOOKUP(C872,customers!$A:$A,customers!$G:$G,,0)=0,"",_xlfn.XLOOKUP(C872,customers!$A:$A,customers!$G:$G,,0))</f>
        <v>Pakistan</v>
      </c>
      <c r="I872" t="str">
        <f>IF(_xlfn.XLOOKUP(D872,product!$A:$A,product!$E:$E,,0)=0,"",_xlfn.XLOOKUP(D872,product!$A:$A,product!$E:$E,,0))</f>
        <v>TECH</v>
      </c>
      <c r="J872" s="5">
        <f>IF(_xlfn.XLOOKUP(D872,product!$A:$A,product!$D:$D,,0)=0,"",_xlfn.XLOOKUP(D872,product!$A:$A,product!$D:$D,,0))</f>
        <v>25.67</v>
      </c>
      <c r="K872" s="7">
        <f t="shared" si="13"/>
        <v>77.010000000000005</v>
      </c>
      <c r="L872" s="10" t="str">
        <f>IF(_xlfn.XLOOKUP(D872,product!$A:$A,product!$F:$F,,0)=0,"",_xlfn.XLOOKUP(D872,product!$A:$A,product!$F:$F,,0))</f>
        <v>Yes</v>
      </c>
      <c r="M872" t="str">
        <f>IF(_xlfn.XLOOKUP(D872,product!$A:$A,product!G:G,,0)=0,"",_xlfn.XLOOKUP(D872,product!$A:$A,product!G:G,,0))</f>
        <v>None</v>
      </c>
      <c r="N872" t="str">
        <f>IF(_xlfn.XLOOKUP(D872,product!$A:$A,product!$B:$B,,0)=0,"",_xlfn.XLOOKUP(D872,product!$A:$A,product!$B:$B,,0))</f>
        <v>Data Silent</v>
      </c>
    </row>
    <row r="873" spans="1:14" x14ac:dyDescent="0.35">
      <c r="A873" t="s">
        <v>160</v>
      </c>
      <c r="B873" s="3">
        <v>45363</v>
      </c>
      <c r="C873" t="s">
        <v>1965</v>
      </c>
      <c r="D873" t="s">
        <v>6231</v>
      </c>
      <c r="E873">
        <v>2</v>
      </c>
      <c r="F873" t="str">
        <f>_xlfn.XLOOKUP(C873,customers!$A$1:$A$983,customers!$B$1:$B$983,,0)</f>
        <v>David Martinez</v>
      </c>
      <c r="G873" t="str">
        <f>_xlfn.XLOOKUP(C873,customers!$A:$A,customers!$C:$C,,0)</f>
        <v>david.martinez249@yahoo.com</v>
      </c>
      <c r="H873" t="str">
        <f>IF(_xlfn.XLOOKUP(C873,customers!$A:$A,customers!$G:$G,,0)=0,"",_xlfn.XLOOKUP(C873,customers!$A:$A,customers!$G:$G,,0))</f>
        <v>Spain</v>
      </c>
      <c r="I873" t="str">
        <f>IF(_xlfn.XLOOKUP(D873,product!$A:$A,product!$E:$E,,0)=0,"",_xlfn.XLOOKUP(D873,product!$A:$A,product!$E:$E,,0))</f>
        <v>HISTORY</v>
      </c>
      <c r="J873" s="5">
        <f>IF(_xlfn.XLOOKUP(D873,product!$A:$A,product!$D:$D,,0)=0,"",_xlfn.XLOOKUP(D873,product!$A:$A,product!$D:$D,,0))</f>
        <v>21.69</v>
      </c>
      <c r="K873" s="7">
        <f t="shared" si="13"/>
        <v>43.38</v>
      </c>
      <c r="L873" s="10" t="str">
        <f>IF(_xlfn.XLOOKUP(D873,product!$A:$A,product!$F:$F,,0)=0,"",_xlfn.XLOOKUP(D873,product!$A:$A,product!$F:$F,,0))</f>
        <v>No</v>
      </c>
      <c r="M873" t="str">
        <f>IF(_xlfn.XLOOKUP(D873,product!$A:$A,product!G:G,,0)=0,"",_xlfn.XLOOKUP(D873,product!$A:$A,product!G:G,,0))</f>
        <v>Silver</v>
      </c>
      <c r="N873" t="str">
        <f>IF(_xlfn.XLOOKUP(D873,product!$A:$A,product!$B:$B,,0)=0,"",_xlfn.XLOOKUP(D873,product!$A:$A,product!$B:$B,,0))</f>
        <v>Silent Data</v>
      </c>
    </row>
    <row r="874" spans="1:14" x14ac:dyDescent="0.35">
      <c r="A874" t="s">
        <v>177</v>
      </c>
      <c r="B874" s="3">
        <v>44981</v>
      </c>
      <c r="C874" t="s">
        <v>1528</v>
      </c>
      <c r="D874" t="s">
        <v>6232</v>
      </c>
      <c r="E874">
        <v>2</v>
      </c>
      <c r="F874" t="str">
        <f>_xlfn.XLOOKUP(C874,customers!$A$1:$A$983,customers!$B$1:$B$983,,0)</f>
        <v>Lucy Thompson</v>
      </c>
      <c r="G874" t="str">
        <f>_xlfn.XLOOKUP(C874,customers!$A:$A,customers!$C:$C,,0)</f>
        <v>lucy.thompson130@hotmail.com</v>
      </c>
      <c r="H874" t="str">
        <f>IF(_xlfn.XLOOKUP(C874,customers!$A:$A,customers!$G:$G,,0)=0,"",_xlfn.XLOOKUP(C874,customers!$A:$A,customers!$G:$G,,0))</f>
        <v>Sweden</v>
      </c>
      <c r="I874" t="str">
        <f>IF(_xlfn.XLOOKUP(D874,product!$A:$A,product!$E:$E,,0)=0,"",_xlfn.XLOOKUP(D874,product!$A:$A,product!$E:$E,,0))</f>
        <v>BUSINESS</v>
      </c>
      <c r="J874" s="5">
        <f>IF(_xlfn.XLOOKUP(D874,product!$A:$A,product!$D:$D,,0)=0,"",_xlfn.XLOOKUP(D874,product!$A:$A,product!$D:$D,,0))</f>
        <v>22.69</v>
      </c>
      <c r="K874" s="7">
        <f t="shared" si="13"/>
        <v>45.38</v>
      </c>
      <c r="L874" s="10" t="str">
        <f>IF(_xlfn.XLOOKUP(D874,product!$A:$A,product!$F:$F,,0)=0,"",_xlfn.XLOOKUP(D874,product!$A:$A,product!$F:$F,,0))</f>
        <v>No</v>
      </c>
      <c r="M874" t="str">
        <f>IF(_xlfn.XLOOKUP(D874,product!$A:$A,product!G:G,,0)=0,"",_xlfn.XLOOKUP(D874,product!$A:$A,product!G:G,,0))</f>
        <v>None</v>
      </c>
      <c r="N874" t="str">
        <f>IF(_xlfn.XLOOKUP(D874,product!$A:$A,product!$B:$B,,0)=0,"",_xlfn.XLOOKUP(D874,product!$A:$A,product!$B:$B,,0))</f>
        <v>Secrets Silent</v>
      </c>
    </row>
    <row r="875" spans="1:14" x14ac:dyDescent="0.35">
      <c r="A875" t="s">
        <v>194</v>
      </c>
      <c r="B875" s="3">
        <v>45452</v>
      </c>
      <c r="C875" t="s">
        <v>2373</v>
      </c>
      <c r="D875" t="s">
        <v>6233</v>
      </c>
      <c r="E875">
        <v>2</v>
      </c>
      <c r="F875" t="str">
        <f>_xlfn.XLOOKUP(C875,customers!$A$1:$A$983,customers!$B$1:$B$983,,0)</f>
        <v>Amelia Hill</v>
      </c>
      <c r="G875" t="str">
        <f>_xlfn.XLOOKUP(C875,customers!$A:$A,customers!$C:$C,,0)</f>
        <v>amelia.hill413@yahoo.com</v>
      </c>
      <c r="H875" t="str">
        <f>IF(_xlfn.XLOOKUP(C875,customers!$A:$A,customers!$G:$G,,0)=0,"",_xlfn.XLOOKUP(C875,customers!$A:$A,customers!$G:$G,,0))</f>
        <v>Spain</v>
      </c>
      <c r="I875" t="str">
        <f>IF(_xlfn.XLOOKUP(D875,product!$A:$A,product!$E:$E,,0)=0,"",_xlfn.XLOOKUP(D875,product!$A:$A,product!$E:$E,,0))</f>
        <v>TECH</v>
      </c>
      <c r="J875" s="5">
        <f>IF(_xlfn.XLOOKUP(D875,product!$A:$A,product!$D:$D,,0)=0,"",_xlfn.XLOOKUP(D875,product!$A:$A,product!$D:$D,,0))</f>
        <v>15.53</v>
      </c>
      <c r="K875" s="7">
        <f t="shared" si="13"/>
        <v>31.06</v>
      </c>
      <c r="L875" s="10" t="str">
        <f>IF(_xlfn.XLOOKUP(D875,product!$A:$A,product!$F:$F,,0)=0,"",_xlfn.XLOOKUP(D875,product!$A:$A,product!$F:$F,,0))</f>
        <v>No</v>
      </c>
      <c r="M875" t="str">
        <f>IF(_xlfn.XLOOKUP(D875,product!$A:$A,product!G:G,,0)=0,"",_xlfn.XLOOKUP(D875,product!$A:$A,product!G:G,,0))</f>
        <v>None</v>
      </c>
      <c r="N875" t="str">
        <f>IF(_xlfn.XLOOKUP(D875,product!$A:$A,product!$B:$B,,0)=0,"",_xlfn.XLOOKUP(D875,product!$A:$A,product!$B:$B,,0))</f>
        <v>Power Silent</v>
      </c>
    </row>
    <row r="876" spans="1:14" x14ac:dyDescent="0.35">
      <c r="A876" t="s">
        <v>211</v>
      </c>
      <c r="B876" s="3">
        <v>45058</v>
      </c>
      <c r="C876" t="s">
        <v>2706</v>
      </c>
      <c r="D876" t="s">
        <v>6234</v>
      </c>
      <c r="E876">
        <v>2</v>
      </c>
      <c r="F876" t="str">
        <f>_xlfn.XLOOKUP(C876,customers!$A$1:$A$983,customers!$B$1:$B$983,,0)</f>
        <v>Olivia Lopez</v>
      </c>
      <c r="G876" t="str">
        <f>_xlfn.XLOOKUP(C876,customers!$A:$A,customers!$C:$C,,0)</f>
        <v>olivia.lopez571@yahoo.com</v>
      </c>
      <c r="H876" t="str">
        <f>IF(_xlfn.XLOOKUP(C876,customers!$A:$A,customers!$G:$G,,0)=0,"",_xlfn.XLOOKUP(C876,customers!$A:$A,customers!$G:$G,,0))</f>
        <v>Sweden</v>
      </c>
      <c r="I876" t="str">
        <f>IF(_xlfn.XLOOKUP(D876,product!$A:$A,product!$E:$E,,0)=0,"",_xlfn.XLOOKUP(D876,product!$A:$A,product!$E:$E,,0))</f>
        <v>TECH</v>
      </c>
      <c r="J876" s="5">
        <f>IF(_xlfn.XLOOKUP(D876,product!$A:$A,product!$D:$D,,0)=0,"",_xlfn.XLOOKUP(D876,product!$A:$A,product!$D:$D,,0))</f>
        <v>19.79</v>
      </c>
      <c r="K876" s="7">
        <f t="shared" si="13"/>
        <v>39.58</v>
      </c>
      <c r="L876" s="10" t="str">
        <f>IF(_xlfn.XLOOKUP(D876,product!$A:$A,product!$F:$F,,0)=0,"",_xlfn.XLOOKUP(D876,product!$A:$A,product!$F:$F,,0))</f>
        <v>No</v>
      </c>
      <c r="M876" t="str">
        <f>IF(_xlfn.XLOOKUP(D876,product!$A:$A,product!G:G,,0)=0,"",_xlfn.XLOOKUP(D876,product!$A:$A,product!G:G,,0))</f>
        <v>None</v>
      </c>
      <c r="N876" t="str">
        <f>IF(_xlfn.XLOOKUP(D876,product!$A:$A,product!$B:$B,,0)=0,"",_xlfn.XLOOKUP(D876,product!$A:$A,product!$B:$B,,0))</f>
        <v>Quantum Data</v>
      </c>
    </row>
    <row r="877" spans="1:14" x14ac:dyDescent="0.35">
      <c r="A877" t="s">
        <v>228</v>
      </c>
      <c r="B877" s="3">
        <v>45594</v>
      </c>
      <c r="C877" t="s">
        <v>2766</v>
      </c>
      <c r="D877" t="s">
        <v>6235</v>
      </c>
      <c r="E877">
        <v>2</v>
      </c>
      <c r="F877" t="str">
        <f>_xlfn.XLOOKUP(C877,customers!$A$1:$A$983,customers!$B$1:$B$983,,0)</f>
        <v>Thomas Johnson</v>
      </c>
      <c r="G877" t="str">
        <f>_xlfn.XLOOKUP(C877,customers!$A:$A,customers!$C:$C,,0)</f>
        <v>thomas.johnson600@outlook.com</v>
      </c>
      <c r="H877" t="str">
        <f>IF(_xlfn.XLOOKUP(C877,customers!$A:$A,customers!$G:$G,,0)=0,"",_xlfn.XLOOKUP(C877,customers!$A:$A,customers!$G:$G,,0))</f>
        <v>Spain</v>
      </c>
      <c r="I877" t="str">
        <f>IF(_xlfn.XLOOKUP(D877,product!$A:$A,product!$E:$E,,0)=0,"",_xlfn.XLOOKUP(D877,product!$A:$A,product!$E:$E,,0))</f>
        <v>HISTORY</v>
      </c>
      <c r="J877" s="5">
        <f>IF(_xlfn.XLOOKUP(D877,product!$A:$A,product!$D:$D,,0)=0,"",_xlfn.XLOOKUP(D877,product!$A:$A,product!$D:$D,,0))</f>
        <v>13.19</v>
      </c>
      <c r="K877" s="7">
        <f t="shared" si="13"/>
        <v>26.38</v>
      </c>
      <c r="L877" s="10" t="str">
        <f>IF(_xlfn.XLOOKUP(D877,product!$A:$A,product!$F:$F,,0)=0,"",_xlfn.XLOOKUP(D877,product!$A:$A,product!$F:$F,,0))</f>
        <v>No</v>
      </c>
      <c r="M877" t="str">
        <f>IF(_xlfn.XLOOKUP(D877,product!$A:$A,product!G:G,,0)=0,"",_xlfn.XLOOKUP(D877,product!$A:$A,product!G:G,,0))</f>
        <v>Gold</v>
      </c>
      <c r="N877" t="str">
        <f>IF(_xlfn.XLOOKUP(D877,product!$A:$A,product!$B:$B,,0)=0,"",_xlfn.XLOOKUP(D877,product!$A:$A,product!$B:$B,,0))</f>
        <v>Future Data</v>
      </c>
    </row>
    <row r="878" spans="1:14" x14ac:dyDescent="0.35">
      <c r="A878" t="s">
        <v>245</v>
      </c>
      <c r="B878" s="3">
        <v>45115</v>
      </c>
      <c r="C878" t="s">
        <v>2729</v>
      </c>
      <c r="D878" t="s">
        <v>6236</v>
      </c>
      <c r="E878">
        <v>2</v>
      </c>
      <c r="F878" t="str">
        <f>_xlfn.XLOOKUP(C878,customers!$A$1:$A$983,customers!$B$1:$B$983,,0)</f>
        <v>Isabella Garcia</v>
      </c>
      <c r="G878" t="str">
        <f>_xlfn.XLOOKUP(C878,customers!$A:$A,customers!$C:$C,,0)</f>
        <v>isabella.garcia582@yahoo.com</v>
      </c>
      <c r="H878" t="str">
        <f>IF(_xlfn.XLOOKUP(C878,customers!$A:$A,customers!$G:$G,,0)=0,"",_xlfn.XLOOKUP(C878,customers!$A:$A,customers!$G:$G,,0))</f>
        <v>Spain</v>
      </c>
      <c r="I878" t="str">
        <f>IF(_xlfn.XLOOKUP(D878,product!$A:$A,product!$E:$E,,0)=0,"",_xlfn.XLOOKUP(D878,product!$A:$A,product!$E:$E,,0))</f>
        <v>FICTION</v>
      </c>
      <c r="J878" s="5">
        <f>IF(_xlfn.XLOOKUP(D878,product!$A:$A,product!$D:$D,,0)=0,"",_xlfn.XLOOKUP(D878,product!$A:$A,product!$D:$D,,0))</f>
        <v>39.840000000000003</v>
      </c>
      <c r="K878" s="7">
        <f t="shared" si="13"/>
        <v>79.680000000000007</v>
      </c>
      <c r="L878" s="10" t="str">
        <f>IF(_xlfn.XLOOKUP(D878,product!$A:$A,product!$F:$F,,0)=0,"",_xlfn.XLOOKUP(D878,product!$A:$A,product!$F:$F,,0))</f>
        <v>Yes</v>
      </c>
      <c r="M878" t="str">
        <f>IF(_xlfn.XLOOKUP(D878,product!$A:$A,product!G:G,,0)=0,"",_xlfn.XLOOKUP(D878,product!$A:$A,product!G:G,,0))</f>
        <v>Silver</v>
      </c>
      <c r="N878" t="str">
        <f>IF(_xlfn.XLOOKUP(D878,product!$A:$A,product!$B:$B,,0)=0,"",_xlfn.XLOOKUP(D878,product!$A:$A,product!$B:$B,,0))</f>
        <v>Future Journey</v>
      </c>
    </row>
    <row r="879" spans="1:14" x14ac:dyDescent="0.35">
      <c r="A879" t="s">
        <v>262</v>
      </c>
      <c r="B879" s="3">
        <v>45525</v>
      </c>
      <c r="C879" t="s">
        <v>1910</v>
      </c>
      <c r="D879" t="s">
        <v>6237</v>
      </c>
      <c r="E879">
        <v>2</v>
      </c>
      <c r="F879" t="str">
        <f>_xlfn.XLOOKUP(C879,customers!$A$1:$A$983,customers!$B$1:$B$983,,0)</f>
        <v>Brian Clark</v>
      </c>
      <c r="G879" t="str">
        <f>_xlfn.XLOOKUP(C879,customers!$A:$A,customers!$C:$C,,0)</f>
        <v>brian.clark232@yahoo.com</v>
      </c>
      <c r="H879" t="str">
        <f>IF(_xlfn.XLOOKUP(C879,customers!$A:$A,customers!$G:$G,,0)=0,"",_xlfn.XLOOKUP(C879,customers!$A:$A,customers!$G:$G,,0))</f>
        <v>Japan</v>
      </c>
      <c r="I879" t="str">
        <f>IF(_xlfn.XLOOKUP(D879,product!$A:$A,product!$E:$E,,0)=0,"",_xlfn.XLOOKUP(D879,product!$A:$A,product!$E:$E,,0))</f>
        <v>FICTION</v>
      </c>
      <c r="J879" s="5">
        <f>IF(_xlfn.XLOOKUP(D879,product!$A:$A,product!$D:$D,,0)=0,"",_xlfn.XLOOKUP(D879,product!$A:$A,product!$D:$D,,0))</f>
        <v>32.79</v>
      </c>
      <c r="K879" s="7">
        <f t="shared" si="13"/>
        <v>65.58</v>
      </c>
      <c r="L879" s="10" t="str">
        <f>IF(_xlfn.XLOOKUP(D879,product!$A:$A,product!$F:$F,,0)=0,"",_xlfn.XLOOKUP(D879,product!$A:$A,product!$F:$F,,0))</f>
        <v>No</v>
      </c>
      <c r="M879" t="str">
        <f>IF(_xlfn.XLOOKUP(D879,product!$A:$A,product!G:G,,0)=0,"",_xlfn.XLOOKUP(D879,product!$A:$A,product!G:G,,0))</f>
        <v>None</v>
      </c>
      <c r="N879" t="str">
        <f>IF(_xlfn.XLOOKUP(D879,product!$A:$A,product!$B:$B,,0)=0,"",_xlfn.XLOOKUP(D879,product!$A:$A,product!$B:$B,,0))</f>
        <v>Future Forest</v>
      </c>
    </row>
    <row r="880" spans="1:14" x14ac:dyDescent="0.35">
      <c r="A880" t="s">
        <v>279</v>
      </c>
      <c r="B880" s="3">
        <v>44943</v>
      </c>
      <c r="C880" t="s">
        <v>2723</v>
      </c>
      <c r="D880" t="s">
        <v>6238</v>
      </c>
      <c r="E880">
        <v>2</v>
      </c>
      <c r="F880" t="str">
        <f>_xlfn.XLOOKUP(C880,customers!$A$1:$A$983,customers!$B$1:$B$983,,0)</f>
        <v>Zoe Harris</v>
      </c>
      <c r="G880" t="str">
        <f>_xlfn.XLOOKUP(C880,customers!$A:$A,customers!$C:$C,,0)</f>
        <v>zoe.harris579@yahoo.com</v>
      </c>
      <c r="H880" t="str">
        <f>IF(_xlfn.XLOOKUP(C880,customers!$A:$A,customers!$G:$G,,0)=0,"",_xlfn.XLOOKUP(C880,customers!$A:$A,customers!$G:$G,,0))</f>
        <v>Japan</v>
      </c>
      <c r="I880" t="str">
        <f>IF(_xlfn.XLOOKUP(D880,product!$A:$A,product!$E:$E,,0)=0,"",_xlfn.XLOOKUP(D880,product!$A:$A,product!$E:$E,,0))</f>
        <v>TECH</v>
      </c>
      <c r="J880" s="5">
        <f>IF(_xlfn.XLOOKUP(D880,product!$A:$A,product!$D:$D,,0)=0,"",_xlfn.XLOOKUP(D880,product!$A:$A,product!$D:$D,,0))</f>
        <v>25.11</v>
      </c>
      <c r="K880" s="7">
        <f t="shared" si="13"/>
        <v>50.22</v>
      </c>
      <c r="L880" s="10" t="str">
        <f>IF(_xlfn.XLOOKUP(D880,product!$A:$A,product!$F:$F,,0)=0,"",_xlfn.XLOOKUP(D880,product!$A:$A,product!$F:$F,,0))</f>
        <v>No</v>
      </c>
      <c r="M880" t="str">
        <f>IF(_xlfn.XLOOKUP(D880,product!$A:$A,product!G:G,,0)=0,"",_xlfn.XLOOKUP(D880,product!$A:$A,product!G:G,,0))</f>
        <v>None</v>
      </c>
      <c r="N880" t="str">
        <f>IF(_xlfn.XLOOKUP(D880,product!$A:$A,product!$B:$B,,0)=0,"",_xlfn.XLOOKUP(D880,product!$A:$A,product!$B:$B,,0))</f>
        <v>Mind Science</v>
      </c>
    </row>
    <row r="881" spans="1:14" x14ac:dyDescent="0.35">
      <c r="A881" t="s">
        <v>296</v>
      </c>
      <c r="B881" s="3">
        <v>45401</v>
      </c>
      <c r="C881" t="s">
        <v>3500</v>
      </c>
      <c r="D881" t="s">
        <v>6239</v>
      </c>
      <c r="E881">
        <v>2</v>
      </c>
      <c r="F881" t="str">
        <f>_xlfn.XLOOKUP(C881,customers!$A$1:$A$983,customers!$B$1:$B$983,,0)</f>
        <v>Daniel Young</v>
      </c>
      <c r="G881" t="str">
        <f>_xlfn.XLOOKUP(C881,customers!$A:$A,customers!$C:$C,,0)</f>
        <v>daniel.young965@hotmail.com</v>
      </c>
      <c r="H881" t="str">
        <f>IF(_xlfn.XLOOKUP(C881,customers!$A:$A,customers!$G:$G,,0)=0,"",_xlfn.XLOOKUP(C881,customers!$A:$A,customers!$G:$G,,0))</f>
        <v>Poland</v>
      </c>
      <c r="I881" t="str">
        <f>IF(_xlfn.XLOOKUP(D881,product!$A:$A,product!$E:$E,,0)=0,"",_xlfn.XLOOKUP(D881,product!$A:$A,product!$E:$E,,0))</f>
        <v>TECH</v>
      </c>
      <c r="J881" s="5">
        <f>IF(_xlfn.XLOOKUP(D881,product!$A:$A,product!$D:$D,,0)=0,"",_xlfn.XLOOKUP(D881,product!$A:$A,product!$D:$D,,0))</f>
        <v>20.96</v>
      </c>
      <c r="K881" s="7">
        <f t="shared" si="13"/>
        <v>41.92</v>
      </c>
      <c r="L881" s="10" t="str">
        <f>IF(_xlfn.XLOOKUP(D881,product!$A:$A,product!$F:$F,,0)=0,"",_xlfn.XLOOKUP(D881,product!$A:$A,product!$F:$F,,0))</f>
        <v>No</v>
      </c>
      <c r="M881" t="str">
        <f>IF(_xlfn.XLOOKUP(D881,product!$A:$A,product!G:G,,0)=0,"",_xlfn.XLOOKUP(D881,product!$A:$A,product!G:G,,0))</f>
        <v>Platinum</v>
      </c>
      <c r="N881" t="str">
        <f>IF(_xlfn.XLOOKUP(D881,product!$A:$A,product!$B:$B,,0)=0,"",_xlfn.XLOOKUP(D881,product!$A:$A,product!$B:$B,,0))</f>
        <v>Silent Power</v>
      </c>
    </row>
    <row r="882" spans="1:14" x14ac:dyDescent="0.35">
      <c r="A882" t="s">
        <v>313</v>
      </c>
      <c r="B882" s="3">
        <v>45192</v>
      </c>
      <c r="C882" t="s">
        <v>2398</v>
      </c>
      <c r="D882" t="s">
        <v>6240</v>
      </c>
      <c r="E882">
        <v>2</v>
      </c>
      <c r="F882" t="str">
        <f>_xlfn.XLOOKUP(C882,customers!$A$1:$A$983,customers!$B$1:$B$983,,0)</f>
        <v>Anthony Taylor</v>
      </c>
      <c r="G882" t="str">
        <f>_xlfn.XLOOKUP(C882,customers!$A:$A,customers!$C:$C,,0)</f>
        <v>anthony.taylor424@hotmail.com</v>
      </c>
      <c r="H882" t="str">
        <f>IF(_xlfn.XLOOKUP(C882,customers!$A:$A,customers!$G:$G,,0)=0,"",_xlfn.XLOOKUP(C882,customers!$A:$A,customers!$G:$G,,0))</f>
        <v>USA</v>
      </c>
      <c r="I882" t="str">
        <f>IF(_xlfn.XLOOKUP(D882,product!$A:$A,product!$E:$E,,0)=0,"",_xlfn.XLOOKUP(D882,product!$A:$A,product!$E:$E,,0))</f>
        <v>HISTORY</v>
      </c>
      <c r="J882" s="5">
        <f>IF(_xlfn.XLOOKUP(D882,product!$A:$A,product!$D:$D,,0)=0,"",_xlfn.XLOOKUP(D882,product!$A:$A,product!$D:$D,,0))</f>
        <v>16.53</v>
      </c>
      <c r="K882" s="7">
        <f t="shared" si="13"/>
        <v>33.06</v>
      </c>
      <c r="L882" s="10" t="str">
        <f>IF(_xlfn.XLOOKUP(D882,product!$A:$A,product!$F:$F,,0)=0,"",_xlfn.XLOOKUP(D882,product!$A:$A,product!$F:$F,,0))</f>
        <v>Yes</v>
      </c>
      <c r="M882" t="str">
        <f>IF(_xlfn.XLOOKUP(D882,product!$A:$A,product!G:G,,0)=0,"",_xlfn.XLOOKUP(D882,product!$A:$A,product!G:G,,0))</f>
        <v>None</v>
      </c>
      <c r="N882" t="str">
        <f>IF(_xlfn.XLOOKUP(D882,product!$A:$A,product!$B:$B,,0)=0,"",_xlfn.XLOOKUP(D882,product!$A:$A,product!$B:$B,,0))</f>
        <v>Secrets Quantum</v>
      </c>
    </row>
    <row r="883" spans="1:14" x14ac:dyDescent="0.35">
      <c r="A883" t="s">
        <v>330</v>
      </c>
      <c r="B883" s="3">
        <v>45639</v>
      </c>
      <c r="C883" t="s">
        <v>3459</v>
      </c>
      <c r="D883" t="s">
        <v>6241</v>
      </c>
      <c r="E883">
        <v>2</v>
      </c>
      <c r="F883" t="str">
        <f>_xlfn.XLOOKUP(C883,customers!$A$1:$A$983,customers!$B$1:$B$983,,0)</f>
        <v>Charlotte King</v>
      </c>
      <c r="G883" t="str">
        <f>_xlfn.XLOOKUP(C883,customers!$A:$A,customers!$C:$C,,0)</f>
        <v>charlotte.king944@yahoo.com</v>
      </c>
      <c r="H883" t="str">
        <f>IF(_xlfn.XLOOKUP(C883,customers!$A:$A,customers!$G:$G,,0)=0,"",_xlfn.XLOOKUP(C883,customers!$A:$A,customers!$G:$G,,0))</f>
        <v>Spain</v>
      </c>
      <c r="I883" t="str">
        <f>IF(_xlfn.XLOOKUP(D883,product!$A:$A,product!$E:$E,,0)=0,"",_xlfn.XLOOKUP(D883,product!$A:$A,product!$E:$E,,0))</f>
        <v>HISTORY</v>
      </c>
      <c r="J883" s="5">
        <f>IF(_xlfn.XLOOKUP(D883,product!$A:$A,product!$D:$D,,0)=0,"",_xlfn.XLOOKUP(D883,product!$A:$A,product!$D:$D,,0))</f>
        <v>23.84</v>
      </c>
      <c r="K883" s="7">
        <f t="shared" si="13"/>
        <v>47.68</v>
      </c>
      <c r="L883" s="10" t="str">
        <f>IF(_xlfn.XLOOKUP(D883,product!$A:$A,product!$F:$F,,0)=0,"",_xlfn.XLOOKUP(D883,product!$A:$A,product!$F:$F,,0))</f>
        <v>No</v>
      </c>
      <c r="M883" t="str">
        <f>IF(_xlfn.XLOOKUP(D883,product!$A:$A,product!G:G,,0)=0,"",_xlfn.XLOOKUP(D883,product!$A:$A,product!G:G,,0))</f>
        <v>Platinum</v>
      </c>
      <c r="N883" t="str">
        <f>IF(_xlfn.XLOOKUP(D883,product!$A:$A,product!$B:$B,,0)=0,"",_xlfn.XLOOKUP(D883,product!$A:$A,product!$B:$B,,0))</f>
        <v>Journey Mind</v>
      </c>
    </row>
    <row r="884" spans="1:14" x14ac:dyDescent="0.35">
      <c r="A884" t="s">
        <v>347</v>
      </c>
      <c r="B884" s="3">
        <v>44999</v>
      </c>
      <c r="C884" t="s">
        <v>1251</v>
      </c>
      <c r="D884" t="s">
        <v>6242</v>
      </c>
      <c r="E884">
        <v>2</v>
      </c>
      <c r="F884" t="str">
        <f>_xlfn.XLOOKUP(C884,customers!$A$1:$A$983,customers!$B$1:$B$983,,0)</f>
        <v>Ella Martinez</v>
      </c>
      <c r="G884" t="str">
        <f>_xlfn.XLOOKUP(C884,customers!$A:$A,customers!$C:$C,,0)</f>
        <v>ella.martinez52@yahoo.com</v>
      </c>
      <c r="H884" t="str">
        <f>IF(_xlfn.XLOOKUP(C884,customers!$A:$A,customers!$G:$G,,0)=0,"",_xlfn.XLOOKUP(C884,customers!$A:$A,customers!$G:$G,,0))</f>
        <v>Japan</v>
      </c>
      <c r="I884" t="str">
        <f>IF(_xlfn.XLOOKUP(D884,product!$A:$A,product!$E:$E,,0)=0,"",_xlfn.XLOOKUP(D884,product!$A:$A,product!$E:$E,,0))</f>
        <v>SCIENCE</v>
      </c>
      <c r="J884" s="5">
        <f>IF(_xlfn.XLOOKUP(D884,product!$A:$A,product!$D:$D,,0)=0,"",_xlfn.XLOOKUP(D884,product!$A:$A,product!$D:$D,,0))</f>
        <v>23.9</v>
      </c>
      <c r="K884" s="7">
        <f t="shared" si="13"/>
        <v>47.8</v>
      </c>
      <c r="L884" s="10" t="str">
        <f>IF(_xlfn.XLOOKUP(D884,product!$A:$A,product!$F:$F,,0)=0,"",_xlfn.XLOOKUP(D884,product!$A:$A,product!$F:$F,,0))</f>
        <v>Yes</v>
      </c>
      <c r="M884" t="str">
        <f>IF(_xlfn.XLOOKUP(D884,product!$A:$A,product!G:G,,0)=0,"",_xlfn.XLOOKUP(D884,product!$A:$A,product!G:G,,0))</f>
        <v>Gold</v>
      </c>
      <c r="N884" t="str">
        <f>IF(_xlfn.XLOOKUP(D884,product!$A:$A,product!$B:$B,,0)=0,"",_xlfn.XLOOKUP(D884,product!$A:$A,product!$B:$B,,0))</f>
        <v>Science Power</v>
      </c>
    </row>
    <row r="885" spans="1:14" x14ac:dyDescent="0.35">
      <c r="A885" t="s">
        <v>364</v>
      </c>
      <c r="B885" s="3">
        <v>45342</v>
      </c>
      <c r="C885" t="s">
        <v>3532</v>
      </c>
      <c r="D885" t="s">
        <v>6243</v>
      </c>
      <c r="E885">
        <v>2</v>
      </c>
      <c r="F885" t="str">
        <f>_xlfn.XLOOKUP(C885,customers!$A$1:$A$983,customers!$B$1:$B$983,,0)</f>
        <v>Ryan Thomas</v>
      </c>
      <c r="G885" t="str">
        <f>_xlfn.XLOOKUP(C885,customers!$A:$A,customers!$C:$C,,0)</f>
        <v>ryan.thomas981@yahoo.com</v>
      </c>
      <c r="H885" t="str">
        <f>IF(_xlfn.XLOOKUP(C885,customers!$A:$A,customers!$G:$G,,0)=0,"",_xlfn.XLOOKUP(C885,customers!$A:$A,customers!$G:$G,,0))</f>
        <v>Russia</v>
      </c>
      <c r="I885" t="str">
        <f>IF(_xlfn.XLOOKUP(D885,product!$A:$A,product!$E:$E,,0)=0,"",_xlfn.XLOOKUP(D885,product!$A:$A,product!$E:$E,,0))</f>
        <v>SCIENCE</v>
      </c>
      <c r="J885" s="5">
        <f>IF(_xlfn.XLOOKUP(D885,product!$A:$A,product!$D:$D,,0)=0,"",_xlfn.XLOOKUP(D885,product!$A:$A,product!$D:$D,,0))</f>
        <v>36.29</v>
      </c>
      <c r="K885" s="7">
        <f t="shared" si="13"/>
        <v>72.58</v>
      </c>
      <c r="L885" s="10" t="str">
        <f>IF(_xlfn.XLOOKUP(D885,product!$A:$A,product!$F:$F,,0)=0,"",_xlfn.XLOOKUP(D885,product!$A:$A,product!$F:$F,,0))</f>
        <v>Yes</v>
      </c>
      <c r="M885" t="str">
        <f>IF(_xlfn.XLOOKUP(D885,product!$A:$A,product!G:G,,0)=0,"",_xlfn.XLOOKUP(D885,product!$A:$A,product!G:G,,0))</f>
        <v>Silver</v>
      </c>
      <c r="N885" t="str">
        <f>IF(_xlfn.XLOOKUP(D885,product!$A:$A,product!$B:$B,,0)=0,"",_xlfn.XLOOKUP(D885,product!$A:$A,product!$B:$B,,0))</f>
        <v>Quantum Science</v>
      </c>
    </row>
    <row r="886" spans="1:14" x14ac:dyDescent="0.35">
      <c r="A886" t="s">
        <v>381</v>
      </c>
      <c r="B886" s="3">
        <v>45141</v>
      </c>
      <c r="C886" t="s">
        <v>2857</v>
      </c>
      <c r="D886" t="s">
        <v>6244</v>
      </c>
      <c r="E886">
        <v>2</v>
      </c>
      <c r="F886" t="str">
        <f>_xlfn.XLOOKUP(C886,customers!$A$1:$A$983,customers!$B$1:$B$983,,0)</f>
        <v>Mark King</v>
      </c>
      <c r="G886" t="str">
        <f>_xlfn.XLOOKUP(C886,customers!$A:$A,customers!$C:$C,,0)</f>
        <v>mark.king644@yahoo.com</v>
      </c>
      <c r="H886" t="str">
        <f>IF(_xlfn.XLOOKUP(C886,customers!$A:$A,customers!$G:$G,,0)=0,"",_xlfn.XLOOKUP(C886,customers!$A:$A,customers!$G:$G,,0))</f>
        <v>Egypt</v>
      </c>
      <c r="I886" t="str">
        <f>IF(_xlfn.XLOOKUP(D886,product!$A:$A,product!$E:$E,,0)=0,"",_xlfn.XLOOKUP(D886,product!$A:$A,product!$E:$E,,0))</f>
        <v>FICTION</v>
      </c>
      <c r="J886" s="5">
        <f>IF(_xlfn.XLOOKUP(D886,product!$A:$A,product!$D:$D,,0)=0,"",_xlfn.XLOOKUP(D886,product!$A:$A,product!$D:$D,,0))</f>
        <v>10.88</v>
      </c>
      <c r="K886" s="7">
        <f t="shared" si="13"/>
        <v>21.76</v>
      </c>
      <c r="L886" s="10" t="str">
        <f>IF(_xlfn.XLOOKUP(D886,product!$A:$A,product!$F:$F,,0)=0,"",_xlfn.XLOOKUP(D886,product!$A:$A,product!$F:$F,,0))</f>
        <v>Yes</v>
      </c>
      <c r="M886" t="str">
        <f>IF(_xlfn.XLOOKUP(D886,product!$A:$A,product!G:G,,0)=0,"",_xlfn.XLOOKUP(D886,product!$A:$A,product!G:G,,0))</f>
        <v>None</v>
      </c>
      <c r="N886" t="str">
        <f>IF(_xlfn.XLOOKUP(D886,product!$A:$A,product!$B:$B,,0)=0,"",_xlfn.XLOOKUP(D886,product!$A:$A,product!$B:$B,,0))</f>
        <v>Forest Science</v>
      </c>
    </row>
    <row r="887" spans="1:14" x14ac:dyDescent="0.35">
      <c r="A887" t="s">
        <v>398</v>
      </c>
      <c r="B887" s="3">
        <v>45436</v>
      </c>
      <c r="C887" t="s">
        <v>1861</v>
      </c>
      <c r="D887" t="s">
        <v>6245</v>
      </c>
      <c r="E887">
        <v>2</v>
      </c>
      <c r="F887" t="str">
        <f>_xlfn.XLOOKUP(C887,customers!$A$1:$A$983,customers!$B$1:$B$983,,0)</f>
        <v>Isabella King</v>
      </c>
      <c r="G887" t="str">
        <f>_xlfn.XLOOKUP(C887,customers!$A:$A,customers!$C:$C,,0)</f>
        <v>isabella.king217@gmail.com</v>
      </c>
      <c r="H887" t="str">
        <f>IF(_xlfn.XLOOKUP(C887,customers!$A:$A,customers!$G:$G,,0)=0,"",_xlfn.XLOOKUP(C887,customers!$A:$A,customers!$G:$G,,0))</f>
        <v>USA</v>
      </c>
      <c r="I887" t="str">
        <f>IF(_xlfn.XLOOKUP(D887,product!$A:$A,product!$E:$E,,0)=0,"",_xlfn.XLOOKUP(D887,product!$A:$A,product!$E:$E,,0))</f>
        <v>HISTORY</v>
      </c>
      <c r="J887" s="5">
        <f>IF(_xlfn.XLOOKUP(D887,product!$A:$A,product!$D:$D,,0)=0,"",_xlfn.XLOOKUP(D887,product!$A:$A,product!$D:$D,,0))</f>
        <v>12.09</v>
      </c>
      <c r="K887" s="7">
        <f t="shared" si="13"/>
        <v>24.18</v>
      </c>
      <c r="L887" s="10" t="str">
        <f>IF(_xlfn.XLOOKUP(D887,product!$A:$A,product!$F:$F,,0)=0,"",_xlfn.XLOOKUP(D887,product!$A:$A,product!$F:$F,,0))</f>
        <v>Yes</v>
      </c>
      <c r="M887" t="str">
        <f>IF(_xlfn.XLOOKUP(D887,product!$A:$A,product!G:G,,0)=0,"",_xlfn.XLOOKUP(D887,product!$A:$A,product!G:G,,0))</f>
        <v>Silver</v>
      </c>
      <c r="N887" t="str">
        <f>IF(_xlfn.XLOOKUP(D887,product!$A:$A,product!$B:$B,,0)=0,"",_xlfn.XLOOKUP(D887,product!$A:$A,product!$B:$B,,0))</f>
        <v>Data Mind</v>
      </c>
    </row>
    <row r="888" spans="1:14" x14ac:dyDescent="0.35">
      <c r="A888" t="s">
        <v>415</v>
      </c>
      <c r="B888" s="3">
        <v>45239</v>
      </c>
      <c r="C888" t="s">
        <v>3008</v>
      </c>
      <c r="D888" t="s">
        <v>6246</v>
      </c>
      <c r="E888">
        <v>2</v>
      </c>
      <c r="F888" t="str">
        <f>_xlfn.XLOOKUP(C888,customers!$A$1:$A$983,customers!$B$1:$B$983,,0)</f>
        <v>Peter Lewis</v>
      </c>
      <c r="G888" t="str">
        <f>_xlfn.XLOOKUP(C888,customers!$A:$A,customers!$C:$C,,0)</f>
        <v>peter.lewis717@outlook.com</v>
      </c>
      <c r="H888" t="str">
        <f>IF(_xlfn.XLOOKUP(C888,customers!$A:$A,customers!$G:$G,,0)=0,"",_xlfn.XLOOKUP(C888,customers!$A:$A,customers!$G:$G,,0))</f>
        <v>Spain</v>
      </c>
      <c r="I888" t="str">
        <f>IF(_xlfn.XLOOKUP(D888,product!$A:$A,product!$E:$E,,0)=0,"",_xlfn.XLOOKUP(D888,product!$A:$A,product!$E:$E,,0))</f>
        <v>BUSINESS</v>
      </c>
      <c r="J888" s="5">
        <f>IF(_xlfn.XLOOKUP(D888,product!$A:$A,product!$D:$D,,0)=0,"",_xlfn.XLOOKUP(D888,product!$A:$A,product!$D:$D,,0))</f>
        <v>36.99</v>
      </c>
      <c r="K888" s="7">
        <f t="shared" si="13"/>
        <v>73.98</v>
      </c>
      <c r="L888" s="10" t="str">
        <f>IF(_xlfn.XLOOKUP(D888,product!$A:$A,product!$F:$F,,0)=0,"",_xlfn.XLOOKUP(D888,product!$A:$A,product!$F:$F,,0))</f>
        <v>No</v>
      </c>
      <c r="M888" t="str">
        <f>IF(_xlfn.XLOOKUP(D888,product!$A:$A,product!G:G,,0)=0,"",_xlfn.XLOOKUP(D888,product!$A:$A,product!G:G,,0))</f>
        <v>None</v>
      </c>
      <c r="N888" t="str">
        <f>IF(_xlfn.XLOOKUP(D888,product!$A:$A,product!$B:$B,,0)=0,"",_xlfn.XLOOKUP(D888,product!$A:$A,product!$B:$B,,0))</f>
        <v>Future Power</v>
      </c>
    </row>
    <row r="889" spans="1:14" x14ac:dyDescent="0.35">
      <c r="A889" t="s">
        <v>432</v>
      </c>
      <c r="B889" s="3">
        <v>45499</v>
      </c>
      <c r="C889" t="s">
        <v>3143</v>
      </c>
      <c r="D889" t="s">
        <v>6247</v>
      </c>
      <c r="E889">
        <v>2</v>
      </c>
      <c r="F889" t="str">
        <f>_xlfn.XLOOKUP(C889,customers!$A$1:$A$983,customers!$B$1:$B$983,,0)</f>
        <v>Amelia Adams</v>
      </c>
      <c r="G889" t="str">
        <f>_xlfn.XLOOKUP(C889,customers!$A:$A,customers!$C:$C,,0)</f>
        <v>amelia.adams784@yahoo.com</v>
      </c>
      <c r="H889" t="str">
        <f>IF(_xlfn.XLOOKUP(C889,customers!$A:$A,customers!$G:$G,,0)=0,"",_xlfn.XLOOKUP(C889,customers!$A:$A,customers!$G:$G,,0))</f>
        <v>USA</v>
      </c>
      <c r="I889" t="str">
        <f>IF(_xlfn.XLOOKUP(D889,product!$A:$A,product!$E:$E,,0)=0,"",_xlfn.XLOOKUP(D889,product!$A:$A,product!$E:$E,,0))</f>
        <v>TECH</v>
      </c>
      <c r="J889" s="5">
        <f>IF(_xlfn.XLOOKUP(D889,product!$A:$A,product!$D:$D,,0)=0,"",_xlfn.XLOOKUP(D889,product!$A:$A,product!$D:$D,,0))</f>
        <v>39.86</v>
      </c>
      <c r="K889" s="7">
        <f t="shared" si="13"/>
        <v>79.72</v>
      </c>
      <c r="L889" s="10" t="str">
        <f>IF(_xlfn.XLOOKUP(D889,product!$A:$A,product!$F:$F,,0)=0,"",_xlfn.XLOOKUP(D889,product!$A:$A,product!$F:$F,,0))</f>
        <v>Yes</v>
      </c>
      <c r="M889" t="str">
        <f>IF(_xlfn.XLOOKUP(D889,product!$A:$A,product!G:G,,0)=0,"",_xlfn.XLOOKUP(D889,product!$A:$A,product!G:G,,0))</f>
        <v>None</v>
      </c>
      <c r="N889" t="str">
        <f>IF(_xlfn.XLOOKUP(D889,product!$A:$A,product!$B:$B,,0)=0,"",_xlfn.XLOOKUP(D889,product!$A:$A,product!$B:$B,,0))</f>
        <v>Mind Silent</v>
      </c>
    </row>
    <row r="890" spans="1:14" x14ac:dyDescent="0.35">
      <c r="A890" t="s">
        <v>449</v>
      </c>
      <c r="B890" s="3">
        <v>45099</v>
      </c>
      <c r="C890" t="s">
        <v>2710</v>
      </c>
      <c r="D890" t="s">
        <v>6248</v>
      </c>
      <c r="E890">
        <v>2</v>
      </c>
      <c r="F890" t="str">
        <f>_xlfn.XLOOKUP(C890,customers!$A$1:$A$983,customers!$B$1:$B$983,,0)</f>
        <v>Andrew Green</v>
      </c>
      <c r="G890" t="str">
        <f>_xlfn.XLOOKUP(C890,customers!$A:$A,customers!$C:$C,,0)</f>
        <v>andrew.green573@outlook.com</v>
      </c>
      <c r="H890" t="str">
        <f>IF(_xlfn.XLOOKUP(C890,customers!$A:$A,customers!$G:$G,,0)=0,"",_xlfn.XLOOKUP(C890,customers!$A:$A,customers!$G:$G,,0))</f>
        <v>Spain</v>
      </c>
      <c r="I890" t="str">
        <f>IF(_xlfn.XLOOKUP(D890,product!$A:$A,product!$E:$E,,0)=0,"",_xlfn.XLOOKUP(D890,product!$A:$A,product!$E:$E,,0))</f>
        <v>FICTION</v>
      </c>
      <c r="J890" s="5">
        <f>IF(_xlfn.XLOOKUP(D890,product!$A:$A,product!$D:$D,,0)=0,"",_xlfn.XLOOKUP(D890,product!$A:$A,product!$D:$D,,0))</f>
        <v>14.57</v>
      </c>
      <c r="K890" s="7">
        <f t="shared" si="13"/>
        <v>29.14</v>
      </c>
      <c r="L890" s="10" t="str">
        <f>IF(_xlfn.XLOOKUP(D890,product!$A:$A,product!$F:$F,,0)=0,"",_xlfn.XLOOKUP(D890,product!$A:$A,product!$F:$F,,0))</f>
        <v>Yes</v>
      </c>
      <c r="M890" t="str">
        <f>IF(_xlfn.XLOOKUP(D890,product!$A:$A,product!G:G,,0)=0,"",_xlfn.XLOOKUP(D890,product!$A:$A,product!G:G,,0))</f>
        <v>Silver</v>
      </c>
      <c r="N890" t="str">
        <f>IF(_xlfn.XLOOKUP(D890,product!$A:$A,product!$B:$B,,0)=0,"",_xlfn.XLOOKUP(D890,product!$A:$A,product!$B:$B,,0))</f>
        <v>Science Forest</v>
      </c>
    </row>
    <row r="891" spans="1:14" x14ac:dyDescent="0.35">
      <c r="A891" t="s">
        <v>466</v>
      </c>
      <c r="B891" s="3">
        <v>45542</v>
      </c>
      <c r="C891" t="s">
        <v>3285</v>
      </c>
      <c r="D891" t="s">
        <v>6249</v>
      </c>
      <c r="E891">
        <v>2</v>
      </c>
      <c r="F891" t="str">
        <f>_xlfn.XLOOKUP(C891,customers!$A$1:$A$983,customers!$B$1:$B$983,,0)</f>
        <v>Emily White</v>
      </c>
      <c r="G891" t="str">
        <f>_xlfn.XLOOKUP(C891,customers!$A:$A,customers!$C:$C,,0)</f>
        <v>emily.white856@yahoo.com</v>
      </c>
      <c r="H891" t="str">
        <f>IF(_xlfn.XLOOKUP(C891,customers!$A:$A,customers!$G:$G,,0)=0,"",_xlfn.XLOOKUP(C891,customers!$A:$A,customers!$G:$G,,0))</f>
        <v>Egypt</v>
      </c>
      <c r="I891" t="str">
        <f>IF(_xlfn.XLOOKUP(D891,product!$A:$A,product!$E:$E,,0)=0,"",_xlfn.XLOOKUP(D891,product!$A:$A,product!$E:$E,,0))</f>
        <v>BUSINESS</v>
      </c>
      <c r="J891" s="5">
        <f>IF(_xlfn.XLOOKUP(D891,product!$A:$A,product!$D:$D,,0)=0,"",_xlfn.XLOOKUP(D891,product!$A:$A,product!$D:$D,,0))</f>
        <v>19.920000000000002</v>
      </c>
      <c r="K891" s="7">
        <f t="shared" si="13"/>
        <v>39.840000000000003</v>
      </c>
      <c r="L891" s="10" t="str">
        <f>IF(_xlfn.XLOOKUP(D891,product!$A:$A,product!$F:$F,,0)=0,"",_xlfn.XLOOKUP(D891,product!$A:$A,product!$F:$F,,0))</f>
        <v>No</v>
      </c>
      <c r="M891" t="str">
        <f>IF(_xlfn.XLOOKUP(D891,product!$A:$A,product!G:G,,0)=0,"",_xlfn.XLOOKUP(D891,product!$A:$A,product!G:G,,0))</f>
        <v>Silver</v>
      </c>
      <c r="N891" t="str">
        <f>IF(_xlfn.XLOOKUP(D891,product!$A:$A,product!$B:$B,,0)=0,"",_xlfn.XLOOKUP(D891,product!$A:$A,product!$B:$B,,0))</f>
        <v>Silent Power</v>
      </c>
    </row>
    <row r="892" spans="1:14" x14ac:dyDescent="0.35">
      <c r="A892" t="s">
        <v>483</v>
      </c>
      <c r="B892" s="3">
        <v>45024</v>
      </c>
      <c r="C892" t="s">
        <v>3139</v>
      </c>
      <c r="D892" t="s">
        <v>6250</v>
      </c>
      <c r="E892">
        <v>2</v>
      </c>
      <c r="F892" t="str">
        <f>_xlfn.XLOOKUP(C892,customers!$A$1:$A$983,customers!$B$1:$B$983,,0)</f>
        <v>Mark Wright</v>
      </c>
      <c r="G892" t="str">
        <f>_xlfn.XLOOKUP(C892,customers!$A:$A,customers!$C:$C,,0)</f>
        <v>mark.wright782@outlook.com</v>
      </c>
      <c r="H892" t="str">
        <f>IF(_xlfn.XLOOKUP(C892,customers!$A:$A,customers!$G:$G,,0)=0,"",_xlfn.XLOOKUP(C892,customers!$A:$A,customers!$G:$G,,0))</f>
        <v>Brazil</v>
      </c>
      <c r="I892" t="str">
        <f>IF(_xlfn.XLOOKUP(D892,product!$A:$A,product!$E:$E,,0)=0,"",_xlfn.XLOOKUP(D892,product!$A:$A,product!$E:$E,,0))</f>
        <v>BUSINESS</v>
      </c>
      <c r="J892" s="5">
        <f>IF(_xlfn.XLOOKUP(D892,product!$A:$A,product!$D:$D,,0)=0,"",_xlfn.XLOOKUP(D892,product!$A:$A,product!$D:$D,,0))</f>
        <v>12.67</v>
      </c>
      <c r="K892" s="7">
        <f t="shared" si="13"/>
        <v>25.34</v>
      </c>
      <c r="L892" s="10" t="str">
        <f>IF(_xlfn.XLOOKUP(D892,product!$A:$A,product!$F:$F,,0)=0,"",_xlfn.XLOOKUP(D892,product!$A:$A,product!$F:$F,,0))</f>
        <v>No</v>
      </c>
      <c r="M892" t="str">
        <f>IF(_xlfn.XLOOKUP(D892,product!$A:$A,product!G:G,,0)=0,"",_xlfn.XLOOKUP(D892,product!$A:$A,product!G:G,,0))</f>
        <v>Silver</v>
      </c>
      <c r="N892" t="str">
        <f>IF(_xlfn.XLOOKUP(D892,product!$A:$A,product!$B:$B,,0)=0,"",_xlfn.XLOOKUP(D892,product!$A:$A,product!$B:$B,,0))</f>
        <v>Journey Science</v>
      </c>
    </row>
    <row r="893" spans="1:14" x14ac:dyDescent="0.35">
      <c r="A893" t="s">
        <v>500</v>
      </c>
      <c r="B893" s="3">
        <v>45304</v>
      </c>
      <c r="C893" t="s">
        <v>2598</v>
      </c>
      <c r="D893" t="s">
        <v>6251</v>
      </c>
      <c r="E893">
        <v>2</v>
      </c>
      <c r="F893" t="str">
        <f>_xlfn.XLOOKUP(C893,customers!$A$1:$A$983,customers!$B$1:$B$983,,0)</f>
        <v>George Robinson</v>
      </c>
      <c r="G893" t="str">
        <f>_xlfn.XLOOKUP(C893,customers!$A:$A,customers!$C:$C,,0)</f>
        <v>george.robinson519@gmail.com</v>
      </c>
      <c r="H893" t="str">
        <f>IF(_xlfn.XLOOKUP(C893,customers!$A:$A,customers!$G:$G,,0)=0,"",_xlfn.XLOOKUP(C893,customers!$A:$A,customers!$G:$G,,0))</f>
        <v>Spain</v>
      </c>
      <c r="I893" t="str">
        <f>IF(_xlfn.XLOOKUP(D893,product!$A:$A,product!$E:$E,,0)=0,"",_xlfn.XLOOKUP(D893,product!$A:$A,product!$E:$E,,0))</f>
        <v>HISTORY</v>
      </c>
      <c r="J893" s="5">
        <f>IF(_xlfn.XLOOKUP(D893,product!$A:$A,product!$D:$D,,0)=0,"",_xlfn.XLOOKUP(D893,product!$A:$A,product!$D:$D,,0))</f>
        <v>16.510000000000002</v>
      </c>
      <c r="K893" s="7">
        <f t="shared" si="13"/>
        <v>33.020000000000003</v>
      </c>
      <c r="L893" s="10" t="str">
        <f>IF(_xlfn.XLOOKUP(D893,product!$A:$A,product!$F:$F,,0)=0,"",_xlfn.XLOOKUP(D893,product!$A:$A,product!$F:$F,,0))</f>
        <v>Yes</v>
      </c>
      <c r="M893" t="str">
        <f>IF(_xlfn.XLOOKUP(D893,product!$A:$A,product!G:G,,0)=0,"",_xlfn.XLOOKUP(D893,product!$A:$A,product!G:G,,0))</f>
        <v>Silver</v>
      </c>
      <c r="N893" t="str">
        <f>IF(_xlfn.XLOOKUP(D893,product!$A:$A,product!$B:$B,,0)=0,"",_xlfn.XLOOKUP(D893,product!$A:$A,product!$B:$B,,0))</f>
        <v>Forest Data</v>
      </c>
    </row>
    <row r="894" spans="1:14" x14ac:dyDescent="0.35">
      <c r="A894" t="s">
        <v>517</v>
      </c>
      <c r="B894" s="3">
        <v>45228</v>
      </c>
      <c r="C894" t="s">
        <v>1959</v>
      </c>
      <c r="D894" t="s">
        <v>6252</v>
      </c>
      <c r="E894">
        <v>2</v>
      </c>
      <c r="F894" t="str">
        <f>_xlfn.XLOOKUP(C894,customers!$A$1:$A$983,customers!$B$1:$B$983,,0)</f>
        <v>Steven Harris</v>
      </c>
      <c r="G894" t="str">
        <f>_xlfn.XLOOKUP(C894,customers!$A:$A,customers!$C:$C,,0)</f>
        <v>steven.harris247@outlook.com</v>
      </c>
      <c r="H894" t="str">
        <f>IF(_xlfn.XLOOKUP(C894,customers!$A:$A,customers!$G:$G,,0)=0,"",_xlfn.XLOOKUP(C894,customers!$A:$A,customers!$G:$G,,0))</f>
        <v>Sweden</v>
      </c>
      <c r="I894" t="str">
        <f>IF(_xlfn.XLOOKUP(D894,product!$A:$A,product!$E:$E,,0)=0,"",_xlfn.XLOOKUP(D894,product!$A:$A,product!$E:$E,,0))</f>
        <v>FICTION</v>
      </c>
      <c r="J894" s="5">
        <f>IF(_xlfn.XLOOKUP(D894,product!$A:$A,product!$D:$D,,0)=0,"",_xlfn.XLOOKUP(D894,product!$A:$A,product!$D:$D,,0))</f>
        <v>23.16</v>
      </c>
      <c r="K894" s="7">
        <f t="shared" si="13"/>
        <v>46.32</v>
      </c>
      <c r="L894" s="10" t="str">
        <f>IF(_xlfn.XLOOKUP(D894,product!$A:$A,product!$F:$F,,0)=0,"",_xlfn.XLOOKUP(D894,product!$A:$A,product!$F:$F,,0))</f>
        <v>No</v>
      </c>
      <c r="M894" t="str">
        <f>IF(_xlfn.XLOOKUP(D894,product!$A:$A,product!G:G,,0)=0,"",_xlfn.XLOOKUP(D894,product!$A:$A,product!G:G,,0))</f>
        <v>None</v>
      </c>
      <c r="N894" t="str">
        <f>IF(_xlfn.XLOOKUP(D894,product!$A:$A,product!$B:$B,,0)=0,"",_xlfn.XLOOKUP(D894,product!$A:$A,product!$B:$B,,0))</f>
        <v>Quantum Forest</v>
      </c>
    </row>
    <row r="895" spans="1:14" x14ac:dyDescent="0.35">
      <c r="A895" t="s">
        <v>534</v>
      </c>
      <c r="B895" s="3">
        <v>45612</v>
      </c>
      <c r="C895" t="s">
        <v>3368</v>
      </c>
      <c r="D895" t="s">
        <v>6253</v>
      </c>
      <c r="E895">
        <v>2</v>
      </c>
      <c r="F895" t="str">
        <f>_xlfn.XLOOKUP(C895,customers!$A$1:$A$983,customers!$B$1:$B$983,,0)</f>
        <v>Brian Walker</v>
      </c>
      <c r="G895" t="str">
        <f>_xlfn.XLOOKUP(C895,customers!$A:$A,customers!$C:$C,,0)</f>
        <v>brian.walker898@gmail.com</v>
      </c>
      <c r="H895" t="str">
        <f>IF(_xlfn.XLOOKUP(C895,customers!$A:$A,customers!$G:$G,,0)=0,"",_xlfn.XLOOKUP(C895,customers!$A:$A,customers!$G:$G,,0))</f>
        <v>Poland</v>
      </c>
      <c r="I895" t="str">
        <f>IF(_xlfn.XLOOKUP(D895,product!$A:$A,product!$E:$E,,0)=0,"",_xlfn.XLOOKUP(D895,product!$A:$A,product!$E:$E,,0))</f>
        <v>FICTION</v>
      </c>
      <c r="J895" s="5">
        <f>IF(_xlfn.XLOOKUP(D895,product!$A:$A,product!$D:$D,,0)=0,"",_xlfn.XLOOKUP(D895,product!$A:$A,product!$D:$D,,0))</f>
        <v>34.22</v>
      </c>
      <c r="K895" s="7">
        <f t="shared" si="13"/>
        <v>68.44</v>
      </c>
      <c r="L895" s="10" t="str">
        <f>IF(_xlfn.XLOOKUP(D895,product!$A:$A,product!$F:$F,,0)=0,"",_xlfn.XLOOKUP(D895,product!$A:$A,product!$F:$F,,0))</f>
        <v>Yes</v>
      </c>
      <c r="M895" t="str">
        <f>IF(_xlfn.XLOOKUP(D895,product!$A:$A,product!G:G,,0)=0,"",_xlfn.XLOOKUP(D895,product!$A:$A,product!G:G,,0))</f>
        <v>Gold</v>
      </c>
      <c r="N895" t="str">
        <f>IF(_xlfn.XLOOKUP(D895,product!$A:$A,product!$B:$B,,0)=0,"",_xlfn.XLOOKUP(D895,product!$A:$A,product!$B:$B,,0))</f>
        <v>Mind Science</v>
      </c>
    </row>
    <row r="896" spans="1:14" x14ac:dyDescent="0.35">
      <c r="A896" t="s">
        <v>551</v>
      </c>
      <c r="B896" s="3">
        <v>45262</v>
      </c>
      <c r="C896" t="s">
        <v>3039</v>
      </c>
      <c r="D896" t="s">
        <v>6254</v>
      </c>
      <c r="E896">
        <v>2</v>
      </c>
      <c r="F896" t="str">
        <f>_xlfn.XLOOKUP(C896,customers!$A$1:$A$983,customers!$B$1:$B$983,,0)</f>
        <v>Ella Harris</v>
      </c>
      <c r="G896" t="str">
        <f>_xlfn.XLOOKUP(C896,customers!$A:$A,customers!$C:$C,,0)</f>
        <v>ella.harris732@outlook.com</v>
      </c>
      <c r="H896" t="str">
        <f>IF(_xlfn.XLOOKUP(C896,customers!$A:$A,customers!$G:$G,,0)=0,"",_xlfn.XLOOKUP(C896,customers!$A:$A,customers!$G:$G,,0))</f>
        <v>Japan</v>
      </c>
      <c r="I896" t="str">
        <f>IF(_xlfn.XLOOKUP(D896,product!$A:$A,product!$E:$E,,0)=0,"",_xlfn.XLOOKUP(D896,product!$A:$A,product!$E:$E,,0))</f>
        <v>SCIENCE</v>
      </c>
      <c r="J896" s="5">
        <f>IF(_xlfn.XLOOKUP(D896,product!$A:$A,product!$D:$D,,0)=0,"",_xlfn.XLOOKUP(D896,product!$A:$A,product!$D:$D,,0))</f>
        <v>35.380000000000003</v>
      </c>
      <c r="K896" s="7">
        <f t="shared" si="13"/>
        <v>70.760000000000005</v>
      </c>
      <c r="L896" s="10" t="str">
        <f>IF(_xlfn.XLOOKUP(D896,product!$A:$A,product!$F:$F,,0)=0,"",_xlfn.XLOOKUP(D896,product!$A:$A,product!$F:$F,,0))</f>
        <v>No</v>
      </c>
      <c r="M896" t="str">
        <f>IF(_xlfn.XLOOKUP(D896,product!$A:$A,product!G:G,,0)=0,"",_xlfn.XLOOKUP(D896,product!$A:$A,product!G:G,,0))</f>
        <v>None</v>
      </c>
      <c r="N896" t="str">
        <f>IF(_xlfn.XLOOKUP(D896,product!$A:$A,product!$B:$B,,0)=0,"",_xlfn.XLOOKUP(D896,product!$A:$A,product!$B:$B,,0))</f>
        <v>Quantum Journey</v>
      </c>
    </row>
    <row r="897" spans="1:14" x14ac:dyDescent="0.35">
      <c r="A897" t="s">
        <v>568</v>
      </c>
      <c r="B897" s="3">
        <v>45376</v>
      </c>
      <c r="C897" t="s">
        <v>2163</v>
      </c>
      <c r="D897" t="s">
        <v>6255</v>
      </c>
      <c r="E897">
        <v>2</v>
      </c>
      <c r="F897" t="str">
        <f>_xlfn.XLOOKUP(C897,customers!$A$1:$A$983,customers!$B$1:$B$983,,0)</f>
        <v>Emily Green</v>
      </c>
      <c r="G897" t="str">
        <f>_xlfn.XLOOKUP(C897,customers!$A:$A,customers!$C:$C,,0)</f>
        <v>emily.green321@yahoo.com</v>
      </c>
      <c r="H897" t="str">
        <f>IF(_xlfn.XLOOKUP(C897,customers!$A:$A,customers!$G:$G,,0)=0,"",_xlfn.XLOOKUP(C897,customers!$A:$A,customers!$G:$G,,0))</f>
        <v>Spain</v>
      </c>
      <c r="I897" t="str">
        <f>IF(_xlfn.XLOOKUP(D897,product!$A:$A,product!$E:$E,,0)=0,"",_xlfn.XLOOKUP(D897,product!$A:$A,product!$E:$E,,0))</f>
        <v>HISTORY</v>
      </c>
      <c r="J897" s="5">
        <f>IF(_xlfn.XLOOKUP(D897,product!$A:$A,product!$D:$D,,0)=0,"",_xlfn.XLOOKUP(D897,product!$A:$A,product!$D:$D,,0))</f>
        <v>22.02</v>
      </c>
      <c r="K897" s="7">
        <f t="shared" si="13"/>
        <v>44.04</v>
      </c>
      <c r="L897" s="10" t="str">
        <f>IF(_xlfn.XLOOKUP(D897,product!$A:$A,product!$F:$F,,0)=0,"",_xlfn.XLOOKUP(D897,product!$A:$A,product!$F:$F,,0))</f>
        <v>No</v>
      </c>
      <c r="M897" t="str">
        <f>IF(_xlfn.XLOOKUP(D897,product!$A:$A,product!G:G,,0)=0,"",_xlfn.XLOOKUP(D897,product!$A:$A,product!G:G,,0))</f>
        <v>None</v>
      </c>
      <c r="N897" t="str">
        <f>IF(_xlfn.XLOOKUP(D897,product!$A:$A,product!$B:$B,,0)=0,"",_xlfn.XLOOKUP(D897,product!$A:$A,product!$B:$B,,0))</f>
        <v>Future Forest</v>
      </c>
    </row>
    <row r="898" spans="1:14" x14ac:dyDescent="0.35">
      <c r="A898" t="s">
        <v>585</v>
      </c>
      <c r="B898" s="3">
        <v>44971</v>
      </c>
      <c r="C898" t="s">
        <v>1907</v>
      </c>
      <c r="D898" t="s">
        <v>6256</v>
      </c>
      <c r="E898">
        <v>2</v>
      </c>
      <c r="F898" t="str">
        <f>_xlfn.XLOOKUP(C898,customers!$A$1:$A$983,customers!$B$1:$B$983,,0)</f>
        <v>Edward Garcia</v>
      </c>
      <c r="G898" t="str">
        <f>_xlfn.XLOOKUP(C898,customers!$A:$A,customers!$C:$C,,0)</f>
        <v>edward.garcia231@gmail.com</v>
      </c>
      <c r="H898" t="str">
        <f>IF(_xlfn.XLOOKUP(C898,customers!$A:$A,customers!$G:$G,,0)=0,"",_xlfn.XLOOKUP(C898,customers!$A:$A,customers!$G:$G,,0))</f>
        <v>Spain</v>
      </c>
      <c r="I898" t="str">
        <f>IF(_xlfn.XLOOKUP(D898,product!$A:$A,product!$E:$E,,0)=0,"",_xlfn.XLOOKUP(D898,product!$A:$A,product!$E:$E,,0))</f>
        <v>SCIENCE</v>
      </c>
      <c r="J898" s="5">
        <f>IF(_xlfn.XLOOKUP(D898,product!$A:$A,product!$D:$D,,0)=0,"",_xlfn.XLOOKUP(D898,product!$A:$A,product!$D:$D,,0))</f>
        <v>11.56</v>
      </c>
      <c r="K898" s="7">
        <f t="shared" si="13"/>
        <v>23.12</v>
      </c>
      <c r="L898" s="10" t="str">
        <f>IF(_xlfn.XLOOKUP(D898,product!$A:$A,product!$F:$F,,0)=0,"",_xlfn.XLOOKUP(D898,product!$A:$A,product!$F:$F,,0))</f>
        <v>No</v>
      </c>
      <c r="M898" t="str">
        <f>IF(_xlfn.XLOOKUP(D898,product!$A:$A,product!G:G,,0)=0,"",_xlfn.XLOOKUP(D898,product!$A:$A,product!G:G,,0))</f>
        <v>None</v>
      </c>
      <c r="N898" t="str">
        <f>IF(_xlfn.XLOOKUP(D898,product!$A:$A,product!$B:$B,,0)=0,"",_xlfn.XLOOKUP(D898,product!$A:$A,product!$B:$B,,0))</f>
        <v>Silent Secrets</v>
      </c>
    </row>
    <row r="899" spans="1:14" x14ac:dyDescent="0.35">
      <c r="A899" t="s">
        <v>602</v>
      </c>
      <c r="B899" s="3">
        <v>45462</v>
      </c>
      <c r="C899" t="s">
        <v>2817</v>
      </c>
      <c r="D899" t="s">
        <v>6257</v>
      </c>
      <c r="E899">
        <v>2</v>
      </c>
      <c r="F899" t="str">
        <f>_xlfn.XLOOKUP(C899,customers!$A$1:$A$983,customers!$B$1:$B$983,,0)</f>
        <v>George Thompson</v>
      </c>
      <c r="G899" t="str">
        <f>_xlfn.XLOOKUP(C899,customers!$A:$A,customers!$C:$C,,0)</f>
        <v>george.thompson624@gmail.com</v>
      </c>
      <c r="H899" t="str">
        <f>IF(_xlfn.XLOOKUP(C899,customers!$A:$A,customers!$G:$G,,0)=0,"",_xlfn.XLOOKUP(C899,customers!$A:$A,customers!$G:$G,,0))</f>
        <v>Japan</v>
      </c>
      <c r="I899" t="str">
        <f>IF(_xlfn.XLOOKUP(D899,product!$A:$A,product!$E:$E,,0)=0,"",_xlfn.XLOOKUP(D899,product!$A:$A,product!$E:$E,,0))</f>
        <v>FICTION</v>
      </c>
      <c r="J899" s="5">
        <f>IF(_xlfn.XLOOKUP(D899,product!$A:$A,product!$D:$D,,0)=0,"",_xlfn.XLOOKUP(D899,product!$A:$A,product!$D:$D,,0))</f>
        <v>38.89</v>
      </c>
      <c r="K899" s="7">
        <f t="shared" ref="K899:K962" si="14">J899*E899</f>
        <v>77.78</v>
      </c>
      <c r="L899" s="10" t="str">
        <f>IF(_xlfn.XLOOKUP(D899,product!$A:$A,product!$F:$F,,0)=0,"",_xlfn.XLOOKUP(D899,product!$A:$A,product!$F:$F,,0))</f>
        <v>No</v>
      </c>
      <c r="M899" t="str">
        <f>IF(_xlfn.XLOOKUP(D899,product!$A:$A,product!G:G,,0)=0,"",_xlfn.XLOOKUP(D899,product!$A:$A,product!G:G,,0))</f>
        <v>Gold</v>
      </c>
      <c r="N899" t="str">
        <f>IF(_xlfn.XLOOKUP(D899,product!$A:$A,product!$B:$B,,0)=0,"",_xlfn.XLOOKUP(D899,product!$A:$A,product!$B:$B,,0))</f>
        <v>Forest Secrets</v>
      </c>
    </row>
    <row r="900" spans="1:14" x14ac:dyDescent="0.35">
      <c r="A900" t="s">
        <v>619</v>
      </c>
      <c r="B900" s="3">
        <v>45073</v>
      </c>
      <c r="C900" t="s">
        <v>2796</v>
      </c>
      <c r="D900" t="s">
        <v>6258</v>
      </c>
      <c r="E900">
        <v>2</v>
      </c>
      <c r="F900" t="str">
        <f>_xlfn.XLOOKUP(C900,customers!$A$1:$A$983,customers!$B$1:$B$983,,0)</f>
        <v>Peter Clark</v>
      </c>
      <c r="G900" t="str">
        <f>_xlfn.XLOOKUP(C900,customers!$A:$A,customers!$C:$C,,0)</f>
        <v>peter.clark614@gmail.com</v>
      </c>
      <c r="H900" t="str">
        <f>IF(_xlfn.XLOOKUP(C900,customers!$A:$A,customers!$G:$G,,0)=0,"",_xlfn.XLOOKUP(C900,customers!$A:$A,customers!$G:$G,,0))</f>
        <v>Pakistan</v>
      </c>
      <c r="I900" t="str">
        <f>IF(_xlfn.XLOOKUP(D900,product!$A:$A,product!$E:$E,,0)=0,"",_xlfn.XLOOKUP(D900,product!$A:$A,product!$E:$E,,0))</f>
        <v>BUSINESS</v>
      </c>
      <c r="J900" s="5">
        <f>IF(_xlfn.XLOOKUP(D900,product!$A:$A,product!$D:$D,,0)=0,"",_xlfn.XLOOKUP(D900,product!$A:$A,product!$D:$D,,0))</f>
        <v>24.46</v>
      </c>
      <c r="K900" s="7">
        <f t="shared" si="14"/>
        <v>48.92</v>
      </c>
      <c r="L900" s="10" t="str">
        <f>IF(_xlfn.XLOOKUP(D900,product!$A:$A,product!$F:$F,,0)=0,"",_xlfn.XLOOKUP(D900,product!$A:$A,product!$F:$F,,0))</f>
        <v>Yes</v>
      </c>
      <c r="M900" t="str">
        <f>IF(_xlfn.XLOOKUP(D900,product!$A:$A,product!G:G,,0)=0,"",_xlfn.XLOOKUP(D900,product!$A:$A,product!G:G,,0))</f>
        <v>None</v>
      </c>
      <c r="N900" t="str">
        <f>IF(_xlfn.XLOOKUP(D900,product!$A:$A,product!$B:$B,,0)=0,"",_xlfn.XLOOKUP(D900,product!$A:$A,product!$B:$B,,0))</f>
        <v>Future Power</v>
      </c>
    </row>
    <row r="901" spans="1:14" x14ac:dyDescent="0.35">
      <c r="A901" t="s">
        <v>636</v>
      </c>
      <c r="B901" s="3">
        <v>45576</v>
      </c>
      <c r="C901" t="s">
        <v>1248</v>
      </c>
      <c r="D901" t="s">
        <v>6259</v>
      </c>
      <c r="E901">
        <v>2</v>
      </c>
      <c r="F901" t="str">
        <f>_xlfn.XLOOKUP(C901,customers!$A$1:$A$983,customers!$B$1:$B$983,,0)</f>
        <v>Robert Taylor</v>
      </c>
      <c r="G901" t="str">
        <f>_xlfn.XLOOKUP(C901,customers!$A:$A,customers!$C:$C,,0)</f>
        <v>robert.taylor51@gmail.com</v>
      </c>
      <c r="H901" t="str">
        <f>IF(_xlfn.XLOOKUP(C901,customers!$A:$A,customers!$G:$G,,0)=0,"",_xlfn.XLOOKUP(C901,customers!$A:$A,customers!$G:$G,,0))</f>
        <v>Spain</v>
      </c>
      <c r="I901" t="str">
        <f>IF(_xlfn.XLOOKUP(D901,product!$A:$A,product!$E:$E,,0)=0,"",_xlfn.XLOOKUP(D901,product!$A:$A,product!$E:$E,,0))</f>
        <v>TECH</v>
      </c>
      <c r="J901" s="5">
        <f>IF(_xlfn.XLOOKUP(D901,product!$A:$A,product!$D:$D,,0)=0,"",_xlfn.XLOOKUP(D901,product!$A:$A,product!$D:$D,,0))</f>
        <v>20</v>
      </c>
      <c r="K901" s="7">
        <f t="shared" si="14"/>
        <v>40</v>
      </c>
      <c r="L901" s="10" t="str">
        <f>IF(_xlfn.XLOOKUP(D901,product!$A:$A,product!$F:$F,,0)=0,"",_xlfn.XLOOKUP(D901,product!$A:$A,product!$F:$F,,0))</f>
        <v>No</v>
      </c>
      <c r="M901" t="str">
        <f>IF(_xlfn.XLOOKUP(D901,product!$A:$A,product!G:G,,0)=0,"",_xlfn.XLOOKUP(D901,product!$A:$A,product!G:G,,0))</f>
        <v>Silver</v>
      </c>
      <c r="N901" t="str">
        <f>IF(_xlfn.XLOOKUP(D901,product!$A:$A,product!$B:$B,,0)=0,"",_xlfn.XLOOKUP(D901,product!$A:$A,product!$B:$B,,0))</f>
        <v>Data Mind</v>
      </c>
    </row>
    <row r="902" spans="1:14" x14ac:dyDescent="0.35">
      <c r="A902" t="s">
        <v>653</v>
      </c>
      <c r="B902" s="3">
        <v>45126</v>
      </c>
      <c r="C902" t="s">
        <v>3483</v>
      </c>
      <c r="D902" t="s">
        <v>6260</v>
      </c>
      <c r="E902">
        <v>2</v>
      </c>
      <c r="F902" t="str">
        <f>_xlfn.XLOOKUP(C902,customers!$A$1:$A$983,customers!$B$1:$B$983,,0)</f>
        <v>Ella Brown</v>
      </c>
      <c r="G902" t="str">
        <f>_xlfn.XLOOKUP(C902,customers!$A:$A,customers!$C:$C,,0)</f>
        <v>ella.brown956@yahoo.com</v>
      </c>
      <c r="H902" t="str">
        <f>IF(_xlfn.XLOOKUP(C902,customers!$A:$A,customers!$G:$G,,0)=0,"",_xlfn.XLOOKUP(C902,customers!$A:$A,customers!$G:$G,,0))</f>
        <v>Denmark</v>
      </c>
      <c r="I902" t="str">
        <f>IF(_xlfn.XLOOKUP(D902,product!$A:$A,product!$E:$E,,0)=0,"",_xlfn.XLOOKUP(D902,product!$A:$A,product!$E:$E,,0))</f>
        <v>TECH</v>
      </c>
      <c r="J902" s="5">
        <f>IF(_xlfn.XLOOKUP(D902,product!$A:$A,product!$D:$D,,0)=0,"",_xlfn.XLOOKUP(D902,product!$A:$A,product!$D:$D,,0))</f>
        <v>24.07</v>
      </c>
      <c r="K902" s="7">
        <f t="shared" si="14"/>
        <v>48.14</v>
      </c>
      <c r="L902" s="10" t="str">
        <f>IF(_xlfn.XLOOKUP(D902,product!$A:$A,product!$F:$F,,0)=0,"",_xlfn.XLOOKUP(D902,product!$A:$A,product!$F:$F,,0))</f>
        <v>Yes</v>
      </c>
      <c r="M902" t="str">
        <f>IF(_xlfn.XLOOKUP(D902,product!$A:$A,product!G:G,,0)=0,"",_xlfn.XLOOKUP(D902,product!$A:$A,product!G:G,,0))</f>
        <v>Platinum</v>
      </c>
      <c r="N902" t="str">
        <f>IF(_xlfn.XLOOKUP(D902,product!$A:$A,product!$B:$B,,0)=0,"",_xlfn.XLOOKUP(D902,product!$A:$A,product!$B:$B,,0))</f>
        <v>Silent Mind</v>
      </c>
    </row>
    <row r="903" spans="1:14" x14ac:dyDescent="0.35">
      <c r="A903" t="s">
        <v>670</v>
      </c>
      <c r="B903" s="3">
        <v>45513</v>
      </c>
      <c r="C903" t="s">
        <v>2527</v>
      </c>
      <c r="D903" t="s">
        <v>6261</v>
      </c>
      <c r="E903">
        <v>2</v>
      </c>
      <c r="F903" t="str">
        <f>_xlfn.XLOOKUP(C903,customers!$A$1:$A$983,customers!$B$1:$B$983,,0)</f>
        <v>Andrew Lee</v>
      </c>
      <c r="G903" t="str">
        <f>_xlfn.XLOOKUP(C903,customers!$A:$A,customers!$C:$C,,0)</f>
        <v>andrew.lee485@yahoo.com</v>
      </c>
      <c r="H903" t="str">
        <f>IF(_xlfn.XLOOKUP(C903,customers!$A:$A,customers!$G:$G,,0)=0,"",_xlfn.XLOOKUP(C903,customers!$A:$A,customers!$G:$G,,0))</f>
        <v>Spain</v>
      </c>
      <c r="I903" t="str">
        <f>IF(_xlfn.XLOOKUP(D903,product!$A:$A,product!$E:$E,,0)=0,"",_xlfn.XLOOKUP(D903,product!$A:$A,product!$E:$E,,0))</f>
        <v>FICTION</v>
      </c>
      <c r="J903" s="5">
        <f>IF(_xlfn.XLOOKUP(D903,product!$A:$A,product!$D:$D,,0)=0,"",_xlfn.XLOOKUP(D903,product!$A:$A,product!$D:$D,,0))</f>
        <v>39.520000000000003</v>
      </c>
      <c r="K903" s="7">
        <f t="shared" si="14"/>
        <v>79.040000000000006</v>
      </c>
      <c r="L903" s="10" t="str">
        <f>IF(_xlfn.XLOOKUP(D903,product!$A:$A,product!$F:$F,,0)=0,"",_xlfn.XLOOKUP(D903,product!$A:$A,product!$F:$F,,0))</f>
        <v>No</v>
      </c>
      <c r="M903" t="str">
        <f>IF(_xlfn.XLOOKUP(D903,product!$A:$A,product!G:G,,0)=0,"",_xlfn.XLOOKUP(D903,product!$A:$A,product!G:G,,0))</f>
        <v>None</v>
      </c>
      <c r="N903" t="str">
        <f>IF(_xlfn.XLOOKUP(D903,product!$A:$A,product!$B:$B,,0)=0,"",_xlfn.XLOOKUP(D903,product!$A:$A,product!$B:$B,,0))</f>
        <v>Silent Mind</v>
      </c>
    </row>
    <row r="904" spans="1:14" x14ac:dyDescent="0.35">
      <c r="A904" t="s">
        <v>687</v>
      </c>
      <c r="B904" s="3">
        <v>44936</v>
      </c>
      <c r="C904" t="s">
        <v>2056</v>
      </c>
      <c r="D904" t="s">
        <v>6262</v>
      </c>
      <c r="E904">
        <v>2</v>
      </c>
      <c r="F904" t="str">
        <f>_xlfn.XLOOKUP(C904,customers!$A$1:$A$983,customers!$B$1:$B$983,,0)</f>
        <v>Edward Anderson</v>
      </c>
      <c r="G904" t="str">
        <f>_xlfn.XLOOKUP(C904,customers!$A:$A,customers!$C:$C,,0)</f>
        <v>edward.anderson280@hotmail.com</v>
      </c>
      <c r="H904" t="str">
        <f>IF(_xlfn.XLOOKUP(C904,customers!$A:$A,customers!$G:$G,,0)=0,"",_xlfn.XLOOKUP(C904,customers!$A:$A,customers!$G:$G,,0))</f>
        <v>USA</v>
      </c>
      <c r="I904" t="str">
        <f>IF(_xlfn.XLOOKUP(D904,product!$A:$A,product!$E:$E,,0)=0,"",_xlfn.XLOOKUP(D904,product!$A:$A,product!$E:$E,,0))</f>
        <v>HISTORY</v>
      </c>
      <c r="J904" s="5">
        <f>IF(_xlfn.XLOOKUP(D904,product!$A:$A,product!$D:$D,,0)=0,"",_xlfn.XLOOKUP(D904,product!$A:$A,product!$D:$D,,0))</f>
        <v>32.659999999999997</v>
      </c>
      <c r="K904" s="7">
        <f t="shared" si="14"/>
        <v>65.319999999999993</v>
      </c>
      <c r="L904" s="10" t="str">
        <f>IF(_xlfn.XLOOKUP(D904,product!$A:$A,product!$F:$F,,0)=0,"",_xlfn.XLOOKUP(D904,product!$A:$A,product!$F:$F,,0))</f>
        <v>No</v>
      </c>
      <c r="M904" t="str">
        <f>IF(_xlfn.XLOOKUP(D904,product!$A:$A,product!G:G,,0)=0,"",_xlfn.XLOOKUP(D904,product!$A:$A,product!G:G,,0))</f>
        <v>None</v>
      </c>
      <c r="N904" t="str">
        <f>IF(_xlfn.XLOOKUP(D904,product!$A:$A,product!$B:$B,,0)=0,"",_xlfn.XLOOKUP(D904,product!$A:$A,product!$B:$B,,0))</f>
        <v>Secrets Journey</v>
      </c>
    </row>
    <row r="905" spans="1:14" x14ac:dyDescent="0.35">
      <c r="A905" t="s">
        <v>704</v>
      </c>
      <c r="B905" s="3">
        <v>45410</v>
      </c>
      <c r="C905" t="s">
        <v>1986</v>
      </c>
      <c r="D905" t="s">
        <v>6263</v>
      </c>
      <c r="E905">
        <v>2</v>
      </c>
      <c r="F905" t="str">
        <f>_xlfn.XLOOKUP(C905,customers!$A$1:$A$983,customers!$B$1:$B$983,,0)</f>
        <v>Isabella Wright</v>
      </c>
      <c r="G905" t="str">
        <f>_xlfn.XLOOKUP(C905,customers!$A:$A,customers!$C:$C,,0)</f>
        <v>isabella.wright256@yahoo.com</v>
      </c>
      <c r="H905" t="str">
        <f>IF(_xlfn.XLOOKUP(C905,customers!$A:$A,customers!$G:$G,,0)=0,"",_xlfn.XLOOKUP(C905,customers!$A:$A,customers!$G:$G,,0))</f>
        <v>Sweden</v>
      </c>
      <c r="I905" t="str">
        <f>IF(_xlfn.XLOOKUP(D905,product!$A:$A,product!$E:$E,,0)=0,"",_xlfn.XLOOKUP(D905,product!$A:$A,product!$E:$E,,0))</f>
        <v>TECH</v>
      </c>
      <c r="J905" s="5">
        <f>IF(_xlfn.XLOOKUP(D905,product!$A:$A,product!$D:$D,,0)=0,"",_xlfn.XLOOKUP(D905,product!$A:$A,product!$D:$D,,0))</f>
        <v>10.46</v>
      </c>
      <c r="K905" s="7">
        <f t="shared" si="14"/>
        <v>20.92</v>
      </c>
      <c r="L905" s="10" t="str">
        <f>IF(_xlfn.XLOOKUP(D905,product!$A:$A,product!$F:$F,,0)=0,"",_xlfn.XLOOKUP(D905,product!$A:$A,product!$F:$F,,0))</f>
        <v>No</v>
      </c>
      <c r="M905" t="str">
        <f>IF(_xlfn.XLOOKUP(D905,product!$A:$A,product!G:G,,0)=0,"",_xlfn.XLOOKUP(D905,product!$A:$A,product!G:G,,0))</f>
        <v>Silver</v>
      </c>
      <c r="N905" t="str">
        <f>IF(_xlfn.XLOOKUP(D905,product!$A:$A,product!$B:$B,,0)=0,"",_xlfn.XLOOKUP(D905,product!$A:$A,product!$B:$B,,0))</f>
        <v>Science Power</v>
      </c>
    </row>
    <row r="906" spans="1:14" x14ac:dyDescent="0.35">
      <c r="A906" t="s">
        <v>721</v>
      </c>
      <c r="B906" s="3">
        <v>45184</v>
      </c>
      <c r="C906" t="s">
        <v>1291</v>
      </c>
      <c r="D906" t="s">
        <v>6264</v>
      </c>
      <c r="E906">
        <v>2</v>
      </c>
      <c r="F906" t="str">
        <f>_xlfn.XLOOKUP(C906,customers!$A$1:$A$983,customers!$B$1:$B$983,,0)</f>
        <v>Joshua Anderson</v>
      </c>
      <c r="G906" t="str">
        <f>_xlfn.XLOOKUP(C906,customers!$A:$A,customers!$C:$C,,0)</f>
        <v>joshua.anderson62@hotmail.com</v>
      </c>
      <c r="H906" t="str">
        <f>IF(_xlfn.XLOOKUP(C906,customers!$A:$A,customers!$G:$G,,0)=0,"",_xlfn.XLOOKUP(C906,customers!$A:$A,customers!$G:$G,,0))</f>
        <v>Spain</v>
      </c>
      <c r="I906" t="str">
        <f>IF(_xlfn.XLOOKUP(D906,product!$A:$A,product!$E:$E,,0)=0,"",_xlfn.XLOOKUP(D906,product!$A:$A,product!$E:$E,,0))</f>
        <v>HISTORY</v>
      </c>
      <c r="J906" s="5">
        <f>IF(_xlfn.XLOOKUP(D906,product!$A:$A,product!$D:$D,,0)=0,"",_xlfn.XLOOKUP(D906,product!$A:$A,product!$D:$D,,0))</f>
        <v>29.72</v>
      </c>
      <c r="K906" s="7">
        <f t="shared" si="14"/>
        <v>59.44</v>
      </c>
      <c r="L906" s="10" t="str">
        <f>IF(_xlfn.XLOOKUP(D906,product!$A:$A,product!$F:$F,,0)=0,"",_xlfn.XLOOKUP(D906,product!$A:$A,product!$F:$F,,0))</f>
        <v>No</v>
      </c>
      <c r="M906" t="str">
        <f>IF(_xlfn.XLOOKUP(D906,product!$A:$A,product!G:G,,0)=0,"",_xlfn.XLOOKUP(D906,product!$A:$A,product!G:G,,0))</f>
        <v>None</v>
      </c>
      <c r="N906" t="str">
        <f>IF(_xlfn.XLOOKUP(D906,product!$A:$A,product!$B:$B,,0)=0,"",_xlfn.XLOOKUP(D906,product!$A:$A,product!$B:$B,,0))</f>
        <v>Future Quantum</v>
      </c>
    </row>
    <row r="907" spans="1:14" x14ac:dyDescent="0.35">
      <c r="A907" t="s">
        <v>738</v>
      </c>
      <c r="B907" s="3">
        <v>45629</v>
      </c>
      <c r="C907" t="s">
        <v>1086</v>
      </c>
      <c r="D907" t="s">
        <v>6265</v>
      </c>
      <c r="E907">
        <v>2</v>
      </c>
      <c r="F907" t="str">
        <f>_xlfn.XLOOKUP(C907,customers!$A$1:$A$983,customers!$B$1:$B$983,,0)</f>
        <v>Steven Scott</v>
      </c>
      <c r="G907" t="str">
        <f>_xlfn.XLOOKUP(C907,customers!$A:$A,customers!$C:$C,,0)</f>
        <v>steven.scott13@hotmail.com</v>
      </c>
      <c r="H907" t="str">
        <f>IF(_xlfn.XLOOKUP(C907,customers!$A:$A,customers!$G:$G,,0)=0,"",_xlfn.XLOOKUP(C907,customers!$A:$A,customers!$G:$G,,0))</f>
        <v>Sweden</v>
      </c>
      <c r="I907" t="str">
        <f>IF(_xlfn.XLOOKUP(D907,product!$A:$A,product!$E:$E,,0)=0,"",_xlfn.XLOOKUP(D907,product!$A:$A,product!$E:$E,,0))</f>
        <v>FICTION</v>
      </c>
      <c r="J907" s="5">
        <f>IF(_xlfn.XLOOKUP(D907,product!$A:$A,product!$D:$D,,0)=0,"",_xlfn.XLOOKUP(D907,product!$A:$A,product!$D:$D,,0))</f>
        <v>35.97</v>
      </c>
      <c r="K907" s="7">
        <f t="shared" si="14"/>
        <v>71.94</v>
      </c>
      <c r="L907" s="10" t="str">
        <f>IF(_xlfn.XLOOKUP(D907,product!$A:$A,product!$F:$F,,0)=0,"",_xlfn.XLOOKUP(D907,product!$A:$A,product!$F:$F,,0))</f>
        <v>Yes</v>
      </c>
      <c r="M907" t="str">
        <f>IF(_xlfn.XLOOKUP(D907,product!$A:$A,product!G:G,,0)=0,"",_xlfn.XLOOKUP(D907,product!$A:$A,product!G:G,,0))</f>
        <v>Gold</v>
      </c>
      <c r="N907" t="str">
        <f>IF(_xlfn.XLOOKUP(D907,product!$A:$A,product!$B:$B,,0)=0,"",_xlfn.XLOOKUP(D907,product!$A:$A,product!$B:$B,,0))</f>
        <v>Future Silent</v>
      </c>
    </row>
    <row r="908" spans="1:14" x14ac:dyDescent="0.35">
      <c r="A908" t="s">
        <v>755</v>
      </c>
      <c r="B908" s="3">
        <v>45011</v>
      </c>
      <c r="C908" t="s">
        <v>1636</v>
      </c>
      <c r="D908" t="s">
        <v>6266</v>
      </c>
      <c r="E908">
        <v>2</v>
      </c>
      <c r="F908" t="str">
        <f>_xlfn.XLOOKUP(C908,customers!$A$1:$A$983,customers!$B$1:$B$983,,0)</f>
        <v>Mia Robinson</v>
      </c>
      <c r="G908" t="str">
        <f>_xlfn.XLOOKUP(C908,customers!$A:$A,customers!$C:$C,,0)</f>
        <v>mia.robinson157@outlook.com</v>
      </c>
      <c r="H908" t="str">
        <f>IF(_xlfn.XLOOKUP(C908,customers!$A:$A,customers!$G:$G,,0)=0,"",_xlfn.XLOOKUP(C908,customers!$A:$A,customers!$G:$G,,0))</f>
        <v>Sweden</v>
      </c>
      <c r="I908" t="str">
        <f>IF(_xlfn.XLOOKUP(D908,product!$A:$A,product!$E:$E,,0)=0,"",_xlfn.XLOOKUP(D908,product!$A:$A,product!$E:$E,,0))</f>
        <v>TECH</v>
      </c>
      <c r="J908" s="5">
        <f>IF(_xlfn.XLOOKUP(D908,product!$A:$A,product!$D:$D,,0)=0,"",_xlfn.XLOOKUP(D908,product!$A:$A,product!$D:$D,,0))</f>
        <v>10.89</v>
      </c>
      <c r="K908" s="7">
        <f t="shared" si="14"/>
        <v>21.78</v>
      </c>
      <c r="L908" s="10" t="str">
        <f>IF(_xlfn.XLOOKUP(D908,product!$A:$A,product!$F:$F,,0)=0,"",_xlfn.XLOOKUP(D908,product!$A:$A,product!$F:$F,,0))</f>
        <v>No</v>
      </c>
      <c r="M908" t="str">
        <f>IF(_xlfn.XLOOKUP(D908,product!$A:$A,product!G:G,,0)=0,"",_xlfn.XLOOKUP(D908,product!$A:$A,product!G:G,,0))</f>
        <v>None</v>
      </c>
      <c r="N908" t="str">
        <f>IF(_xlfn.XLOOKUP(D908,product!$A:$A,product!$B:$B,,0)=0,"",_xlfn.XLOOKUP(D908,product!$A:$A,product!$B:$B,,0))</f>
        <v>Future Silent</v>
      </c>
    </row>
    <row r="909" spans="1:14" x14ac:dyDescent="0.35">
      <c r="A909" t="s">
        <v>772</v>
      </c>
      <c r="B909" s="3">
        <v>45335</v>
      </c>
      <c r="C909" t="s">
        <v>3137</v>
      </c>
      <c r="D909" t="s">
        <v>6267</v>
      </c>
      <c r="E909">
        <v>2</v>
      </c>
      <c r="F909" t="str">
        <f>_xlfn.XLOOKUP(C909,customers!$A$1:$A$983,customers!$B$1:$B$983,,0)</f>
        <v>Brian Adams</v>
      </c>
      <c r="G909" t="str">
        <f>_xlfn.XLOOKUP(C909,customers!$A:$A,customers!$C:$C,,0)</f>
        <v>brian.adams781@yahoo.com</v>
      </c>
      <c r="H909" t="str">
        <f>IF(_xlfn.XLOOKUP(C909,customers!$A:$A,customers!$G:$G,,0)=0,"",_xlfn.XLOOKUP(C909,customers!$A:$A,customers!$G:$G,,0))</f>
        <v>Japan</v>
      </c>
      <c r="I909" t="str">
        <f>IF(_xlfn.XLOOKUP(D909,product!$A:$A,product!$E:$E,,0)=0,"",_xlfn.XLOOKUP(D909,product!$A:$A,product!$E:$E,,0))</f>
        <v>HISTORY</v>
      </c>
      <c r="J909" s="5">
        <f>IF(_xlfn.XLOOKUP(D909,product!$A:$A,product!$D:$D,,0)=0,"",_xlfn.XLOOKUP(D909,product!$A:$A,product!$D:$D,,0))</f>
        <v>35</v>
      </c>
      <c r="K909" s="7">
        <f t="shared" si="14"/>
        <v>70</v>
      </c>
      <c r="L909" s="10" t="str">
        <f>IF(_xlfn.XLOOKUP(D909,product!$A:$A,product!$F:$F,,0)=0,"",_xlfn.XLOOKUP(D909,product!$A:$A,product!$F:$F,,0))</f>
        <v>No</v>
      </c>
      <c r="M909" t="str">
        <f>IF(_xlfn.XLOOKUP(D909,product!$A:$A,product!G:G,,0)=0,"",_xlfn.XLOOKUP(D909,product!$A:$A,product!G:G,,0))</f>
        <v>None</v>
      </c>
      <c r="N909" t="str">
        <f>IF(_xlfn.XLOOKUP(D909,product!$A:$A,product!$B:$B,,0)=0,"",_xlfn.XLOOKUP(D909,product!$A:$A,product!$B:$B,,0))</f>
        <v>Mind Secrets</v>
      </c>
    </row>
    <row r="910" spans="1:14" x14ac:dyDescent="0.35">
      <c r="A910" t="s">
        <v>789</v>
      </c>
      <c r="B910" s="3">
        <v>45166</v>
      </c>
      <c r="C910" t="s">
        <v>1993</v>
      </c>
      <c r="D910" t="s">
        <v>6268</v>
      </c>
      <c r="E910">
        <v>2</v>
      </c>
      <c r="F910" t="str">
        <f>_xlfn.XLOOKUP(C910,customers!$A$1:$A$983,customers!$B$1:$B$983,,0)</f>
        <v>Ryan Anderson</v>
      </c>
      <c r="G910" t="str">
        <f>_xlfn.XLOOKUP(C910,customers!$A:$A,customers!$C:$C,,0)</f>
        <v>ryan.anderson258@yahoo.com</v>
      </c>
      <c r="H910" t="str">
        <f>IF(_xlfn.XLOOKUP(C910,customers!$A:$A,customers!$G:$G,,0)=0,"",_xlfn.XLOOKUP(C910,customers!$A:$A,customers!$G:$G,,0))</f>
        <v>Spain</v>
      </c>
      <c r="I910" t="str">
        <f>IF(_xlfn.XLOOKUP(D910,product!$A:$A,product!$E:$E,,0)=0,"",_xlfn.XLOOKUP(D910,product!$A:$A,product!$E:$E,,0))</f>
        <v>TECH</v>
      </c>
      <c r="J910" s="5">
        <f>IF(_xlfn.XLOOKUP(D910,product!$A:$A,product!$D:$D,,0)=0,"",_xlfn.XLOOKUP(D910,product!$A:$A,product!$D:$D,,0))</f>
        <v>34.770000000000003</v>
      </c>
      <c r="K910" s="7">
        <f t="shared" si="14"/>
        <v>69.540000000000006</v>
      </c>
      <c r="L910" s="10" t="str">
        <f>IF(_xlfn.XLOOKUP(D910,product!$A:$A,product!$F:$F,,0)=0,"",_xlfn.XLOOKUP(D910,product!$A:$A,product!$F:$F,,0))</f>
        <v>Yes</v>
      </c>
      <c r="M910" t="str">
        <f>IF(_xlfn.XLOOKUP(D910,product!$A:$A,product!G:G,,0)=0,"",_xlfn.XLOOKUP(D910,product!$A:$A,product!G:G,,0))</f>
        <v>None</v>
      </c>
      <c r="N910" t="str">
        <f>IF(_xlfn.XLOOKUP(D910,product!$A:$A,product!$B:$B,,0)=0,"",_xlfn.XLOOKUP(D910,product!$A:$A,product!$B:$B,,0))</f>
        <v>Secrets Power</v>
      </c>
    </row>
    <row r="911" spans="1:14" x14ac:dyDescent="0.35">
      <c r="A911" t="s">
        <v>806</v>
      </c>
      <c r="B911" s="3">
        <v>45419</v>
      </c>
      <c r="C911" t="s">
        <v>3058</v>
      </c>
      <c r="D911" t="s">
        <v>6269</v>
      </c>
      <c r="E911">
        <v>2</v>
      </c>
      <c r="F911" t="str">
        <f>_xlfn.XLOOKUP(C911,customers!$A$1:$A$983,customers!$B$1:$B$983,,0)</f>
        <v>Zoe Baker</v>
      </c>
      <c r="G911" t="str">
        <f>_xlfn.XLOOKUP(C911,customers!$A:$A,customers!$C:$C,,0)</f>
        <v>zoe.baker741@hotmail.com</v>
      </c>
      <c r="H911" t="str">
        <f>IF(_xlfn.XLOOKUP(C911,customers!$A:$A,customers!$G:$G,,0)=0,"",_xlfn.XLOOKUP(C911,customers!$A:$A,customers!$G:$G,,0))</f>
        <v>Japan</v>
      </c>
      <c r="I911" t="str">
        <f>IF(_xlfn.XLOOKUP(D911,product!$A:$A,product!$E:$E,,0)=0,"",_xlfn.XLOOKUP(D911,product!$A:$A,product!$E:$E,,0))</f>
        <v>FICTION</v>
      </c>
      <c r="J911" s="5">
        <f>IF(_xlfn.XLOOKUP(D911,product!$A:$A,product!$D:$D,,0)=0,"",_xlfn.XLOOKUP(D911,product!$A:$A,product!$D:$D,,0))</f>
        <v>12.85</v>
      </c>
      <c r="K911" s="7">
        <f t="shared" si="14"/>
        <v>25.7</v>
      </c>
      <c r="L911" s="10" t="str">
        <f>IF(_xlfn.XLOOKUP(D911,product!$A:$A,product!$F:$F,,0)=0,"",_xlfn.XLOOKUP(D911,product!$A:$A,product!$F:$F,,0))</f>
        <v>No</v>
      </c>
      <c r="M911" t="str">
        <f>IF(_xlfn.XLOOKUP(D911,product!$A:$A,product!G:G,,0)=0,"",_xlfn.XLOOKUP(D911,product!$A:$A,product!G:G,,0))</f>
        <v>Silver</v>
      </c>
      <c r="N911" t="str">
        <f>IF(_xlfn.XLOOKUP(D911,product!$A:$A,product!$B:$B,,0)=0,"",_xlfn.XLOOKUP(D911,product!$A:$A,product!$B:$B,,0))</f>
        <v>Forest Journey</v>
      </c>
    </row>
    <row r="912" spans="1:14" x14ac:dyDescent="0.35">
      <c r="A912" t="s">
        <v>823</v>
      </c>
      <c r="B912" s="3">
        <v>45234</v>
      </c>
      <c r="C912" t="s">
        <v>1936</v>
      </c>
      <c r="D912" t="s">
        <v>6270</v>
      </c>
      <c r="E912">
        <v>2</v>
      </c>
      <c r="F912" t="str">
        <f>_xlfn.XLOOKUP(C912,customers!$A$1:$A$983,customers!$B$1:$B$983,,0)</f>
        <v>Anthony Harris</v>
      </c>
      <c r="G912" t="str">
        <f>_xlfn.XLOOKUP(C912,customers!$A:$A,customers!$C:$C,,0)</f>
        <v>anthony.harris240@hotmail.com</v>
      </c>
      <c r="H912" t="str">
        <f>IF(_xlfn.XLOOKUP(C912,customers!$A:$A,customers!$G:$G,,0)=0,"",_xlfn.XLOOKUP(C912,customers!$A:$A,customers!$G:$G,,0))</f>
        <v>Spain</v>
      </c>
      <c r="I912" t="str">
        <f>IF(_xlfn.XLOOKUP(D912,product!$A:$A,product!$E:$E,,0)=0,"",_xlfn.XLOOKUP(D912,product!$A:$A,product!$E:$E,,0))</f>
        <v>BUSINESS</v>
      </c>
      <c r="J912" s="5">
        <f>IF(_xlfn.XLOOKUP(D912,product!$A:$A,product!$D:$D,,0)=0,"",_xlfn.XLOOKUP(D912,product!$A:$A,product!$D:$D,,0))</f>
        <v>36.83</v>
      </c>
      <c r="K912" s="7">
        <f t="shared" si="14"/>
        <v>73.66</v>
      </c>
      <c r="L912" s="10" t="str">
        <f>IF(_xlfn.XLOOKUP(D912,product!$A:$A,product!$F:$F,,0)=0,"",_xlfn.XLOOKUP(D912,product!$A:$A,product!$F:$F,,0))</f>
        <v>No</v>
      </c>
      <c r="M912" t="str">
        <f>IF(_xlfn.XLOOKUP(D912,product!$A:$A,product!G:G,,0)=0,"",_xlfn.XLOOKUP(D912,product!$A:$A,product!G:G,,0))</f>
        <v>Gold</v>
      </c>
      <c r="N912" t="str">
        <f>IF(_xlfn.XLOOKUP(D912,product!$A:$A,product!$B:$B,,0)=0,"",_xlfn.XLOOKUP(D912,product!$A:$A,product!$B:$B,,0))</f>
        <v>Silent Power</v>
      </c>
    </row>
    <row r="913" spans="1:14" x14ac:dyDescent="0.35">
      <c r="A913" t="s">
        <v>840</v>
      </c>
      <c r="B913" s="3">
        <v>45488</v>
      </c>
      <c r="C913" t="s">
        <v>2429</v>
      </c>
      <c r="D913" t="s">
        <v>6271</v>
      </c>
      <c r="E913">
        <v>2</v>
      </c>
      <c r="F913" t="str">
        <f>_xlfn.XLOOKUP(C913,customers!$A$1:$A$983,customers!$B$1:$B$983,,0)</f>
        <v>Sarah White</v>
      </c>
      <c r="G913" t="str">
        <f>_xlfn.XLOOKUP(C913,customers!$A:$A,customers!$C:$C,,0)</f>
        <v>sarah.white438@outlook.com</v>
      </c>
      <c r="H913" t="str">
        <f>IF(_xlfn.XLOOKUP(C913,customers!$A:$A,customers!$G:$G,,0)=0,"",_xlfn.XLOOKUP(C913,customers!$A:$A,customers!$G:$G,,0))</f>
        <v>Spain</v>
      </c>
      <c r="I913" t="str">
        <f>IF(_xlfn.XLOOKUP(D913,product!$A:$A,product!$E:$E,,0)=0,"",_xlfn.XLOOKUP(D913,product!$A:$A,product!$E:$E,,0))</f>
        <v>HISTORY</v>
      </c>
      <c r="J913" s="5">
        <f>IF(_xlfn.XLOOKUP(D913,product!$A:$A,product!$D:$D,,0)=0,"",_xlfn.XLOOKUP(D913,product!$A:$A,product!$D:$D,,0))</f>
        <v>11.82</v>
      </c>
      <c r="K913" s="7">
        <f t="shared" si="14"/>
        <v>23.64</v>
      </c>
      <c r="L913" s="10" t="str">
        <f>IF(_xlfn.XLOOKUP(D913,product!$A:$A,product!$F:$F,,0)=0,"",_xlfn.XLOOKUP(D913,product!$A:$A,product!$F:$F,,0))</f>
        <v>Yes</v>
      </c>
      <c r="M913" t="str">
        <f>IF(_xlfn.XLOOKUP(D913,product!$A:$A,product!G:G,,0)=0,"",_xlfn.XLOOKUP(D913,product!$A:$A,product!G:G,,0))</f>
        <v>None</v>
      </c>
      <c r="N913" t="str">
        <f>IF(_xlfn.XLOOKUP(D913,product!$A:$A,product!$B:$B,,0)=0,"",_xlfn.XLOOKUP(D913,product!$A:$A,product!$B:$B,,0))</f>
        <v>Power Science</v>
      </c>
    </row>
    <row r="914" spans="1:14" x14ac:dyDescent="0.35">
      <c r="A914" t="s">
        <v>857</v>
      </c>
      <c r="B914" s="3">
        <v>45089</v>
      </c>
      <c r="C914" t="s">
        <v>3489</v>
      </c>
      <c r="D914" t="s">
        <v>6272</v>
      </c>
      <c r="E914">
        <v>2</v>
      </c>
      <c r="F914" t="str">
        <f>_xlfn.XLOOKUP(C914,customers!$A$1:$A$983,customers!$B$1:$B$983,,0)</f>
        <v>Zoe White</v>
      </c>
      <c r="G914" t="str">
        <f>_xlfn.XLOOKUP(C914,customers!$A:$A,customers!$C:$C,,0)</f>
        <v>zoe.white959@outlook.com</v>
      </c>
      <c r="H914" t="str">
        <f>IF(_xlfn.XLOOKUP(C914,customers!$A:$A,customers!$G:$G,,0)=0,"",_xlfn.XLOOKUP(C914,customers!$A:$A,customers!$G:$G,,0))</f>
        <v>Mexico</v>
      </c>
      <c r="I914" t="str">
        <f>IF(_xlfn.XLOOKUP(D914,product!$A:$A,product!$E:$E,,0)=0,"",_xlfn.XLOOKUP(D914,product!$A:$A,product!$E:$E,,0))</f>
        <v>HISTORY</v>
      </c>
      <c r="J914" s="5">
        <f>IF(_xlfn.XLOOKUP(D914,product!$A:$A,product!$D:$D,,0)=0,"",_xlfn.XLOOKUP(D914,product!$A:$A,product!$D:$D,,0))</f>
        <v>38.58</v>
      </c>
      <c r="K914" s="7">
        <f t="shared" si="14"/>
        <v>77.16</v>
      </c>
      <c r="L914" s="10" t="str">
        <f>IF(_xlfn.XLOOKUP(D914,product!$A:$A,product!$F:$F,,0)=0,"",_xlfn.XLOOKUP(D914,product!$A:$A,product!$F:$F,,0))</f>
        <v>Yes</v>
      </c>
      <c r="M914" t="str">
        <f>IF(_xlfn.XLOOKUP(D914,product!$A:$A,product!G:G,,0)=0,"",_xlfn.XLOOKUP(D914,product!$A:$A,product!G:G,,0))</f>
        <v>None</v>
      </c>
      <c r="N914" t="str">
        <f>IF(_xlfn.XLOOKUP(D914,product!$A:$A,product!$B:$B,,0)=0,"",_xlfn.XLOOKUP(D914,product!$A:$A,product!$B:$B,,0))</f>
        <v>Forest Quantum</v>
      </c>
    </row>
    <row r="915" spans="1:14" x14ac:dyDescent="0.35">
      <c r="A915" t="s">
        <v>874</v>
      </c>
      <c r="B915" s="3">
        <v>45564</v>
      </c>
      <c r="C915" t="s">
        <v>2468</v>
      </c>
      <c r="D915" t="s">
        <v>6273</v>
      </c>
      <c r="E915">
        <v>2</v>
      </c>
      <c r="F915" t="str">
        <f>_xlfn.XLOOKUP(C915,customers!$A$1:$A$983,customers!$B$1:$B$983,,0)</f>
        <v>Brian Jackson</v>
      </c>
      <c r="G915" t="str">
        <f>_xlfn.XLOOKUP(C915,customers!$A:$A,customers!$C:$C,,0)</f>
        <v>brian.jackson456@yahoo.com</v>
      </c>
      <c r="H915" t="str">
        <f>IF(_xlfn.XLOOKUP(C915,customers!$A:$A,customers!$G:$G,,0)=0,"",_xlfn.XLOOKUP(C915,customers!$A:$A,customers!$G:$G,,0))</f>
        <v>Spain</v>
      </c>
      <c r="I915" t="str">
        <f>IF(_xlfn.XLOOKUP(D915,product!$A:$A,product!$E:$E,,0)=0,"",_xlfn.XLOOKUP(D915,product!$A:$A,product!$E:$E,,0))</f>
        <v>TECH</v>
      </c>
      <c r="J915" s="5">
        <f>IF(_xlfn.XLOOKUP(D915,product!$A:$A,product!$D:$D,,0)=0,"",_xlfn.XLOOKUP(D915,product!$A:$A,product!$D:$D,,0))</f>
        <v>19.09</v>
      </c>
      <c r="K915" s="7">
        <f t="shared" si="14"/>
        <v>38.18</v>
      </c>
      <c r="L915" s="10" t="str">
        <f>IF(_xlfn.XLOOKUP(D915,product!$A:$A,product!$F:$F,,0)=0,"",_xlfn.XLOOKUP(D915,product!$A:$A,product!$F:$F,,0))</f>
        <v>Yes</v>
      </c>
      <c r="M915" t="str">
        <f>IF(_xlfn.XLOOKUP(D915,product!$A:$A,product!G:G,,0)=0,"",_xlfn.XLOOKUP(D915,product!$A:$A,product!G:G,,0))</f>
        <v>Silver</v>
      </c>
      <c r="N915" t="str">
        <f>IF(_xlfn.XLOOKUP(D915,product!$A:$A,product!$B:$B,,0)=0,"",_xlfn.XLOOKUP(D915,product!$A:$A,product!$B:$B,,0))</f>
        <v>Data Journey</v>
      </c>
    </row>
    <row r="916" spans="1:14" x14ac:dyDescent="0.35">
      <c r="A916" t="s">
        <v>891</v>
      </c>
      <c r="B916" s="3">
        <v>45035</v>
      </c>
      <c r="C916" t="s">
        <v>2509</v>
      </c>
      <c r="D916" t="s">
        <v>6274</v>
      </c>
      <c r="E916">
        <v>2</v>
      </c>
      <c r="F916" t="str">
        <f>_xlfn.XLOOKUP(C916,customers!$A$1:$A$983,customers!$B$1:$B$983,,0)</f>
        <v>David Rodriguez</v>
      </c>
      <c r="G916" t="str">
        <f>_xlfn.XLOOKUP(C916,customers!$A:$A,customers!$C:$C,,0)</f>
        <v>david.rodriguez476@outlook.com</v>
      </c>
      <c r="H916" t="str">
        <f>IF(_xlfn.XLOOKUP(C916,customers!$A:$A,customers!$G:$G,,0)=0,"",_xlfn.XLOOKUP(C916,customers!$A:$A,customers!$G:$G,,0))</f>
        <v>Spain</v>
      </c>
      <c r="I916" t="str">
        <f>IF(_xlfn.XLOOKUP(D916,product!$A:$A,product!$E:$E,,0)=0,"",_xlfn.XLOOKUP(D916,product!$A:$A,product!$E:$E,,0))</f>
        <v>BUSINESS</v>
      </c>
      <c r="J916" s="5">
        <f>IF(_xlfn.XLOOKUP(D916,product!$A:$A,product!$D:$D,,0)=0,"",_xlfn.XLOOKUP(D916,product!$A:$A,product!$D:$D,,0))</f>
        <v>30.98</v>
      </c>
      <c r="K916" s="7">
        <f t="shared" si="14"/>
        <v>61.96</v>
      </c>
      <c r="L916" s="10" t="str">
        <f>IF(_xlfn.XLOOKUP(D916,product!$A:$A,product!$F:$F,,0)=0,"",_xlfn.XLOOKUP(D916,product!$A:$A,product!$F:$F,,0))</f>
        <v>No</v>
      </c>
      <c r="M916" t="str">
        <f>IF(_xlfn.XLOOKUP(D916,product!$A:$A,product!G:G,,0)=0,"",_xlfn.XLOOKUP(D916,product!$A:$A,product!G:G,,0))</f>
        <v>None</v>
      </c>
      <c r="N916" t="str">
        <f>IF(_xlfn.XLOOKUP(D916,product!$A:$A,product!$B:$B,,0)=0,"",_xlfn.XLOOKUP(D916,product!$A:$A,product!$B:$B,,0))</f>
        <v>Silent Future</v>
      </c>
    </row>
    <row r="917" spans="1:14" x14ac:dyDescent="0.35">
      <c r="A917" t="s">
        <v>908</v>
      </c>
      <c r="B917" s="3">
        <v>45295</v>
      </c>
      <c r="C917" t="s">
        <v>2320</v>
      </c>
      <c r="D917" t="s">
        <v>6275</v>
      </c>
      <c r="E917">
        <v>2</v>
      </c>
      <c r="F917" t="str">
        <f>_xlfn.XLOOKUP(C917,customers!$A$1:$A$983,customers!$B$1:$B$983,,0)</f>
        <v>Anthony Johnson</v>
      </c>
      <c r="G917" t="str">
        <f>_xlfn.XLOOKUP(C917,customers!$A:$A,customers!$C:$C,,0)</f>
        <v>anthony.johnson388@outlook.com</v>
      </c>
      <c r="H917" t="str">
        <f>IF(_xlfn.XLOOKUP(C917,customers!$A:$A,customers!$G:$G,,0)=0,"",_xlfn.XLOOKUP(C917,customers!$A:$A,customers!$G:$G,,0))</f>
        <v>USA</v>
      </c>
      <c r="I917" t="str">
        <f>IF(_xlfn.XLOOKUP(D917,product!$A:$A,product!$E:$E,,0)=0,"",_xlfn.XLOOKUP(D917,product!$A:$A,product!$E:$E,,0))</f>
        <v>TECH</v>
      </c>
      <c r="J917" s="5">
        <f>IF(_xlfn.XLOOKUP(D917,product!$A:$A,product!$D:$D,,0)=0,"",_xlfn.XLOOKUP(D917,product!$A:$A,product!$D:$D,,0))</f>
        <v>14.85</v>
      </c>
      <c r="K917" s="7">
        <f t="shared" si="14"/>
        <v>29.7</v>
      </c>
      <c r="L917" s="10" t="str">
        <f>IF(_xlfn.XLOOKUP(D917,product!$A:$A,product!$F:$F,,0)=0,"",_xlfn.XLOOKUP(D917,product!$A:$A,product!$F:$F,,0))</f>
        <v>No</v>
      </c>
      <c r="M917" t="str">
        <f>IF(_xlfn.XLOOKUP(D917,product!$A:$A,product!G:G,,0)=0,"",_xlfn.XLOOKUP(D917,product!$A:$A,product!G:G,,0))</f>
        <v>Gold</v>
      </c>
      <c r="N917" t="str">
        <f>IF(_xlfn.XLOOKUP(D917,product!$A:$A,product!$B:$B,,0)=0,"",_xlfn.XLOOKUP(D917,product!$A:$A,product!$B:$B,,0))</f>
        <v>Quantum Journey</v>
      </c>
    </row>
    <row r="918" spans="1:14" x14ac:dyDescent="0.35">
      <c r="A918" t="s">
        <v>925</v>
      </c>
      <c r="B918" s="3">
        <v>45207</v>
      </c>
      <c r="C918" t="s">
        <v>2047</v>
      </c>
      <c r="D918" t="s">
        <v>6276</v>
      </c>
      <c r="E918">
        <v>2</v>
      </c>
      <c r="F918" t="str">
        <f>_xlfn.XLOOKUP(C918,customers!$A$1:$A$983,customers!$B$1:$B$983,,0)</f>
        <v>Robert King</v>
      </c>
      <c r="G918" t="str">
        <f>_xlfn.XLOOKUP(C918,customers!$A:$A,customers!$C:$C,,0)</f>
        <v>robert.king277@outlook.com</v>
      </c>
      <c r="H918" t="str">
        <f>IF(_xlfn.XLOOKUP(C918,customers!$A:$A,customers!$G:$G,,0)=0,"",_xlfn.XLOOKUP(C918,customers!$A:$A,customers!$G:$G,,0))</f>
        <v>Japan</v>
      </c>
      <c r="I918" t="str">
        <f>IF(_xlfn.XLOOKUP(D918,product!$A:$A,product!$E:$E,,0)=0,"",_xlfn.XLOOKUP(D918,product!$A:$A,product!$E:$E,,0))</f>
        <v>BUSINESS</v>
      </c>
      <c r="J918" s="5">
        <f>IF(_xlfn.XLOOKUP(D918,product!$A:$A,product!$D:$D,,0)=0,"",_xlfn.XLOOKUP(D918,product!$A:$A,product!$D:$D,,0))</f>
        <v>18.850000000000001</v>
      </c>
      <c r="K918" s="7">
        <f t="shared" si="14"/>
        <v>37.700000000000003</v>
      </c>
      <c r="L918" s="10" t="str">
        <f>IF(_xlfn.XLOOKUP(D918,product!$A:$A,product!$F:$F,,0)=0,"",_xlfn.XLOOKUP(D918,product!$A:$A,product!$F:$F,,0))</f>
        <v>No</v>
      </c>
      <c r="M918" t="str">
        <f>IF(_xlfn.XLOOKUP(D918,product!$A:$A,product!G:G,,0)=0,"",_xlfn.XLOOKUP(D918,product!$A:$A,product!G:G,,0))</f>
        <v>Silver</v>
      </c>
      <c r="N918" t="str">
        <f>IF(_xlfn.XLOOKUP(D918,product!$A:$A,product!$B:$B,,0)=0,"",_xlfn.XLOOKUP(D918,product!$A:$A,product!$B:$B,,0))</f>
        <v>Silent Data</v>
      </c>
    </row>
    <row r="919" spans="1:14" x14ac:dyDescent="0.35">
      <c r="A919" t="s">
        <v>942</v>
      </c>
      <c r="B919" s="3">
        <v>45617</v>
      </c>
      <c r="C919" t="s">
        <v>1160</v>
      </c>
      <c r="D919" t="s">
        <v>6277</v>
      </c>
      <c r="E919">
        <v>2</v>
      </c>
      <c r="F919" t="str">
        <f>_xlfn.XLOOKUP(C919,customers!$A$1:$A$983,customers!$B$1:$B$983,,0)</f>
        <v>Michael Johnson</v>
      </c>
      <c r="G919" t="str">
        <f>_xlfn.XLOOKUP(C919,customers!$A:$A,customers!$C:$C,,0)</f>
        <v>michael.johnson30@gmail.com</v>
      </c>
      <c r="H919" t="str">
        <f>IF(_xlfn.XLOOKUP(C919,customers!$A:$A,customers!$G:$G,,0)=0,"",_xlfn.XLOOKUP(C919,customers!$A:$A,customers!$G:$G,,0))</f>
        <v>Japan</v>
      </c>
      <c r="I919" t="str">
        <f>IF(_xlfn.XLOOKUP(D919,product!$A:$A,product!$E:$E,,0)=0,"",_xlfn.XLOOKUP(D919,product!$A:$A,product!$E:$E,,0))</f>
        <v>HISTORY</v>
      </c>
      <c r="J919" s="5">
        <f>IF(_xlfn.XLOOKUP(D919,product!$A:$A,product!$D:$D,,0)=0,"",_xlfn.XLOOKUP(D919,product!$A:$A,product!$D:$D,,0))</f>
        <v>30.35</v>
      </c>
      <c r="K919" s="7">
        <f t="shared" si="14"/>
        <v>60.7</v>
      </c>
      <c r="L919" s="10" t="str">
        <f>IF(_xlfn.XLOOKUP(D919,product!$A:$A,product!$F:$F,,0)=0,"",_xlfn.XLOOKUP(D919,product!$A:$A,product!$F:$F,,0))</f>
        <v>No</v>
      </c>
      <c r="M919" t="str">
        <f>IF(_xlfn.XLOOKUP(D919,product!$A:$A,product!G:G,,0)=0,"",_xlfn.XLOOKUP(D919,product!$A:$A,product!G:G,,0))</f>
        <v>Silver</v>
      </c>
      <c r="N919" t="str">
        <f>IF(_xlfn.XLOOKUP(D919,product!$A:$A,product!$B:$B,,0)=0,"",_xlfn.XLOOKUP(D919,product!$A:$A,product!$B:$B,,0))</f>
        <v>Data Silent</v>
      </c>
    </row>
    <row r="920" spans="1:14" x14ac:dyDescent="0.35">
      <c r="A920" t="s">
        <v>959</v>
      </c>
      <c r="B920" s="3">
        <v>45277</v>
      </c>
      <c r="C920" t="s">
        <v>2070</v>
      </c>
      <c r="D920" t="s">
        <v>6278</v>
      </c>
      <c r="E920">
        <v>2</v>
      </c>
      <c r="F920" t="str">
        <f>_xlfn.XLOOKUP(C920,customers!$A$1:$A$983,customers!$B$1:$B$983,,0)</f>
        <v>Michael Hall</v>
      </c>
      <c r="G920" t="str">
        <f>_xlfn.XLOOKUP(C920,customers!$A:$A,customers!$C:$C,,0)</f>
        <v>michael.hall285@yahoo.com</v>
      </c>
      <c r="H920" t="str">
        <f>IF(_xlfn.XLOOKUP(C920,customers!$A:$A,customers!$G:$G,,0)=0,"",_xlfn.XLOOKUP(C920,customers!$A:$A,customers!$G:$G,,0))</f>
        <v>Spain</v>
      </c>
      <c r="I920" t="str">
        <f>IF(_xlfn.XLOOKUP(D920,product!$A:$A,product!$E:$E,,0)=0,"",_xlfn.XLOOKUP(D920,product!$A:$A,product!$E:$E,,0))</f>
        <v>SCIENCE</v>
      </c>
      <c r="J920" s="5">
        <f>IF(_xlfn.XLOOKUP(D920,product!$A:$A,product!$D:$D,,0)=0,"",_xlfn.XLOOKUP(D920,product!$A:$A,product!$D:$D,,0))</f>
        <v>22.62</v>
      </c>
      <c r="K920" s="7">
        <f t="shared" si="14"/>
        <v>45.24</v>
      </c>
      <c r="L920" s="10" t="str">
        <f>IF(_xlfn.XLOOKUP(D920,product!$A:$A,product!$F:$F,,0)=0,"",_xlfn.XLOOKUP(D920,product!$A:$A,product!$F:$F,,0))</f>
        <v>No</v>
      </c>
      <c r="M920" t="str">
        <f>IF(_xlfn.XLOOKUP(D920,product!$A:$A,product!G:G,,0)=0,"",_xlfn.XLOOKUP(D920,product!$A:$A,product!G:G,,0))</f>
        <v>None</v>
      </c>
      <c r="N920" t="str">
        <f>IF(_xlfn.XLOOKUP(D920,product!$A:$A,product!$B:$B,,0)=0,"",_xlfn.XLOOKUP(D920,product!$A:$A,product!$B:$B,,0))</f>
        <v>Secrets Power</v>
      </c>
    </row>
    <row r="921" spans="1:14" x14ac:dyDescent="0.35">
      <c r="A921" t="s">
        <v>976</v>
      </c>
      <c r="B921" s="3">
        <v>45359</v>
      </c>
      <c r="C921" t="s">
        <v>3390</v>
      </c>
      <c r="D921" t="s">
        <v>6279</v>
      </c>
      <c r="E921">
        <v>2</v>
      </c>
      <c r="F921" t="str">
        <f>_xlfn.XLOOKUP(C921,customers!$A$1:$A$983,customers!$B$1:$B$983,,0)</f>
        <v>Zoe Taylor</v>
      </c>
      <c r="G921" t="str">
        <f>_xlfn.XLOOKUP(C921,customers!$A:$A,customers!$C:$C,,0)</f>
        <v>zoe.taylor909@yahoo.com</v>
      </c>
      <c r="H921" t="str">
        <f>IF(_xlfn.XLOOKUP(C921,customers!$A:$A,customers!$G:$G,,0)=0,"",_xlfn.XLOOKUP(C921,customers!$A:$A,customers!$G:$G,,0))</f>
        <v>France</v>
      </c>
      <c r="I921" t="str">
        <f>IF(_xlfn.XLOOKUP(D921,product!$A:$A,product!$E:$E,,0)=0,"",_xlfn.XLOOKUP(D921,product!$A:$A,product!$E:$E,,0))</f>
        <v>TECH</v>
      </c>
      <c r="J921" s="5">
        <f>IF(_xlfn.XLOOKUP(D921,product!$A:$A,product!$D:$D,,0)=0,"",_xlfn.XLOOKUP(D921,product!$A:$A,product!$D:$D,,0))</f>
        <v>14.02</v>
      </c>
      <c r="K921" s="7">
        <f t="shared" si="14"/>
        <v>28.04</v>
      </c>
      <c r="L921" s="10" t="str">
        <f>IF(_xlfn.XLOOKUP(D921,product!$A:$A,product!$F:$F,,0)=0,"",_xlfn.XLOOKUP(D921,product!$A:$A,product!$F:$F,,0))</f>
        <v>Yes</v>
      </c>
      <c r="M921" t="str">
        <f>IF(_xlfn.XLOOKUP(D921,product!$A:$A,product!G:G,,0)=0,"",_xlfn.XLOOKUP(D921,product!$A:$A,product!G:G,,0))</f>
        <v>Silver</v>
      </c>
      <c r="N921" t="str">
        <f>IF(_xlfn.XLOOKUP(D921,product!$A:$A,product!$B:$B,,0)=0,"",_xlfn.XLOOKUP(D921,product!$A:$A,product!$B:$B,,0))</f>
        <v>Journey Data</v>
      </c>
    </row>
    <row r="922" spans="1:14" x14ac:dyDescent="0.35">
      <c r="A922" t="s">
        <v>993</v>
      </c>
      <c r="B922" s="3">
        <v>44962</v>
      </c>
      <c r="C922" t="s">
        <v>1845</v>
      </c>
      <c r="D922" t="s">
        <v>6280</v>
      </c>
      <c r="E922">
        <v>2</v>
      </c>
      <c r="F922" t="str">
        <f>_xlfn.XLOOKUP(C922,customers!$A$1:$A$983,customers!$B$1:$B$983,,0)</f>
        <v>Paul Lewis</v>
      </c>
      <c r="G922" t="str">
        <f>_xlfn.XLOOKUP(C922,customers!$A:$A,customers!$C:$C,,0)</f>
        <v>paul.lewis212@gmail.com</v>
      </c>
      <c r="H922" t="str">
        <f>IF(_xlfn.XLOOKUP(C922,customers!$A:$A,customers!$G:$G,,0)=0,"",_xlfn.XLOOKUP(C922,customers!$A:$A,customers!$G:$G,,0))</f>
        <v>Egypt</v>
      </c>
      <c r="I922" t="str">
        <f>IF(_xlfn.XLOOKUP(D922,product!$A:$A,product!$E:$E,,0)=0,"",_xlfn.XLOOKUP(D922,product!$A:$A,product!$E:$E,,0))</f>
        <v>HISTORY</v>
      </c>
      <c r="J922" s="5">
        <f>IF(_xlfn.XLOOKUP(D922,product!$A:$A,product!$D:$D,,0)=0,"",_xlfn.XLOOKUP(D922,product!$A:$A,product!$D:$D,,0))</f>
        <v>35.49</v>
      </c>
      <c r="K922" s="7">
        <f t="shared" si="14"/>
        <v>70.98</v>
      </c>
      <c r="L922" s="10" t="str">
        <f>IF(_xlfn.XLOOKUP(D922,product!$A:$A,product!$F:$F,,0)=0,"",_xlfn.XLOOKUP(D922,product!$A:$A,product!$F:$F,,0))</f>
        <v>Yes</v>
      </c>
      <c r="M922" t="str">
        <f>IF(_xlfn.XLOOKUP(D922,product!$A:$A,product!G:G,,0)=0,"",_xlfn.XLOOKUP(D922,product!$A:$A,product!G:G,,0))</f>
        <v>Gold</v>
      </c>
      <c r="N922" t="str">
        <f>IF(_xlfn.XLOOKUP(D922,product!$A:$A,product!$B:$B,,0)=0,"",_xlfn.XLOOKUP(D922,product!$A:$A,product!$B:$B,,0))</f>
        <v>Science Future</v>
      </c>
    </row>
    <row r="923" spans="1:14" x14ac:dyDescent="0.35">
      <c r="A923" t="s">
        <v>1010</v>
      </c>
      <c r="B923" s="3">
        <v>45472</v>
      </c>
      <c r="C923" t="s">
        <v>2779</v>
      </c>
      <c r="D923" t="s">
        <v>6281</v>
      </c>
      <c r="E923">
        <v>2</v>
      </c>
      <c r="F923" t="str">
        <f>_xlfn.XLOOKUP(C923,customers!$A$1:$A$983,customers!$B$1:$B$983,,0)</f>
        <v>Sarah Anderson</v>
      </c>
      <c r="G923" t="str">
        <f>_xlfn.XLOOKUP(C923,customers!$A:$A,customers!$C:$C,,0)</f>
        <v>sarah.anderson606@hotmail.com</v>
      </c>
      <c r="H923" t="str">
        <f>IF(_xlfn.XLOOKUP(C923,customers!$A:$A,customers!$G:$G,,0)=0,"",_xlfn.XLOOKUP(C923,customers!$A:$A,customers!$G:$G,,0))</f>
        <v>Japan</v>
      </c>
      <c r="I923" t="str">
        <f>IF(_xlfn.XLOOKUP(D923,product!$A:$A,product!$E:$E,,0)=0,"",_xlfn.XLOOKUP(D923,product!$A:$A,product!$E:$E,,0))</f>
        <v>HISTORY</v>
      </c>
      <c r="J923" s="5">
        <f>IF(_xlfn.XLOOKUP(D923,product!$A:$A,product!$D:$D,,0)=0,"",_xlfn.XLOOKUP(D923,product!$A:$A,product!$D:$D,,0))</f>
        <v>19.48</v>
      </c>
      <c r="K923" s="7">
        <f t="shared" si="14"/>
        <v>38.96</v>
      </c>
      <c r="L923" s="10" t="str">
        <f>IF(_xlfn.XLOOKUP(D923,product!$A:$A,product!$F:$F,,0)=0,"",_xlfn.XLOOKUP(D923,product!$A:$A,product!$F:$F,,0))</f>
        <v>No</v>
      </c>
      <c r="M923" t="str">
        <f>IF(_xlfn.XLOOKUP(D923,product!$A:$A,product!G:G,,0)=0,"",_xlfn.XLOOKUP(D923,product!$A:$A,product!G:G,,0))</f>
        <v>Silver</v>
      </c>
      <c r="N923" t="str">
        <f>IF(_xlfn.XLOOKUP(D923,product!$A:$A,product!$B:$B,,0)=0,"",_xlfn.XLOOKUP(D923,product!$A:$A,product!$B:$B,,0))</f>
        <v>Journey Secrets</v>
      </c>
    </row>
    <row r="924" spans="1:14" x14ac:dyDescent="0.35">
      <c r="A924" t="s">
        <v>1027</v>
      </c>
      <c r="B924" s="3">
        <v>45063</v>
      </c>
      <c r="C924" t="s">
        <v>2681</v>
      </c>
      <c r="D924" t="s">
        <v>6282</v>
      </c>
      <c r="E924">
        <v>2</v>
      </c>
      <c r="F924" t="str">
        <f>_xlfn.XLOOKUP(C924,customers!$A$1:$A$983,customers!$B$1:$B$983,,0)</f>
        <v>Michael Martin</v>
      </c>
      <c r="G924" t="str">
        <f>_xlfn.XLOOKUP(C924,customers!$A:$A,customers!$C:$C,,0)</f>
        <v>michael.martin559@gmail.com</v>
      </c>
      <c r="H924" t="str">
        <f>IF(_xlfn.XLOOKUP(C924,customers!$A:$A,customers!$G:$G,,0)=0,"",_xlfn.XLOOKUP(C924,customers!$A:$A,customers!$G:$G,,0))</f>
        <v>USA</v>
      </c>
      <c r="I924" t="str">
        <f>IF(_xlfn.XLOOKUP(D924,product!$A:$A,product!$E:$E,,0)=0,"",_xlfn.XLOOKUP(D924,product!$A:$A,product!$E:$E,,0))</f>
        <v>SCIENCE</v>
      </c>
      <c r="J924" s="5">
        <f>IF(_xlfn.XLOOKUP(D924,product!$A:$A,product!$D:$D,,0)=0,"",_xlfn.XLOOKUP(D924,product!$A:$A,product!$D:$D,,0))</f>
        <v>39.590000000000003</v>
      </c>
      <c r="K924" s="7">
        <f t="shared" si="14"/>
        <v>79.180000000000007</v>
      </c>
      <c r="L924" s="10" t="str">
        <f>IF(_xlfn.XLOOKUP(D924,product!$A:$A,product!$F:$F,,0)=0,"",_xlfn.XLOOKUP(D924,product!$A:$A,product!$F:$F,,0))</f>
        <v>Yes</v>
      </c>
      <c r="M924" t="str">
        <f>IF(_xlfn.XLOOKUP(D924,product!$A:$A,product!G:G,,0)=0,"",_xlfn.XLOOKUP(D924,product!$A:$A,product!G:G,,0))</f>
        <v>Silver</v>
      </c>
      <c r="N924" t="str">
        <f>IF(_xlfn.XLOOKUP(D924,product!$A:$A,product!$B:$B,,0)=0,"",_xlfn.XLOOKUP(D924,product!$A:$A,product!$B:$B,,0))</f>
        <v>Power Science</v>
      </c>
    </row>
    <row r="925" spans="1:14" x14ac:dyDescent="0.35">
      <c r="A925" t="s">
        <v>1044</v>
      </c>
      <c r="B925" s="3">
        <v>45567</v>
      </c>
      <c r="C925" t="s">
        <v>2882</v>
      </c>
      <c r="D925" t="s">
        <v>6283</v>
      </c>
      <c r="E925">
        <v>2</v>
      </c>
      <c r="F925" t="str">
        <f>_xlfn.XLOOKUP(C925,customers!$A$1:$A$983,customers!$B$1:$B$983,,0)</f>
        <v>Lucy Scott</v>
      </c>
      <c r="G925" t="str">
        <f>_xlfn.XLOOKUP(C925,customers!$A:$A,customers!$C:$C,,0)</f>
        <v>lucy.scott656@yahoo.com</v>
      </c>
      <c r="H925" t="str">
        <f>IF(_xlfn.XLOOKUP(C925,customers!$A:$A,customers!$G:$G,,0)=0,"",_xlfn.XLOOKUP(C925,customers!$A:$A,customers!$G:$G,,0))</f>
        <v>Spain</v>
      </c>
      <c r="I925" t="str">
        <f>IF(_xlfn.XLOOKUP(D925,product!$A:$A,product!$E:$E,,0)=0,"",_xlfn.XLOOKUP(D925,product!$A:$A,product!$E:$E,,0))</f>
        <v>HISTORY</v>
      </c>
      <c r="J925" s="5">
        <f>IF(_xlfn.XLOOKUP(D925,product!$A:$A,product!$D:$D,,0)=0,"",_xlfn.XLOOKUP(D925,product!$A:$A,product!$D:$D,,0))</f>
        <v>33.83</v>
      </c>
      <c r="K925" s="7">
        <f t="shared" si="14"/>
        <v>67.66</v>
      </c>
      <c r="L925" s="10" t="str">
        <f>IF(_xlfn.XLOOKUP(D925,product!$A:$A,product!$F:$F,,0)=0,"",_xlfn.XLOOKUP(D925,product!$A:$A,product!$F:$F,,0))</f>
        <v>Yes</v>
      </c>
      <c r="M925" t="str">
        <f>IF(_xlfn.XLOOKUP(D925,product!$A:$A,product!G:G,,0)=0,"",_xlfn.XLOOKUP(D925,product!$A:$A,product!G:G,,0))</f>
        <v>None</v>
      </c>
      <c r="N925" t="str">
        <f>IF(_xlfn.XLOOKUP(D925,product!$A:$A,product!$B:$B,,0)=0,"",_xlfn.XLOOKUP(D925,product!$A:$A,product!$B:$B,,0))</f>
        <v>Future Silent</v>
      </c>
    </row>
    <row r="926" spans="1:14" x14ac:dyDescent="0.35">
      <c r="A926" t="s">
        <v>17</v>
      </c>
      <c r="B926" s="3">
        <v>45121</v>
      </c>
      <c r="C926" t="s">
        <v>2519</v>
      </c>
      <c r="D926" t="s">
        <v>6284</v>
      </c>
      <c r="E926">
        <v>2</v>
      </c>
      <c r="F926" t="str">
        <f>_xlfn.XLOOKUP(C926,customers!$A$1:$A$983,customers!$B$1:$B$983,,0)</f>
        <v>Mia Hall</v>
      </c>
      <c r="G926" t="str">
        <f>_xlfn.XLOOKUP(C926,customers!$A:$A,customers!$C:$C,,0)</f>
        <v>mia.hall481@hotmail.com</v>
      </c>
      <c r="H926" t="str">
        <f>IF(_xlfn.XLOOKUP(C926,customers!$A:$A,customers!$G:$G,,0)=0,"",_xlfn.XLOOKUP(C926,customers!$A:$A,customers!$G:$G,,0))</f>
        <v>Sweden</v>
      </c>
      <c r="I926" t="str">
        <f>IF(_xlfn.XLOOKUP(D926,product!$A:$A,product!$E:$E,,0)=0,"",_xlfn.XLOOKUP(D926,product!$A:$A,product!$E:$E,,0))</f>
        <v>SCIENCE</v>
      </c>
      <c r="J926" s="5">
        <f>IF(_xlfn.XLOOKUP(D926,product!$A:$A,product!$D:$D,,0)=0,"",_xlfn.XLOOKUP(D926,product!$A:$A,product!$D:$D,,0))</f>
        <v>30.91</v>
      </c>
      <c r="K926" s="7">
        <f t="shared" si="14"/>
        <v>61.82</v>
      </c>
      <c r="L926" s="10" t="str">
        <f>IF(_xlfn.XLOOKUP(D926,product!$A:$A,product!$F:$F,,0)=0,"",_xlfn.XLOOKUP(D926,product!$A:$A,product!$F:$F,,0))</f>
        <v>No</v>
      </c>
      <c r="M926" t="str">
        <f>IF(_xlfn.XLOOKUP(D926,product!$A:$A,product!G:G,,0)=0,"",_xlfn.XLOOKUP(D926,product!$A:$A,product!G:G,,0))</f>
        <v>Gold</v>
      </c>
      <c r="N926" t="str">
        <f>IF(_xlfn.XLOOKUP(D926,product!$A:$A,product!$B:$B,,0)=0,"",_xlfn.XLOOKUP(D926,product!$A:$A,product!$B:$B,,0))</f>
        <v>Future Power</v>
      </c>
    </row>
    <row r="927" spans="1:14" x14ac:dyDescent="0.35">
      <c r="A927" t="s">
        <v>28</v>
      </c>
      <c r="B927" s="3">
        <v>45529</v>
      </c>
      <c r="C927" t="s">
        <v>2304</v>
      </c>
      <c r="D927" t="s">
        <v>6285</v>
      </c>
      <c r="E927">
        <v>2</v>
      </c>
      <c r="F927" t="str">
        <f>_xlfn.XLOOKUP(C927,customers!$A$1:$A$983,customers!$B$1:$B$983,,0)</f>
        <v>David Lewis</v>
      </c>
      <c r="G927" t="str">
        <f>_xlfn.XLOOKUP(C927,customers!$A:$A,customers!$C:$C,,0)</f>
        <v>david.lewis381@hotmail.com</v>
      </c>
      <c r="H927" t="str">
        <f>IF(_xlfn.XLOOKUP(C927,customers!$A:$A,customers!$G:$G,,0)=0,"",_xlfn.XLOOKUP(C927,customers!$A:$A,customers!$G:$G,,0))</f>
        <v>Japan</v>
      </c>
      <c r="I927" t="str">
        <f>IF(_xlfn.XLOOKUP(D927,product!$A:$A,product!$E:$E,,0)=0,"",_xlfn.XLOOKUP(D927,product!$A:$A,product!$E:$E,,0))</f>
        <v>SCIENCE</v>
      </c>
      <c r="J927" s="5">
        <f>IF(_xlfn.XLOOKUP(D927,product!$A:$A,product!$D:$D,,0)=0,"",_xlfn.XLOOKUP(D927,product!$A:$A,product!$D:$D,,0))</f>
        <v>30.66</v>
      </c>
      <c r="K927" s="7">
        <f t="shared" si="14"/>
        <v>61.32</v>
      </c>
      <c r="L927" s="10" t="str">
        <f>IF(_xlfn.XLOOKUP(D927,product!$A:$A,product!$F:$F,,0)=0,"",_xlfn.XLOOKUP(D927,product!$A:$A,product!$F:$F,,0))</f>
        <v>No</v>
      </c>
      <c r="M927" t="str">
        <f>IF(_xlfn.XLOOKUP(D927,product!$A:$A,product!G:G,,0)=0,"",_xlfn.XLOOKUP(D927,product!$A:$A,product!G:G,,0))</f>
        <v>None</v>
      </c>
      <c r="N927" t="str">
        <f>IF(_xlfn.XLOOKUP(D927,product!$A:$A,product!$B:$B,,0)=0,"",_xlfn.XLOOKUP(D927,product!$A:$A,product!$B:$B,,0))</f>
        <v>Science Secrets</v>
      </c>
    </row>
    <row r="928" spans="1:14" x14ac:dyDescent="0.35">
      <c r="A928" t="s">
        <v>45</v>
      </c>
      <c r="B928" s="3">
        <v>44955</v>
      </c>
      <c r="C928" t="s">
        <v>2978</v>
      </c>
      <c r="D928" t="s">
        <v>6286</v>
      </c>
      <c r="E928">
        <v>1</v>
      </c>
      <c r="F928" t="str">
        <f>_xlfn.XLOOKUP(C928,customers!$A$1:$A$983,customers!$B$1:$B$983,,0)</f>
        <v>William Smith</v>
      </c>
      <c r="G928" t="str">
        <f>_xlfn.XLOOKUP(C928,customers!$A:$A,customers!$C:$C,,0)</f>
        <v>william.smith703@yahoo.com</v>
      </c>
      <c r="H928" t="str">
        <f>IF(_xlfn.XLOOKUP(C928,customers!$A:$A,customers!$G:$G,,0)=0,"",_xlfn.XLOOKUP(C928,customers!$A:$A,customers!$G:$G,,0))</f>
        <v>USA</v>
      </c>
      <c r="I928" t="str">
        <f>IF(_xlfn.XLOOKUP(D928,product!$A:$A,product!$E:$E,,0)=0,"",_xlfn.XLOOKUP(D928,product!$A:$A,product!$E:$E,,0))</f>
        <v>HISTORY</v>
      </c>
      <c r="J928" s="5">
        <f>IF(_xlfn.XLOOKUP(D928,product!$A:$A,product!$D:$D,,0)=0,"",_xlfn.XLOOKUP(D928,product!$A:$A,product!$D:$D,,0))</f>
        <v>20.43</v>
      </c>
      <c r="K928" s="7">
        <f t="shared" si="14"/>
        <v>20.43</v>
      </c>
      <c r="L928" s="10" t="str">
        <f>IF(_xlfn.XLOOKUP(D928,product!$A:$A,product!$F:$F,,0)=0,"",_xlfn.XLOOKUP(D928,product!$A:$A,product!$F:$F,,0))</f>
        <v>No</v>
      </c>
      <c r="M928" t="str">
        <f>IF(_xlfn.XLOOKUP(D928,product!$A:$A,product!G:G,,0)=0,"",_xlfn.XLOOKUP(D928,product!$A:$A,product!G:G,,0))</f>
        <v>None</v>
      </c>
      <c r="N928" t="str">
        <f>IF(_xlfn.XLOOKUP(D928,product!$A:$A,product!$B:$B,,0)=0,"",_xlfn.XLOOKUP(D928,product!$A:$A,product!$B:$B,,0))</f>
        <v>Journey Power</v>
      </c>
    </row>
    <row r="929" spans="1:14" x14ac:dyDescent="0.35">
      <c r="A929" t="s">
        <v>132</v>
      </c>
      <c r="B929" s="3">
        <v>45393</v>
      </c>
      <c r="C929" t="s">
        <v>1808</v>
      </c>
      <c r="D929" t="s">
        <v>6287</v>
      </c>
      <c r="E929">
        <v>2</v>
      </c>
      <c r="F929" t="str">
        <f>_xlfn.XLOOKUP(C929,customers!$A$1:$A$983,customers!$B$1:$B$983,,0)</f>
        <v>Daniel Anderson</v>
      </c>
      <c r="G929" t="str">
        <f>_xlfn.XLOOKUP(C929,customers!$A:$A,customers!$C:$C,,0)</f>
        <v>daniel.anderson201@yahoo.com</v>
      </c>
      <c r="H929" t="str">
        <f>IF(_xlfn.XLOOKUP(C929,customers!$A:$A,customers!$G:$G,,0)=0,"",_xlfn.XLOOKUP(C929,customers!$A:$A,customers!$G:$G,,0))</f>
        <v>Japan</v>
      </c>
      <c r="I929" t="str">
        <f>IF(_xlfn.XLOOKUP(D929,product!$A:$A,product!$E:$E,,0)=0,"",_xlfn.XLOOKUP(D929,product!$A:$A,product!$E:$E,,0))</f>
        <v>FICTION</v>
      </c>
      <c r="J929" s="5">
        <f>IF(_xlfn.XLOOKUP(D929,product!$A:$A,product!$D:$D,,0)=0,"",_xlfn.XLOOKUP(D929,product!$A:$A,product!$D:$D,,0))</f>
        <v>27.72</v>
      </c>
      <c r="K929" s="7">
        <f t="shared" si="14"/>
        <v>55.44</v>
      </c>
      <c r="L929" s="10" t="str">
        <f>IF(_xlfn.XLOOKUP(D929,product!$A:$A,product!$F:$F,,0)=0,"",_xlfn.XLOOKUP(D929,product!$A:$A,product!$F:$F,,0))</f>
        <v>Yes</v>
      </c>
      <c r="M929" t="str">
        <f>IF(_xlfn.XLOOKUP(D929,product!$A:$A,product!G:G,,0)=0,"",_xlfn.XLOOKUP(D929,product!$A:$A,product!G:G,,0))</f>
        <v>None</v>
      </c>
      <c r="N929" t="str">
        <f>IF(_xlfn.XLOOKUP(D929,product!$A:$A,product!$B:$B,,0)=0,"",_xlfn.XLOOKUP(D929,product!$A:$A,product!$B:$B,,0))</f>
        <v>Silent Science</v>
      </c>
    </row>
    <row r="930" spans="1:14" x14ac:dyDescent="0.35">
      <c r="A930" t="s">
        <v>149</v>
      </c>
      <c r="B930" s="3">
        <v>45174</v>
      </c>
      <c r="C930" t="s">
        <v>3487</v>
      </c>
      <c r="D930" t="s">
        <v>6288</v>
      </c>
      <c r="E930">
        <v>1</v>
      </c>
      <c r="F930" t="str">
        <f>_xlfn.XLOOKUP(C930,customers!$A$1:$A$983,customers!$B$1:$B$983,,0)</f>
        <v>James Baker</v>
      </c>
      <c r="G930" t="str">
        <f>_xlfn.XLOOKUP(C930,customers!$A:$A,customers!$C:$C,,0)</f>
        <v>james.baker958@yahoo.com</v>
      </c>
      <c r="H930" t="str">
        <f>IF(_xlfn.XLOOKUP(C930,customers!$A:$A,customers!$G:$G,,0)=0,"",_xlfn.XLOOKUP(C930,customers!$A:$A,customers!$G:$G,,0))</f>
        <v>Turkey</v>
      </c>
      <c r="I930" t="str">
        <f>IF(_xlfn.XLOOKUP(D930,product!$A:$A,product!$E:$E,,0)=0,"",_xlfn.XLOOKUP(D930,product!$A:$A,product!$E:$E,,0))</f>
        <v>BUSINESS</v>
      </c>
      <c r="J930" s="5">
        <f>IF(_xlfn.XLOOKUP(D930,product!$A:$A,product!$D:$D,,0)=0,"",_xlfn.XLOOKUP(D930,product!$A:$A,product!$D:$D,,0))</f>
        <v>35.520000000000003</v>
      </c>
      <c r="K930" s="7">
        <f t="shared" si="14"/>
        <v>35.520000000000003</v>
      </c>
      <c r="L930" s="10" t="str">
        <f>IF(_xlfn.XLOOKUP(D930,product!$A:$A,product!$F:$F,,0)=0,"",_xlfn.XLOOKUP(D930,product!$A:$A,product!$F:$F,,0))</f>
        <v>No</v>
      </c>
      <c r="M930" t="str">
        <f>IF(_xlfn.XLOOKUP(D930,product!$A:$A,product!G:G,,0)=0,"",_xlfn.XLOOKUP(D930,product!$A:$A,product!G:G,,0))</f>
        <v>Gold</v>
      </c>
      <c r="N930" t="str">
        <f>IF(_xlfn.XLOOKUP(D930,product!$A:$A,product!$B:$B,,0)=0,"",_xlfn.XLOOKUP(D930,product!$A:$A,product!$B:$B,,0))</f>
        <v>Secrets Data</v>
      </c>
    </row>
    <row r="931" spans="1:14" x14ac:dyDescent="0.35">
      <c r="A931" t="s">
        <v>166</v>
      </c>
      <c r="B931" s="3">
        <v>45648</v>
      </c>
      <c r="C931" t="s">
        <v>3261</v>
      </c>
      <c r="D931" t="s">
        <v>6289</v>
      </c>
      <c r="E931">
        <v>2</v>
      </c>
      <c r="F931" t="str">
        <f>_xlfn.XLOOKUP(C931,customers!$A$1:$A$983,customers!$B$1:$B$983,,0)</f>
        <v>Anna Baker</v>
      </c>
      <c r="G931" t="str">
        <f>_xlfn.XLOOKUP(C931,customers!$A:$A,customers!$C:$C,,0)</f>
        <v>anna.baker844@outlook.com</v>
      </c>
      <c r="H931" t="str">
        <f>IF(_xlfn.XLOOKUP(C931,customers!$A:$A,customers!$G:$G,,0)=0,"",_xlfn.XLOOKUP(C931,customers!$A:$A,customers!$G:$G,,0))</f>
        <v>Italy</v>
      </c>
      <c r="I931" t="str">
        <f>IF(_xlfn.XLOOKUP(D931,product!$A:$A,product!$E:$E,,0)=0,"",_xlfn.XLOOKUP(D931,product!$A:$A,product!$E:$E,,0))</f>
        <v>FICTION</v>
      </c>
      <c r="J931" s="5">
        <f>IF(_xlfn.XLOOKUP(D931,product!$A:$A,product!$D:$D,,0)=0,"",_xlfn.XLOOKUP(D931,product!$A:$A,product!$D:$D,,0))</f>
        <v>21.47</v>
      </c>
      <c r="K931" s="7">
        <f t="shared" si="14"/>
        <v>42.94</v>
      </c>
      <c r="L931" s="10" t="str">
        <f>IF(_xlfn.XLOOKUP(D931,product!$A:$A,product!$F:$F,,0)=0,"",_xlfn.XLOOKUP(D931,product!$A:$A,product!$F:$F,,0))</f>
        <v>No</v>
      </c>
      <c r="M931" t="str">
        <f>IF(_xlfn.XLOOKUP(D931,product!$A:$A,product!G:G,,0)=0,"",_xlfn.XLOOKUP(D931,product!$A:$A,product!G:G,,0))</f>
        <v>Silver</v>
      </c>
      <c r="N931" t="str">
        <f>IF(_xlfn.XLOOKUP(D931,product!$A:$A,product!$B:$B,,0)=0,"",_xlfn.XLOOKUP(D931,product!$A:$A,product!$B:$B,,0))</f>
        <v>Forest Secrets</v>
      </c>
    </row>
    <row r="932" spans="1:14" x14ac:dyDescent="0.35">
      <c r="A932" t="s">
        <v>183</v>
      </c>
      <c r="B932" s="3">
        <v>44994</v>
      </c>
      <c r="C932" t="s">
        <v>1649</v>
      </c>
      <c r="D932" t="s">
        <v>6290</v>
      </c>
      <c r="E932">
        <v>2</v>
      </c>
      <c r="F932" t="str">
        <f>_xlfn.XLOOKUP(C932,customers!$A$1:$A$983,customers!$B$1:$B$983,,0)</f>
        <v>Mark Hall</v>
      </c>
      <c r="G932" t="str">
        <f>_xlfn.XLOOKUP(C932,customers!$A:$A,customers!$C:$C,,0)</f>
        <v>mark.hall160@yahoo.com</v>
      </c>
      <c r="H932" t="str">
        <f>IF(_xlfn.XLOOKUP(C932,customers!$A:$A,customers!$G:$G,,0)=0,"",_xlfn.XLOOKUP(C932,customers!$A:$A,customers!$G:$G,,0))</f>
        <v>Japan</v>
      </c>
      <c r="I932" t="str">
        <f>IF(_xlfn.XLOOKUP(D932,product!$A:$A,product!$E:$E,,0)=0,"",_xlfn.XLOOKUP(D932,product!$A:$A,product!$E:$E,,0))</f>
        <v>TECH</v>
      </c>
      <c r="J932" s="5">
        <f>IF(_xlfn.XLOOKUP(D932,product!$A:$A,product!$D:$D,,0)=0,"",_xlfn.XLOOKUP(D932,product!$A:$A,product!$D:$D,,0))</f>
        <v>38.229999999999997</v>
      </c>
      <c r="K932" s="7">
        <f t="shared" si="14"/>
        <v>76.459999999999994</v>
      </c>
      <c r="L932" s="10" t="str">
        <f>IF(_xlfn.XLOOKUP(D932,product!$A:$A,product!$F:$F,,0)=0,"",_xlfn.XLOOKUP(D932,product!$A:$A,product!$F:$F,,0))</f>
        <v>Yes</v>
      </c>
      <c r="M932" t="str">
        <f>IF(_xlfn.XLOOKUP(D932,product!$A:$A,product!G:G,,0)=0,"",_xlfn.XLOOKUP(D932,product!$A:$A,product!G:G,,0))</f>
        <v>Gold</v>
      </c>
      <c r="N932" t="str">
        <f>IF(_xlfn.XLOOKUP(D932,product!$A:$A,product!$B:$B,,0)=0,"",_xlfn.XLOOKUP(D932,product!$A:$A,product!$B:$B,,0))</f>
        <v>Forest Secrets</v>
      </c>
    </row>
    <row r="933" spans="1:14" x14ac:dyDescent="0.35">
      <c r="A933" t="s">
        <v>200</v>
      </c>
      <c r="B933" s="3">
        <v>45347</v>
      </c>
      <c r="C933" t="s">
        <v>2604</v>
      </c>
      <c r="D933" t="s">
        <v>6291</v>
      </c>
      <c r="E933">
        <v>2</v>
      </c>
      <c r="F933" t="str">
        <f>_xlfn.XLOOKUP(C933,customers!$A$1:$A$983,customers!$B$1:$B$983,,0)</f>
        <v>David Hall</v>
      </c>
      <c r="G933" t="str">
        <f>_xlfn.XLOOKUP(C933,customers!$A:$A,customers!$C:$C,,0)</f>
        <v>david.hall522@hotmail.com</v>
      </c>
      <c r="H933" t="str">
        <f>IF(_xlfn.XLOOKUP(C933,customers!$A:$A,customers!$G:$G,,0)=0,"",_xlfn.XLOOKUP(C933,customers!$A:$A,customers!$G:$G,,0))</f>
        <v>Germany</v>
      </c>
      <c r="I933" t="str">
        <f>IF(_xlfn.XLOOKUP(D933,product!$A:$A,product!$E:$E,,0)=0,"",_xlfn.XLOOKUP(D933,product!$A:$A,product!$E:$E,,0))</f>
        <v>TECH</v>
      </c>
      <c r="J933" s="5">
        <f>IF(_xlfn.XLOOKUP(D933,product!$A:$A,product!$D:$D,,0)=0,"",_xlfn.XLOOKUP(D933,product!$A:$A,product!$D:$D,,0))</f>
        <v>14.45</v>
      </c>
      <c r="K933" s="7">
        <f t="shared" si="14"/>
        <v>28.9</v>
      </c>
      <c r="L933" s="10" t="str">
        <f>IF(_xlfn.XLOOKUP(D933,product!$A:$A,product!$F:$F,,0)=0,"",_xlfn.XLOOKUP(D933,product!$A:$A,product!$F:$F,,0))</f>
        <v>Yes</v>
      </c>
      <c r="M933" t="str">
        <f>IF(_xlfn.XLOOKUP(D933,product!$A:$A,product!G:G,,0)=0,"",_xlfn.XLOOKUP(D933,product!$A:$A,product!G:G,,0))</f>
        <v>None</v>
      </c>
      <c r="N933" t="str">
        <f>IF(_xlfn.XLOOKUP(D933,product!$A:$A,product!$B:$B,,0)=0,"",_xlfn.XLOOKUP(D933,product!$A:$A,product!$B:$B,,0))</f>
        <v>Data Silent</v>
      </c>
    </row>
    <row r="934" spans="1:14" x14ac:dyDescent="0.35">
      <c r="A934" t="s">
        <v>217</v>
      </c>
      <c r="B934" s="3">
        <v>45152</v>
      </c>
      <c r="C934" t="s">
        <v>1464</v>
      </c>
      <c r="D934" t="s">
        <v>6292</v>
      </c>
      <c r="E934">
        <v>2</v>
      </c>
      <c r="F934" t="str">
        <f>_xlfn.XLOOKUP(C934,customers!$A$1:$A$983,customers!$B$1:$B$983,,0)</f>
        <v>Joshua Harris</v>
      </c>
      <c r="G934" t="str">
        <f>_xlfn.XLOOKUP(C934,customers!$A:$A,customers!$C:$C,,0)</f>
        <v>joshua.harris112@yahoo.com</v>
      </c>
      <c r="H934" t="str">
        <f>IF(_xlfn.XLOOKUP(C934,customers!$A:$A,customers!$G:$G,,0)=0,"",_xlfn.XLOOKUP(C934,customers!$A:$A,customers!$G:$G,,0))</f>
        <v>Sweden</v>
      </c>
      <c r="I934" t="str">
        <f>IF(_xlfn.XLOOKUP(D934,product!$A:$A,product!$E:$E,,0)=0,"",_xlfn.XLOOKUP(D934,product!$A:$A,product!$E:$E,,0))</f>
        <v>SCIENCE</v>
      </c>
      <c r="J934" s="5">
        <f>IF(_xlfn.XLOOKUP(D934,product!$A:$A,product!$D:$D,,0)=0,"",_xlfn.XLOOKUP(D934,product!$A:$A,product!$D:$D,,0))</f>
        <v>35.79</v>
      </c>
      <c r="K934" s="7">
        <f t="shared" si="14"/>
        <v>71.58</v>
      </c>
      <c r="L934" s="10" t="str">
        <f>IF(_xlfn.XLOOKUP(D934,product!$A:$A,product!$F:$F,,0)=0,"",_xlfn.XLOOKUP(D934,product!$A:$A,product!$F:$F,,0))</f>
        <v>Yes</v>
      </c>
      <c r="M934" t="str">
        <f>IF(_xlfn.XLOOKUP(D934,product!$A:$A,product!G:G,,0)=0,"",_xlfn.XLOOKUP(D934,product!$A:$A,product!G:G,,0))</f>
        <v>Gold</v>
      </c>
      <c r="N934" t="str">
        <f>IF(_xlfn.XLOOKUP(D934,product!$A:$A,product!$B:$B,,0)=0,"",_xlfn.XLOOKUP(D934,product!$A:$A,product!$B:$B,,0))</f>
        <v>Quantum Mind</v>
      </c>
    </row>
    <row r="935" spans="1:14" x14ac:dyDescent="0.35">
      <c r="A935" t="s">
        <v>234</v>
      </c>
      <c r="B935" s="3">
        <v>45431</v>
      </c>
      <c r="C935" t="s">
        <v>3406</v>
      </c>
      <c r="D935" t="s">
        <v>6293</v>
      </c>
      <c r="E935">
        <v>2</v>
      </c>
      <c r="F935" t="str">
        <f>_xlfn.XLOOKUP(C935,customers!$A$1:$A$983,customers!$B$1:$B$983,,0)</f>
        <v>Jessica Walker</v>
      </c>
      <c r="G935" t="str">
        <f>_xlfn.XLOOKUP(C935,customers!$A:$A,customers!$C:$C,,0)</f>
        <v>jessica.walker917@yahoo.com</v>
      </c>
      <c r="H935" t="str">
        <f>IF(_xlfn.XLOOKUP(C935,customers!$A:$A,customers!$G:$G,,0)=0,"",_xlfn.XLOOKUP(C935,customers!$A:$A,customers!$G:$G,,0))</f>
        <v>Sweden</v>
      </c>
      <c r="I935" t="str">
        <f>IF(_xlfn.XLOOKUP(D935,product!$A:$A,product!$E:$E,,0)=0,"",_xlfn.XLOOKUP(D935,product!$A:$A,product!$E:$E,,0))</f>
        <v>HISTORY</v>
      </c>
      <c r="J935" s="5">
        <f>IF(_xlfn.XLOOKUP(D935,product!$A:$A,product!$D:$D,,0)=0,"",_xlfn.XLOOKUP(D935,product!$A:$A,product!$D:$D,,0))</f>
        <v>13.38</v>
      </c>
      <c r="K935" s="7">
        <f t="shared" si="14"/>
        <v>26.76</v>
      </c>
      <c r="L935" s="10" t="str">
        <f>IF(_xlfn.XLOOKUP(D935,product!$A:$A,product!$F:$F,,0)=0,"",_xlfn.XLOOKUP(D935,product!$A:$A,product!$F:$F,,0))</f>
        <v>Yes</v>
      </c>
      <c r="M935" t="str">
        <f>IF(_xlfn.XLOOKUP(D935,product!$A:$A,product!G:G,,0)=0,"",_xlfn.XLOOKUP(D935,product!$A:$A,product!G:G,,0))</f>
        <v>None</v>
      </c>
      <c r="N935" t="str">
        <f>IF(_xlfn.XLOOKUP(D935,product!$A:$A,product!$B:$B,,0)=0,"",_xlfn.XLOOKUP(D935,product!$A:$A,product!$B:$B,,0))</f>
        <v>Journey Silent</v>
      </c>
    </row>
    <row r="936" spans="1:14" x14ac:dyDescent="0.35">
      <c r="A936" t="s">
        <v>251</v>
      </c>
      <c r="B936" s="3">
        <v>45247</v>
      </c>
      <c r="C936" t="s">
        <v>2252</v>
      </c>
      <c r="D936" t="s">
        <v>6294</v>
      </c>
      <c r="E936">
        <v>2</v>
      </c>
      <c r="F936" t="str">
        <f>_xlfn.XLOOKUP(C936,customers!$A$1:$A$983,customers!$B$1:$B$983,,0)</f>
        <v>Steven Baker</v>
      </c>
      <c r="G936" t="str">
        <f>_xlfn.XLOOKUP(C936,customers!$A:$A,customers!$C:$C,,0)</f>
        <v>steven.baker359@hotmail.com</v>
      </c>
      <c r="H936" t="str">
        <f>IF(_xlfn.XLOOKUP(C936,customers!$A:$A,customers!$G:$G,,0)=0,"",_xlfn.XLOOKUP(C936,customers!$A:$A,customers!$G:$G,,0))</f>
        <v>Spain</v>
      </c>
      <c r="I936" t="str">
        <f>IF(_xlfn.XLOOKUP(D936,product!$A:$A,product!$E:$E,,0)=0,"",_xlfn.XLOOKUP(D936,product!$A:$A,product!$E:$E,,0))</f>
        <v>FICTION</v>
      </c>
      <c r="J936" s="5">
        <f>IF(_xlfn.XLOOKUP(D936,product!$A:$A,product!$D:$D,,0)=0,"",_xlfn.XLOOKUP(D936,product!$A:$A,product!$D:$D,,0))</f>
        <v>10.63</v>
      </c>
      <c r="K936" s="7">
        <f t="shared" si="14"/>
        <v>21.26</v>
      </c>
      <c r="L936" s="10" t="str">
        <f>IF(_xlfn.XLOOKUP(D936,product!$A:$A,product!$F:$F,,0)=0,"",_xlfn.XLOOKUP(D936,product!$A:$A,product!$F:$F,,0))</f>
        <v>No</v>
      </c>
      <c r="M936" t="str">
        <f>IF(_xlfn.XLOOKUP(D936,product!$A:$A,product!G:G,,0)=0,"",_xlfn.XLOOKUP(D936,product!$A:$A,product!G:G,,0))</f>
        <v>Gold</v>
      </c>
      <c r="N936" t="str">
        <f>IF(_xlfn.XLOOKUP(D936,product!$A:$A,product!$B:$B,,0)=0,"",_xlfn.XLOOKUP(D936,product!$A:$A,product!$B:$B,,0))</f>
        <v>Silent Journey</v>
      </c>
    </row>
    <row r="937" spans="1:14" x14ac:dyDescent="0.35">
      <c r="A937" t="s">
        <v>268</v>
      </c>
      <c r="B937" s="3">
        <v>45482</v>
      </c>
      <c r="C937" t="s">
        <v>2363</v>
      </c>
      <c r="D937" t="s">
        <v>6295</v>
      </c>
      <c r="E937">
        <v>2</v>
      </c>
      <c r="F937" t="str">
        <f>_xlfn.XLOOKUP(C937,customers!$A$1:$A$983,customers!$B$1:$B$983,,0)</f>
        <v>Paul Adams</v>
      </c>
      <c r="G937" t="str">
        <f>_xlfn.XLOOKUP(C937,customers!$A:$A,customers!$C:$C,,0)</f>
        <v>paul.adams408@gmail.com</v>
      </c>
      <c r="H937" t="str">
        <f>IF(_xlfn.XLOOKUP(C937,customers!$A:$A,customers!$G:$G,,0)=0,"",_xlfn.XLOOKUP(C937,customers!$A:$A,customers!$G:$G,,0))</f>
        <v>Japan</v>
      </c>
      <c r="I937" t="str">
        <f>IF(_xlfn.XLOOKUP(D937,product!$A:$A,product!$E:$E,,0)=0,"",_xlfn.XLOOKUP(D937,product!$A:$A,product!$E:$E,,0))</f>
        <v>HISTORY</v>
      </c>
      <c r="J937" s="5">
        <f>IF(_xlfn.XLOOKUP(D937,product!$A:$A,product!$D:$D,,0)=0,"",_xlfn.XLOOKUP(D937,product!$A:$A,product!$D:$D,,0))</f>
        <v>36.450000000000003</v>
      </c>
      <c r="K937" s="7">
        <f t="shared" si="14"/>
        <v>72.900000000000006</v>
      </c>
      <c r="L937" s="10" t="str">
        <f>IF(_xlfn.XLOOKUP(D937,product!$A:$A,product!$F:$F,,0)=0,"",_xlfn.XLOOKUP(D937,product!$A:$A,product!$F:$F,,0))</f>
        <v>No</v>
      </c>
      <c r="M937" t="str">
        <f>IF(_xlfn.XLOOKUP(D937,product!$A:$A,product!G:G,,0)=0,"",_xlfn.XLOOKUP(D937,product!$A:$A,product!G:G,,0))</f>
        <v>Silver</v>
      </c>
      <c r="N937" t="str">
        <f>IF(_xlfn.XLOOKUP(D937,product!$A:$A,product!$B:$B,,0)=0,"",_xlfn.XLOOKUP(D937,product!$A:$A,product!$B:$B,,0))</f>
        <v>Silent Data</v>
      </c>
    </row>
    <row r="938" spans="1:14" x14ac:dyDescent="0.35">
      <c r="A938" t="s">
        <v>285</v>
      </c>
      <c r="B938" s="3">
        <v>45104</v>
      </c>
      <c r="C938" t="s">
        <v>1948</v>
      </c>
      <c r="D938" t="s">
        <v>6296</v>
      </c>
      <c r="E938">
        <v>2</v>
      </c>
      <c r="F938" t="str">
        <f>_xlfn.XLOOKUP(C938,customers!$A$1:$A$983,customers!$B$1:$B$983,,0)</f>
        <v>Hannah Clark</v>
      </c>
      <c r="G938" t="str">
        <f>_xlfn.XLOOKUP(C938,customers!$A:$A,customers!$C:$C,,0)</f>
        <v>hannah.clark244@gmail.com</v>
      </c>
      <c r="H938" t="str">
        <f>IF(_xlfn.XLOOKUP(C938,customers!$A:$A,customers!$G:$G,,0)=0,"",_xlfn.XLOOKUP(C938,customers!$A:$A,customers!$G:$G,,0))</f>
        <v>USA</v>
      </c>
      <c r="I938" t="str">
        <f>IF(_xlfn.XLOOKUP(D938,product!$A:$A,product!$E:$E,,0)=0,"",_xlfn.XLOOKUP(D938,product!$A:$A,product!$E:$E,,0))</f>
        <v>HISTORY</v>
      </c>
      <c r="J938" s="5">
        <f>IF(_xlfn.XLOOKUP(D938,product!$A:$A,product!$D:$D,,0)=0,"",_xlfn.XLOOKUP(D938,product!$A:$A,product!$D:$D,,0))</f>
        <v>30.55</v>
      </c>
      <c r="K938" s="7">
        <f t="shared" si="14"/>
        <v>61.1</v>
      </c>
      <c r="L938" s="10" t="str">
        <f>IF(_xlfn.XLOOKUP(D938,product!$A:$A,product!$F:$F,,0)=0,"",_xlfn.XLOOKUP(D938,product!$A:$A,product!$F:$F,,0))</f>
        <v>No</v>
      </c>
      <c r="M938" t="str">
        <f>IF(_xlfn.XLOOKUP(D938,product!$A:$A,product!G:G,,0)=0,"",_xlfn.XLOOKUP(D938,product!$A:$A,product!G:G,,0))</f>
        <v>None</v>
      </c>
      <c r="N938" t="str">
        <f>IF(_xlfn.XLOOKUP(D938,product!$A:$A,product!$B:$B,,0)=0,"",_xlfn.XLOOKUP(D938,product!$A:$A,product!$B:$B,,0))</f>
        <v>Journey Forest</v>
      </c>
    </row>
    <row r="939" spans="1:14" x14ac:dyDescent="0.35">
      <c r="A939" t="s">
        <v>302</v>
      </c>
      <c r="B939" s="3">
        <v>45548</v>
      </c>
      <c r="C939" t="s">
        <v>1971</v>
      </c>
      <c r="D939" t="s">
        <v>6297</v>
      </c>
      <c r="E939">
        <v>2</v>
      </c>
      <c r="F939" t="str">
        <f>_xlfn.XLOOKUP(C939,customers!$A$1:$A$983,customers!$B$1:$B$983,,0)</f>
        <v>Sarah Martinez</v>
      </c>
      <c r="G939" t="str">
        <f>_xlfn.XLOOKUP(C939,customers!$A:$A,customers!$C:$C,,0)</f>
        <v>sarah.martinez251@outlook.com</v>
      </c>
      <c r="H939" t="str">
        <f>IF(_xlfn.XLOOKUP(C939,customers!$A:$A,customers!$G:$G,,0)=0,"",_xlfn.XLOOKUP(C939,customers!$A:$A,customers!$G:$G,,0))</f>
        <v>Spain</v>
      </c>
      <c r="I939" t="str">
        <f>IF(_xlfn.XLOOKUP(D939,product!$A:$A,product!$E:$E,,0)=0,"",_xlfn.XLOOKUP(D939,product!$A:$A,product!$E:$E,,0))</f>
        <v>HISTORY</v>
      </c>
      <c r="J939" s="5">
        <f>IF(_xlfn.XLOOKUP(D939,product!$A:$A,product!$D:$D,,0)=0,"",_xlfn.XLOOKUP(D939,product!$A:$A,product!$D:$D,,0))</f>
        <v>20.74</v>
      </c>
      <c r="K939" s="7">
        <f t="shared" si="14"/>
        <v>41.48</v>
      </c>
      <c r="L939" s="10" t="str">
        <f>IF(_xlfn.XLOOKUP(D939,product!$A:$A,product!$F:$F,,0)=0,"",_xlfn.XLOOKUP(D939,product!$A:$A,product!$F:$F,,0))</f>
        <v>Yes</v>
      </c>
      <c r="M939" t="str">
        <f>IF(_xlfn.XLOOKUP(D939,product!$A:$A,product!G:G,,0)=0,"",_xlfn.XLOOKUP(D939,product!$A:$A,product!G:G,,0))</f>
        <v>None</v>
      </c>
      <c r="N939" t="str">
        <f>IF(_xlfn.XLOOKUP(D939,product!$A:$A,product!$B:$B,,0)=0,"",_xlfn.XLOOKUP(D939,product!$A:$A,product!$B:$B,,0))</f>
        <v>Secrets Science</v>
      </c>
    </row>
    <row r="940" spans="1:14" x14ac:dyDescent="0.35">
      <c r="A940" t="s">
        <v>319</v>
      </c>
      <c r="B940" s="3">
        <v>45046</v>
      </c>
      <c r="C940" t="s">
        <v>2926</v>
      </c>
      <c r="D940" t="s">
        <v>6298</v>
      </c>
      <c r="E940">
        <v>2</v>
      </c>
      <c r="F940" t="str">
        <f>_xlfn.XLOOKUP(C940,customers!$A$1:$A$983,customers!$B$1:$B$983,,0)</f>
        <v>Chloe Hall</v>
      </c>
      <c r="G940" t="str">
        <f>_xlfn.XLOOKUP(C940,customers!$A:$A,customers!$C:$C,,0)</f>
        <v>chloe.hall678@gmail.com</v>
      </c>
      <c r="H940" t="str">
        <f>IF(_xlfn.XLOOKUP(C940,customers!$A:$A,customers!$G:$G,,0)=0,"",_xlfn.XLOOKUP(C940,customers!$A:$A,customers!$G:$G,,0))</f>
        <v>Japan</v>
      </c>
      <c r="I940" t="str">
        <f>IF(_xlfn.XLOOKUP(D940,product!$A:$A,product!$E:$E,,0)=0,"",_xlfn.XLOOKUP(D940,product!$A:$A,product!$E:$E,,0))</f>
        <v>TECH</v>
      </c>
      <c r="J940" s="5">
        <f>IF(_xlfn.XLOOKUP(D940,product!$A:$A,product!$D:$D,,0)=0,"",_xlfn.XLOOKUP(D940,product!$A:$A,product!$D:$D,,0))</f>
        <v>33.409999999999997</v>
      </c>
      <c r="K940" s="7">
        <f t="shared" si="14"/>
        <v>66.819999999999993</v>
      </c>
      <c r="L940" s="10" t="str">
        <f>IF(_xlfn.XLOOKUP(D940,product!$A:$A,product!$F:$F,,0)=0,"",_xlfn.XLOOKUP(D940,product!$A:$A,product!$F:$F,,0))</f>
        <v>Yes</v>
      </c>
      <c r="M940" t="str">
        <f>IF(_xlfn.XLOOKUP(D940,product!$A:$A,product!G:G,,0)=0,"",_xlfn.XLOOKUP(D940,product!$A:$A,product!G:G,,0))</f>
        <v>None</v>
      </c>
      <c r="N940" t="str">
        <f>IF(_xlfn.XLOOKUP(D940,product!$A:$A,product!$B:$B,,0)=0,"",_xlfn.XLOOKUP(D940,product!$A:$A,product!$B:$B,,0))</f>
        <v>Power Future</v>
      </c>
    </row>
    <row r="941" spans="1:14" x14ac:dyDescent="0.35">
      <c r="A941" t="s">
        <v>336</v>
      </c>
      <c r="B941" s="3">
        <v>45307</v>
      </c>
      <c r="C941" t="s">
        <v>3151</v>
      </c>
      <c r="D941" t="s">
        <v>6299</v>
      </c>
      <c r="E941">
        <v>2</v>
      </c>
      <c r="F941" t="str">
        <f>_xlfn.XLOOKUP(C941,customers!$A$1:$A$983,customers!$B$1:$B$983,,0)</f>
        <v>Thomas White</v>
      </c>
      <c r="G941" t="str">
        <f>_xlfn.XLOOKUP(C941,customers!$A:$A,customers!$C:$C,,0)</f>
        <v>thomas.white788@outlook.com</v>
      </c>
      <c r="H941" t="str">
        <f>IF(_xlfn.XLOOKUP(C941,customers!$A:$A,customers!$G:$G,,0)=0,"",_xlfn.XLOOKUP(C941,customers!$A:$A,customers!$G:$G,,0))</f>
        <v>Egypt</v>
      </c>
      <c r="I941" t="str">
        <f>IF(_xlfn.XLOOKUP(D941,product!$A:$A,product!$E:$E,,0)=0,"",_xlfn.XLOOKUP(D941,product!$A:$A,product!$E:$E,,0))</f>
        <v>BUSINESS</v>
      </c>
      <c r="J941" s="5">
        <f>IF(_xlfn.XLOOKUP(D941,product!$A:$A,product!$D:$D,,0)=0,"",_xlfn.XLOOKUP(D941,product!$A:$A,product!$D:$D,,0))</f>
        <v>38.75</v>
      </c>
      <c r="K941" s="7">
        <f t="shared" si="14"/>
        <v>77.5</v>
      </c>
      <c r="L941" s="10" t="str">
        <f>IF(_xlfn.XLOOKUP(D941,product!$A:$A,product!$F:$F,,0)=0,"",_xlfn.XLOOKUP(D941,product!$A:$A,product!$F:$F,,0))</f>
        <v>No</v>
      </c>
      <c r="M941" t="str">
        <f>IF(_xlfn.XLOOKUP(D941,product!$A:$A,product!G:G,,0)=0,"",_xlfn.XLOOKUP(D941,product!$A:$A,product!G:G,,0))</f>
        <v>Silver</v>
      </c>
      <c r="N941" t="str">
        <f>IF(_xlfn.XLOOKUP(D941,product!$A:$A,product!$B:$B,,0)=0,"",_xlfn.XLOOKUP(D941,product!$A:$A,product!$B:$B,,0))</f>
        <v>Future Forest</v>
      </c>
    </row>
    <row r="942" spans="1:14" x14ac:dyDescent="0.35">
      <c r="A942" t="s">
        <v>353</v>
      </c>
      <c r="B942" s="3">
        <v>45222</v>
      </c>
      <c r="C942" t="s">
        <v>2507</v>
      </c>
      <c r="D942" t="s">
        <v>6300</v>
      </c>
      <c r="E942">
        <v>2</v>
      </c>
      <c r="F942" t="str">
        <f>_xlfn.XLOOKUP(C942,customers!$A$1:$A$983,customers!$B$1:$B$983,,0)</f>
        <v>Anthony Hall</v>
      </c>
      <c r="G942" t="str">
        <f>_xlfn.XLOOKUP(C942,customers!$A:$A,customers!$C:$C,,0)</f>
        <v>anthony.hall475@hotmail.com</v>
      </c>
      <c r="H942" t="str">
        <f>IF(_xlfn.XLOOKUP(C942,customers!$A:$A,customers!$G:$G,,0)=0,"",_xlfn.XLOOKUP(C942,customers!$A:$A,customers!$G:$G,,0))</f>
        <v>Japan</v>
      </c>
      <c r="I942" t="str">
        <f>IF(_xlfn.XLOOKUP(D942,product!$A:$A,product!$E:$E,,0)=0,"",_xlfn.XLOOKUP(D942,product!$A:$A,product!$E:$E,,0))</f>
        <v>TECH</v>
      </c>
      <c r="J942" s="5">
        <f>IF(_xlfn.XLOOKUP(D942,product!$A:$A,product!$D:$D,,0)=0,"",_xlfn.XLOOKUP(D942,product!$A:$A,product!$D:$D,,0))</f>
        <v>12.89</v>
      </c>
      <c r="K942" s="7">
        <f t="shared" si="14"/>
        <v>25.78</v>
      </c>
      <c r="L942" s="10" t="str">
        <f>IF(_xlfn.XLOOKUP(D942,product!$A:$A,product!$F:$F,,0)=0,"",_xlfn.XLOOKUP(D942,product!$A:$A,product!$F:$F,,0))</f>
        <v>Yes</v>
      </c>
      <c r="M942" t="str">
        <f>IF(_xlfn.XLOOKUP(D942,product!$A:$A,product!G:G,,0)=0,"",_xlfn.XLOOKUP(D942,product!$A:$A,product!G:G,,0))</f>
        <v>Gold</v>
      </c>
      <c r="N942" t="str">
        <f>IF(_xlfn.XLOOKUP(D942,product!$A:$A,product!$B:$B,,0)=0,"",_xlfn.XLOOKUP(D942,product!$A:$A,product!$B:$B,,0))</f>
        <v>Power Secrets</v>
      </c>
    </row>
    <row r="943" spans="1:14" x14ac:dyDescent="0.35">
      <c r="A943" t="s">
        <v>370</v>
      </c>
      <c r="B943" s="3">
        <v>45601</v>
      </c>
      <c r="C943" t="s">
        <v>3220</v>
      </c>
      <c r="D943" t="s">
        <v>6301</v>
      </c>
      <c r="E943">
        <v>2</v>
      </c>
      <c r="F943" t="str">
        <f>_xlfn.XLOOKUP(C943,customers!$A$1:$A$983,customers!$B$1:$B$983,,0)</f>
        <v>Zoe Clark</v>
      </c>
      <c r="G943" t="str">
        <f>_xlfn.XLOOKUP(C943,customers!$A:$A,customers!$C:$C,,0)</f>
        <v>zoe.clark823@hotmail.com</v>
      </c>
      <c r="H943" t="str">
        <f>IF(_xlfn.XLOOKUP(C943,customers!$A:$A,customers!$G:$G,,0)=0,"",_xlfn.XLOOKUP(C943,customers!$A:$A,customers!$G:$G,,0))</f>
        <v>Sweden</v>
      </c>
      <c r="I943" t="str">
        <f>IF(_xlfn.XLOOKUP(D943,product!$A:$A,product!$E:$E,,0)=0,"",_xlfn.XLOOKUP(D943,product!$A:$A,product!$E:$E,,0))</f>
        <v>HISTORY</v>
      </c>
      <c r="J943" s="5">
        <f>IF(_xlfn.XLOOKUP(D943,product!$A:$A,product!$D:$D,,0)=0,"",_xlfn.XLOOKUP(D943,product!$A:$A,product!$D:$D,,0))</f>
        <v>39.86</v>
      </c>
      <c r="K943" s="7">
        <f t="shared" si="14"/>
        <v>79.72</v>
      </c>
      <c r="L943" s="10" t="str">
        <f>IF(_xlfn.XLOOKUP(D943,product!$A:$A,product!$F:$F,,0)=0,"",_xlfn.XLOOKUP(D943,product!$A:$A,product!$F:$F,,0))</f>
        <v>No</v>
      </c>
      <c r="M943" t="str">
        <f>IF(_xlfn.XLOOKUP(D943,product!$A:$A,product!G:G,,0)=0,"",_xlfn.XLOOKUP(D943,product!$A:$A,product!G:G,,0))</f>
        <v>None</v>
      </c>
      <c r="N943" t="str">
        <f>IF(_xlfn.XLOOKUP(D943,product!$A:$A,product!$B:$B,,0)=0,"",_xlfn.XLOOKUP(D943,product!$A:$A,product!$B:$B,,0))</f>
        <v>Data Science</v>
      </c>
    </row>
    <row r="944" spans="1:14" x14ac:dyDescent="0.35">
      <c r="A944" t="s">
        <v>387</v>
      </c>
      <c r="B944" s="3">
        <v>45282</v>
      </c>
      <c r="C944" t="s">
        <v>2224</v>
      </c>
      <c r="D944" t="s">
        <v>6302</v>
      </c>
      <c r="E944">
        <v>2</v>
      </c>
      <c r="F944" t="str">
        <f>_xlfn.XLOOKUP(C944,customers!$A$1:$A$983,customers!$B$1:$B$983,,0)</f>
        <v>Lily Thompson</v>
      </c>
      <c r="G944" t="str">
        <f>_xlfn.XLOOKUP(C944,customers!$A:$A,customers!$C:$C,,0)</f>
        <v>lily.thompson347@hotmail.com</v>
      </c>
      <c r="H944" t="str">
        <f>IF(_xlfn.XLOOKUP(C944,customers!$A:$A,customers!$G:$G,,0)=0,"",_xlfn.XLOOKUP(C944,customers!$A:$A,customers!$G:$G,,0))</f>
        <v>Egypt</v>
      </c>
      <c r="I944" t="str">
        <f>IF(_xlfn.XLOOKUP(D944,product!$A:$A,product!$E:$E,,0)=0,"",_xlfn.XLOOKUP(D944,product!$A:$A,product!$E:$E,,0))</f>
        <v>BUSINESS</v>
      </c>
      <c r="J944" s="5">
        <f>IF(_xlfn.XLOOKUP(D944,product!$A:$A,product!$D:$D,,0)=0,"",_xlfn.XLOOKUP(D944,product!$A:$A,product!$D:$D,,0))</f>
        <v>33.86</v>
      </c>
      <c r="K944" s="7">
        <f t="shared" si="14"/>
        <v>67.72</v>
      </c>
      <c r="L944" s="10" t="str">
        <f>IF(_xlfn.XLOOKUP(D944,product!$A:$A,product!$F:$F,,0)=0,"",_xlfn.XLOOKUP(D944,product!$A:$A,product!$F:$F,,0))</f>
        <v>Yes</v>
      </c>
      <c r="M944" t="str">
        <f>IF(_xlfn.XLOOKUP(D944,product!$A:$A,product!G:G,,0)=0,"",_xlfn.XLOOKUP(D944,product!$A:$A,product!G:G,,0))</f>
        <v>None</v>
      </c>
      <c r="N944" t="str">
        <f>IF(_xlfn.XLOOKUP(D944,product!$A:$A,product!$B:$B,,0)=0,"",_xlfn.XLOOKUP(D944,product!$A:$A,product!$B:$B,,0))</f>
        <v>Quantum Future</v>
      </c>
    </row>
    <row r="945" spans="1:14" x14ac:dyDescent="0.35">
      <c r="A945" t="s">
        <v>404</v>
      </c>
      <c r="B945" s="3">
        <v>45368</v>
      </c>
      <c r="C945" t="s">
        <v>3404</v>
      </c>
      <c r="D945" t="s">
        <v>6303</v>
      </c>
      <c r="E945">
        <v>2</v>
      </c>
      <c r="F945" t="str">
        <f>_xlfn.XLOOKUP(C945,customers!$A$1:$A$983,customers!$B$1:$B$983,,0)</f>
        <v>Anna Anderson</v>
      </c>
      <c r="G945" t="str">
        <f>_xlfn.XLOOKUP(C945,customers!$A:$A,customers!$C:$C,,0)</f>
        <v>anna.anderson916@hotmail.com</v>
      </c>
      <c r="H945" t="str">
        <f>IF(_xlfn.XLOOKUP(C945,customers!$A:$A,customers!$G:$G,,0)=0,"",_xlfn.XLOOKUP(C945,customers!$A:$A,customers!$G:$G,,0))</f>
        <v>Morocco</v>
      </c>
      <c r="I945" t="str">
        <f>IF(_xlfn.XLOOKUP(D945,product!$A:$A,product!$E:$E,,0)=0,"",_xlfn.XLOOKUP(D945,product!$A:$A,product!$E:$E,,0))</f>
        <v>FICTION</v>
      </c>
      <c r="J945" s="5">
        <f>IF(_xlfn.XLOOKUP(D945,product!$A:$A,product!$D:$D,,0)=0,"",_xlfn.XLOOKUP(D945,product!$A:$A,product!$D:$D,,0))</f>
        <v>21.44</v>
      </c>
      <c r="K945" s="7">
        <f t="shared" si="14"/>
        <v>42.88</v>
      </c>
      <c r="L945" s="10" t="str">
        <f>IF(_xlfn.XLOOKUP(D945,product!$A:$A,product!$F:$F,,0)=0,"",_xlfn.XLOOKUP(D945,product!$A:$A,product!$F:$F,,0))</f>
        <v>No</v>
      </c>
      <c r="M945" t="str">
        <f>IF(_xlfn.XLOOKUP(D945,product!$A:$A,product!G:G,,0)=0,"",_xlfn.XLOOKUP(D945,product!$A:$A,product!G:G,,0))</f>
        <v>None</v>
      </c>
      <c r="N945" t="str">
        <f>IF(_xlfn.XLOOKUP(D945,product!$A:$A,product!$B:$B,,0)=0,"",_xlfn.XLOOKUP(D945,product!$A:$A,product!$B:$B,,0))</f>
        <v>Forest Mind</v>
      </c>
    </row>
    <row r="946" spans="1:14" x14ac:dyDescent="0.35">
      <c r="A946" t="s">
        <v>421</v>
      </c>
      <c r="B946" s="3">
        <v>44976</v>
      </c>
      <c r="C946" t="s">
        <v>3165</v>
      </c>
      <c r="D946" t="s">
        <v>6304</v>
      </c>
      <c r="E946">
        <v>2</v>
      </c>
      <c r="F946" t="str">
        <f>_xlfn.XLOOKUP(C946,customers!$A$1:$A$983,customers!$B$1:$B$983,,0)</f>
        <v>Zoe Thompson</v>
      </c>
      <c r="G946" t="str">
        <f>_xlfn.XLOOKUP(C946,customers!$A:$A,customers!$C:$C,,0)</f>
        <v>zoe.thompson795@gmail.com</v>
      </c>
      <c r="H946" t="str">
        <f>IF(_xlfn.XLOOKUP(C946,customers!$A:$A,customers!$G:$G,,0)=0,"",_xlfn.XLOOKUP(C946,customers!$A:$A,customers!$G:$G,,0))</f>
        <v>Japan</v>
      </c>
      <c r="I946" t="str">
        <f>IF(_xlfn.XLOOKUP(D946,product!$A:$A,product!$E:$E,,0)=0,"",_xlfn.XLOOKUP(D946,product!$A:$A,product!$E:$E,,0))</f>
        <v>SCIENCE</v>
      </c>
      <c r="J946" s="5">
        <f>IF(_xlfn.XLOOKUP(D946,product!$A:$A,product!$D:$D,,0)=0,"",_xlfn.XLOOKUP(D946,product!$A:$A,product!$D:$D,,0))</f>
        <v>11.52</v>
      </c>
      <c r="K946" s="7">
        <f t="shared" si="14"/>
        <v>23.04</v>
      </c>
      <c r="L946" s="10" t="str">
        <f>IF(_xlfn.XLOOKUP(D946,product!$A:$A,product!$F:$F,,0)=0,"",_xlfn.XLOOKUP(D946,product!$A:$A,product!$F:$F,,0))</f>
        <v>Yes</v>
      </c>
      <c r="M946" t="str">
        <f>IF(_xlfn.XLOOKUP(D946,product!$A:$A,product!G:G,,0)=0,"",_xlfn.XLOOKUP(D946,product!$A:$A,product!G:G,,0))</f>
        <v>Silver</v>
      </c>
      <c r="N946" t="str">
        <f>IF(_xlfn.XLOOKUP(D946,product!$A:$A,product!$B:$B,,0)=0,"",_xlfn.XLOOKUP(D946,product!$A:$A,product!$B:$B,,0))</f>
        <v>Science Future</v>
      </c>
    </row>
    <row r="947" spans="1:14" x14ac:dyDescent="0.35">
      <c r="A947" t="s">
        <v>438</v>
      </c>
      <c r="B947" s="3">
        <v>45446</v>
      </c>
      <c r="C947" t="s">
        <v>1942</v>
      </c>
      <c r="D947" t="s">
        <v>6305</v>
      </c>
      <c r="E947">
        <v>2</v>
      </c>
      <c r="F947" t="str">
        <f>_xlfn.XLOOKUP(C947,customers!$A$1:$A$983,customers!$B$1:$B$983,,0)</f>
        <v>David Garcia</v>
      </c>
      <c r="G947" t="str">
        <f>_xlfn.XLOOKUP(C947,customers!$A:$A,customers!$C:$C,,0)</f>
        <v>david.garcia242@yahoo.com</v>
      </c>
      <c r="H947" t="str">
        <f>IF(_xlfn.XLOOKUP(C947,customers!$A:$A,customers!$G:$G,,0)=0,"",_xlfn.XLOOKUP(C947,customers!$A:$A,customers!$G:$G,,0))</f>
        <v>Spain</v>
      </c>
      <c r="I947" t="str">
        <f>IF(_xlfn.XLOOKUP(D947,product!$A:$A,product!$E:$E,,0)=0,"",_xlfn.XLOOKUP(D947,product!$A:$A,product!$E:$E,,0))</f>
        <v>FICTION</v>
      </c>
      <c r="J947" s="5">
        <f>IF(_xlfn.XLOOKUP(D947,product!$A:$A,product!$D:$D,,0)=0,"",_xlfn.XLOOKUP(D947,product!$A:$A,product!$D:$D,,0))</f>
        <v>23.85</v>
      </c>
      <c r="K947" s="7">
        <f t="shared" si="14"/>
        <v>47.7</v>
      </c>
      <c r="L947" s="10" t="str">
        <f>IF(_xlfn.XLOOKUP(D947,product!$A:$A,product!$F:$F,,0)=0,"",_xlfn.XLOOKUP(D947,product!$A:$A,product!$F:$F,,0))</f>
        <v>No</v>
      </c>
      <c r="M947" t="str">
        <f>IF(_xlfn.XLOOKUP(D947,product!$A:$A,product!G:G,,0)=0,"",_xlfn.XLOOKUP(D947,product!$A:$A,product!G:G,,0))</f>
        <v>Silver</v>
      </c>
      <c r="N947" t="str">
        <f>IF(_xlfn.XLOOKUP(D947,product!$A:$A,product!$B:$B,,0)=0,"",_xlfn.XLOOKUP(D947,product!$A:$A,product!$B:$B,,0))</f>
        <v>Journey Data</v>
      </c>
    </row>
    <row r="948" spans="1:14" x14ac:dyDescent="0.35">
      <c r="A948" t="s">
        <v>455</v>
      </c>
      <c r="B948" s="3">
        <v>45053</v>
      </c>
      <c r="C948" t="s">
        <v>3499</v>
      </c>
      <c r="D948" t="s">
        <v>6306</v>
      </c>
      <c r="E948">
        <v>2</v>
      </c>
      <c r="F948" t="str">
        <f>_xlfn.XLOOKUP(C948,customers!$A$1:$A$983,customers!$B$1:$B$983,,0)</f>
        <v>Sarah King</v>
      </c>
      <c r="G948" t="str">
        <f>_xlfn.XLOOKUP(C948,customers!$A:$A,customers!$C:$C,,0)</f>
        <v>sarah.king964@outlook.com</v>
      </c>
      <c r="H948" t="str">
        <f>IF(_xlfn.XLOOKUP(C948,customers!$A:$A,customers!$G:$G,,0)=0,"",_xlfn.XLOOKUP(C948,customers!$A:$A,customers!$G:$G,,0))</f>
        <v>Chile</v>
      </c>
      <c r="I948" t="str">
        <f>IF(_xlfn.XLOOKUP(D948,product!$A:$A,product!$E:$E,,0)=0,"",_xlfn.XLOOKUP(D948,product!$A:$A,product!$E:$E,,0))</f>
        <v>BUSINESS</v>
      </c>
      <c r="J948" s="5">
        <f>IF(_xlfn.XLOOKUP(D948,product!$A:$A,product!$D:$D,,0)=0,"",_xlfn.XLOOKUP(D948,product!$A:$A,product!$D:$D,,0))</f>
        <v>14.83</v>
      </c>
      <c r="K948" s="7">
        <f t="shared" si="14"/>
        <v>29.66</v>
      </c>
      <c r="L948" s="10" t="str">
        <f>IF(_xlfn.XLOOKUP(D948,product!$A:$A,product!$F:$F,,0)=0,"",_xlfn.XLOOKUP(D948,product!$A:$A,product!$F:$F,,0))</f>
        <v>Yes</v>
      </c>
      <c r="M948" t="str">
        <f>IF(_xlfn.XLOOKUP(D948,product!$A:$A,product!G:G,,0)=0,"",_xlfn.XLOOKUP(D948,product!$A:$A,product!G:G,,0))</f>
        <v>None</v>
      </c>
      <c r="N948" t="str">
        <f>IF(_xlfn.XLOOKUP(D948,product!$A:$A,product!$B:$B,,0)=0,"",_xlfn.XLOOKUP(D948,product!$A:$A,product!$B:$B,,0))</f>
        <v>Journey Data</v>
      </c>
    </row>
    <row r="949" spans="1:14" x14ac:dyDescent="0.35">
      <c r="A949" t="s">
        <v>472</v>
      </c>
      <c r="B949" s="3">
        <v>45589</v>
      </c>
      <c r="C949" t="s">
        <v>2677</v>
      </c>
      <c r="D949" t="s">
        <v>6307</v>
      </c>
      <c r="E949">
        <v>2</v>
      </c>
      <c r="F949" t="str">
        <f>_xlfn.XLOOKUP(C949,customers!$A$1:$A$983,customers!$B$1:$B$983,,0)</f>
        <v>Amelia Rodriguez</v>
      </c>
      <c r="G949" t="str">
        <f>_xlfn.XLOOKUP(C949,customers!$A:$A,customers!$C:$C,,0)</f>
        <v>amelia.rodriguez557@outlook.com</v>
      </c>
      <c r="H949" t="str">
        <f>IF(_xlfn.XLOOKUP(C949,customers!$A:$A,customers!$G:$G,,0)=0,"",_xlfn.XLOOKUP(C949,customers!$A:$A,customers!$G:$G,,0))</f>
        <v>Spain</v>
      </c>
      <c r="I949" t="str">
        <f>IF(_xlfn.XLOOKUP(D949,product!$A:$A,product!$E:$E,,0)=0,"",_xlfn.XLOOKUP(D949,product!$A:$A,product!$E:$E,,0))</f>
        <v>BUSINESS</v>
      </c>
      <c r="J949" s="5">
        <f>IF(_xlfn.XLOOKUP(D949,product!$A:$A,product!$D:$D,,0)=0,"",_xlfn.XLOOKUP(D949,product!$A:$A,product!$D:$D,,0))</f>
        <v>17.559999999999999</v>
      </c>
      <c r="K949" s="7">
        <f t="shared" si="14"/>
        <v>35.119999999999997</v>
      </c>
      <c r="L949" s="10" t="str">
        <f>IF(_xlfn.XLOOKUP(D949,product!$A:$A,product!$F:$F,,0)=0,"",_xlfn.XLOOKUP(D949,product!$A:$A,product!$F:$F,,0))</f>
        <v>No</v>
      </c>
      <c r="M949" t="str">
        <f>IF(_xlfn.XLOOKUP(D949,product!$A:$A,product!G:G,,0)=0,"",_xlfn.XLOOKUP(D949,product!$A:$A,product!G:G,,0))</f>
        <v>Gold</v>
      </c>
      <c r="N949" t="str">
        <f>IF(_xlfn.XLOOKUP(D949,product!$A:$A,product!$B:$B,,0)=0,"",_xlfn.XLOOKUP(D949,product!$A:$A,product!$B:$B,,0))</f>
        <v>Mind Data</v>
      </c>
    </row>
    <row r="950" spans="1:14" x14ac:dyDescent="0.35">
      <c r="A950" t="s">
        <v>489</v>
      </c>
      <c r="B950" s="3">
        <v>45132</v>
      </c>
      <c r="C950" t="s">
        <v>2733</v>
      </c>
      <c r="D950" t="s">
        <v>6308</v>
      </c>
      <c r="E950">
        <v>2</v>
      </c>
      <c r="F950" t="str">
        <f>_xlfn.XLOOKUP(C950,customers!$A$1:$A$983,customers!$B$1:$B$983,,0)</f>
        <v>Amelia Scott</v>
      </c>
      <c r="G950" t="str">
        <f>_xlfn.XLOOKUP(C950,customers!$A:$A,customers!$C:$C,,0)</f>
        <v>amelia.scott584@hotmail.com</v>
      </c>
      <c r="H950" t="str">
        <f>IF(_xlfn.XLOOKUP(C950,customers!$A:$A,customers!$G:$G,,0)=0,"",_xlfn.XLOOKUP(C950,customers!$A:$A,customers!$G:$G,,0))</f>
        <v>Spain</v>
      </c>
      <c r="I950" t="str">
        <f>IF(_xlfn.XLOOKUP(D950,product!$A:$A,product!$E:$E,,0)=0,"",_xlfn.XLOOKUP(D950,product!$A:$A,product!$E:$E,,0))</f>
        <v>FICTION</v>
      </c>
      <c r="J950" s="5">
        <f>IF(_xlfn.XLOOKUP(D950,product!$A:$A,product!$D:$D,,0)=0,"",_xlfn.XLOOKUP(D950,product!$A:$A,product!$D:$D,,0))</f>
        <v>22.3</v>
      </c>
      <c r="K950" s="7">
        <f t="shared" si="14"/>
        <v>44.6</v>
      </c>
      <c r="L950" s="10" t="str">
        <f>IF(_xlfn.XLOOKUP(D950,product!$A:$A,product!$F:$F,,0)=0,"",_xlfn.XLOOKUP(D950,product!$A:$A,product!$F:$F,,0))</f>
        <v>No</v>
      </c>
      <c r="M950" t="str">
        <f>IF(_xlfn.XLOOKUP(D950,product!$A:$A,product!G:G,,0)=0,"",_xlfn.XLOOKUP(D950,product!$A:$A,product!G:G,,0))</f>
        <v>Gold</v>
      </c>
      <c r="N950" t="str">
        <f>IF(_xlfn.XLOOKUP(D950,product!$A:$A,product!$B:$B,,0)=0,"",_xlfn.XLOOKUP(D950,product!$A:$A,product!$B:$B,,0))</f>
        <v>Future Science</v>
      </c>
    </row>
    <row r="951" spans="1:14" x14ac:dyDescent="0.35">
      <c r="A951" t="s">
        <v>506</v>
      </c>
      <c r="B951" s="3">
        <v>45516</v>
      </c>
      <c r="C951" t="s">
        <v>2273</v>
      </c>
      <c r="D951" t="s">
        <v>6309</v>
      </c>
      <c r="E951">
        <v>2</v>
      </c>
      <c r="F951" t="str">
        <f>_xlfn.XLOOKUP(C951,customers!$A$1:$A$983,customers!$B$1:$B$983,,0)</f>
        <v>Anna Martinez</v>
      </c>
      <c r="G951" t="str">
        <f>_xlfn.XLOOKUP(C951,customers!$A:$A,customers!$C:$C,,0)</f>
        <v>anna.martinez368@outlook.com</v>
      </c>
      <c r="H951" t="str">
        <f>IF(_xlfn.XLOOKUP(C951,customers!$A:$A,customers!$G:$G,,0)=0,"",_xlfn.XLOOKUP(C951,customers!$A:$A,customers!$G:$G,,0))</f>
        <v>Spain</v>
      </c>
      <c r="I951" t="str">
        <f>IF(_xlfn.XLOOKUP(D951,product!$A:$A,product!$E:$E,,0)=0,"",_xlfn.XLOOKUP(D951,product!$A:$A,product!$E:$E,,0))</f>
        <v>FICTION</v>
      </c>
      <c r="J951" s="5">
        <f>IF(_xlfn.XLOOKUP(D951,product!$A:$A,product!$D:$D,,0)=0,"",_xlfn.XLOOKUP(D951,product!$A:$A,product!$D:$D,,0))</f>
        <v>12.09</v>
      </c>
      <c r="K951" s="7">
        <f t="shared" si="14"/>
        <v>24.18</v>
      </c>
      <c r="L951" s="10" t="str">
        <f>IF(_xlfn.XLOOKUP(D951,product!$A:$A,product!$F:$F,,0)=0,"",_xlfn.XLOOKUP(D951,product!$A:$A,product!$F:$F,,0))</f>
        <v>Yes</v>
      </c>
      <c r="M951" t="str">
        <f>IF(_xlfn.XLOOKUP(D951,product!$A:$A,product!G:G,,0)=0,"",_xlfn.XLOOKUP(D951,product!$A:$A,product!G:G,,0))</f>
        <v>Silver</v>
      </c>
      <c r="N951" t="str">
        <f>IF(_xlfn.XLOOKUP(D951,product!$A:$A,product!$B:$B,,0)=0,"",_xlfn.XLOOKUP(D951,product!$A:$A,product!$B:$B,,0))</f>
        <v>Secrets Science</v>
      </c>
    </row>
    <row r="952" spans="1:14" x14ac:dyDescent="0.35">
      <c r="A952" t="s">
        <v>523</v>
      </c>
      <c r="B952" s="3">
        <v>44931</v>
      </c>
      <c r="C952" t="s">
        <v>2774</v>
      </c>
      <c r="D952" t="s">
        <v>6310</v>
      </c>
      <c r="E952">
        <v>2</v>
      </c>
      <c r="F952" t="str">
        <f>_xlfn.XLOOKUP(C952,customers!$A$1:$A$983,customers!$B$1:$B$983,,0)</f>
        <v>Lucy Scott</v>
      </c>
      <c r="G952" t="str">
        <f>_xlfn.XLOOKUP(C952,customers!$A:$A,customers!$C:$C,,0)</f>
        <v>lucy.scott604@hotmail.com</v>
      </c>
      <c r="H952" t="str">
        <f>IF(_xlfn.XLOOKUP(C952,customers!$A:$A,customers!$G:$G,,0)=0,"",_xlfn.XLOOKUP(C952,customers!$A:$A,customers!$G:$G,,0))</f>
        <v>USA</v>
      </c>
      <c r="I952" t="str">
        <f>IF(_xlfn.XLOOKUP(D952,product!$A:$A,product!$E:$E,,0)=0,"",_xlfn.XLOOKUP(D952,product!$A:$A,product!$E:$E,,0))</f>
        <v>TECH</v>
      </c>
      <c r="J952" s="5">
        <f>IF(_xlfn.XLOOKUP(D952,product!$A:$A,product!$D:$D,,0)=0,"",_xlfn.XLOOKUP(D952,product!$A:$A,product!$D:$D,,0))</f>
        <v>29.13</v>
      </c>
      <c r="K952" s="7">
        <f t="shared" si="14"/>
        <v>58.26</v>
      </c>
      <c r="L952" s="10" t="str">
        <f>IF(_xlfn.XLOOKUP(D952,product!$A:$A,product!$F:$F,,0)=0,"",_xlfn.XLOOKUP(D952,product!$A:$A,product!$F:$F,,0))</f>
        <v>No</v>
      </c>
      <c r="M952" t="str">
        <f>IF(_xlfn.XLOOKUP(D952,product!$A:$A,product!G:G,,0)=0,"",_xlfn.XLOOKUP(D952,product!$A:$A,product!G:G,,0))</f>
        <v>Silver</v>
      </c>
      <c r="N952" t="str">
        <f>IF(_xlfn.XLOOKUP(D952,product!$A:$A,product!$B:$B,,0)=0,"",_xlfn.XLOOKUP(D952,product!$A:$A,product!$B:$B,,0))</f>
        <v>Silent Science</v>
      </c>
    </row>
    <row r="953" spans="1:14" x14ac:dyDescent="0.35">
      <c r="A953" t="s">
        <v>540</v>
      </c>
      <c r="B953" s="3">
        <v>45406</v>
      </c>
      <c r="C953" t="s">
        <v>1742</v>
      </c>
      <c r="D953" t="s">
        <v>6311</v>
      </c>
      <c r="E953">
        <v>2</v>
      </c>
      <c r="F953" t="str">
        <f>_xlfn.XLOOKUP(C953,customers!$A$1:$A$983,customers!$B$1:$B$983,,0)</f>
        <v>Brian Wright</v>
      </c>
      <c r="G953" t="str">
        <f>_xlfn.XLOOKUP(C953,customers!$A:$A,customers!$C:$C,,0)</f>
        <v>brian.wright181@outlook.com</v>
      </c>
      <c r="H953" t="str">
        <f>IF(_xlfn.XLOOKUP(C953,customers!$A:$A,customers!$G:$G,,0)=0,"",_xlfn.XLOOKUP(C953,customers!$A:$A,customers!$G:$G,,0))</f>
        <v>USA</v>
      </c>
      <c r="I953" t="str">
        <f>IF(_xlfn.XLOOKUP(D953,product!$A:$A,product!$E:$E,,0)=0,"",_xlfn.XLOOKUP(D953,product!$A:$A,product!$E:$E,,0))</f>
        <v>BUSINESS</v>
      </c>
      <c r="J953" s="5">
        <f>IF(_xlfn.XLOOKUP(D953,product!$A:$A,product!$D:$D,,0)=0,"",_xlfn.XLOOKUP(D953,product!$A:$A,product!$D:$D,,0))</f>
        <v>34.31</v>
      </c>
      <c r="K953" s="7">
        <f t="shared" si="14"/>
        <v>68.62</v>
      </c>
      <c r="L953" s="10" t="str">
        <f>IF(_xlfn.XLOOKUP(D953,product!$A:$A,product!$F:$F,,0)=0,"",_xlfn.XLOOKUP(D953,product!$A:$A,product!$F:$F,,0))</f>
        <v>No</v>
      </c>
      <c r="M953" t="str">
        <f>IF(_xlfn.XLOOKUP(D953,product!$A:$A,product!G:G,,0)=0,"",_xlfn.XLOOKUP(D953,product!$A:$A,product!G:G,,0))</f>
        <v>None</v>
      </c>
      <c r="N953" t="str">
        <f>IF(_xlfn.XLOOKUP(D953,product!$A:$A,product!$B:$B,,0)=0,"",_xlfn.XLOOKUP(D953,product!$A:$A,product!$B:$B,,0))</f>
        <v>Secrets Quantum</v>
      </c>
    </row>
    <row r="954" spans="1:14" x14ac:dyDescent="0.35">
      <c r="A954" t="s">
        <v>557</v>
      </c>
      <c r="B954" s="3">
        <v>45196</v>
      </c>
      <c r="C954" t="s">
        <v>2918</v>
      </c>
      <c r="D954" t="s">
        <v>6312</v>
      </c>
      <c r="E954">
        <v>2</v>
      </c>
      <c r="F954" t="str">
        <f>_xlfn.XLOOKUP(C954,customers!$A$1:$A$983,customers!$B$1:$B$983,,0)</f>
        <v>Andrew Brown</v>
      </c>
      <c r="G954" t="str">
        <f>_xlfn.XLOOKUP(C954,customers!$A:$A,customers!$C:$C,,0)</f>
        <v>andrew.brown674@gmail.com</v>
      </c>
      <c r="H954" t="str">
        <f>IF(_xlfn.XLOOKUP(C954,customers!$A:$A,customers!$G:$G,,0)=0,"",_xlfn.XLOOKUP(C954,customers!$A:$A,customers!$G:$G,,0))</f>
        <v>Spain</v>
      </c>
      <c r="I954" t="str">
        <f>IF(_xlfn.XLOOKUP(D954,product!$A:$A,product!$E:$E,,0)=0,"",_xlfn.XLOOKUP(D954,product!$A:$A,product!$E:$E,,0))</f>
        <v>SCIENCE</v>
      </c>
      <c r="J954" s="5">
        <f>IF(_xlfn.XLOOKUP(D954,product!$A:$A,product!$D:$D,,0)=0,"",_xlfn.XLOOKUP(D954,product!$A:$A,product!$D:$D,,0))</f>
        <v>19.88</v>
      </c>
      <c r="K954" s="7">
        <f t="shared" si="14"/>
        <v>39.76</v>
      </c>
      <c r="L954" s="10" t="str">
        <f>IF(_xlfn.XLOOKUP(D954,product!$A:$A,product!$F:$F,,0)=0,"",_xlfn.XLOOKUP(D954,product!$A:$A,product!$F:$F,,0))</f>
        <v>No</v>
      </c>
      <c r="M954" t="str">
        <f>IF(_xlfn.XLOOKUP(D954,product!$A:$A,product!G:G,,0)=0,"",_xlfn.XLOOKUP(D954,product!$A:$A,product!G:G,,0))</f>
        <v>None</v>
      </c>
      <c r="N954" t="str">
        <f>IF(_xlfn.XLOOKUP(D954,product!$A:$A,product!$B:$B,,0)=0,"",_xlfn.XLOOKUP(D954,product!$A:$A,product!$B:$B,,0))</f>
        <v>Silent Quantum</v>
      </c>
    </row>
    <row r="955" spans="1:14" x14ac:dyDescent="0.35">
      <c r="A955" t="s">
        <v>574</v>
      </c>
      <c r="B955" s="3">
        <v>45637</v>
      </c>
      <c r="C955" t="s">
        <v>2369</v>
      </c>
      <c r="D955" t="s">
        <v>6313</v>
      </c>
      <c r="E955">
        <v>2</v>
      </c>
      <c r="F955" t="str">
        <f>_xlfn.XLOOKUP(C955,customers!$A$1:$A$983,customers!$B$1:$B$983,,0)</f>
        <v>Brian King</v>
      </c>
      <c r="G955" t="str">
        <f>_xlfn.XLOOKUP(C955,customers!$A:$A,customers!$C:$C,,0)</f>
        <v>brian.king411@hotmail.com</v>
      </c>
      <c r="H955" t="str">
        <f>IF(_xlfn.XLOOKUP(C955,customers!$A:$A,customers!$G:$G,,0)=0,"",_xlfn.XLOOKUP(C955,customers!$A:$A,customers!$G:$G,,0))</f>
        <v>Spain</v>
      </c>
      <c r="I955" t="str">
        <f>IF(_xlfn.XLOOKUP(D955,product!$A:$A,product!$E:$E,,0)=0,"",_xlfn.XLOOKUP(D955,product!$A:$A,product!$E:$E,,0))</f>
        <v>SCIENCE</v>
      </c>
      <c r="J955" s="5">
        <f>IF(_xlfn.XLOOKUP(D955,product!$A:$A,product!$D:$D,,0)=0,"",_xlfn.XLOOKUP(D955,product!$A:$A,product!$D:$D,,0))</f>
        <v>15.5</v>
      </c>
      <c r="K955" s="7">
        <f t="shared" si="14"/>
        <v>31</v>
      </c>
      <c r="L955" s="10" t="str">
        <f>IF(_xlfn.XLOOKUP(D955,product!$A:$A,product!$F:$F,,0)=0,"",_xlfn.XLOOKUP(D955,product!$A:$A,product!$F:$F,,0))</f>
        <v>Yes</v>
      </c>
      <c r="M955" t="str">
        <f>IF(_xlfn.XLOOKUP(D955,product!$A:$A,product!G:G,,0)=0,"",_xlfn.XLOOKUP(D955,product!$A:$A,product!G:G,,0))</f>
        <v>None</v>
      </c>
      <c r="N955" t="str">
        <f>IF(_xlfn.XLOOKUP(D955,product!$A:$A,product!$B:$B,,0)=0,"",_xlfn.XLOOKUP(D955,product!$A:$A,product!$B:$B,,0))</f>
        <v>Secrets Science</v>
      </c>
    </row>
    <row r="956" spans="1:14" x14ac:dyDescent="0.35">
      <c r="A956" t="s">
        <v>591</v>
      </c>
      <c r="B956" s="3">
        <v>45007</v>
      </c>
      <c r="C956" t="s">
        <v>1426</v>
      </c>
      <c r="D956" t="s">
        <v>6314</v>
      </c>
      <c r="E956">
        <v>2</v>
      </c>
      <c r="F956" t="str">
        <f>_xlfn.XLOOKUP(C956,customers!$A$1:$A$983,customers!$B$1:$B$983,,0)</f>
        <v>Lucy Green</v>
      </c>
      <c r="G956" t="str">
        <f>_xlfn.XLOOKUP(C956,customers!$A:$A,customers!$C:$C,,0)</f>
        <v>lucy.green100@gmail.com</v>
      </c>
      <c r="H956" t="str">
        <f>IF(_xlfn.XLOOKUP(C956,customers!$A:$A,customers!$G:$G,,0)=0,"",_xlfn.XLOOKUP(C956,customers!$A:$A,customers!$G:$G,,0))</f>
        <v>USA</v>
      </c>
      <c r="I956" t="str">
        <f>IF(_xlfn.XLOOKUP(D956,product!$A:$A,product!$E:$E,,0)=0,"",_xlfn.XLOOKUP(D956,product!$A:$A,product!$E:$E,,0))</f>
        <v>TECH</v>
      </c>
      <c r="J956" s="5">
        <f>IF(_xlfn.XLOOKUP(D956,product!$A:$A,product!$D:$D,,0)=0,"",_xlfn.XLOOKUP(D956,product!$A:$A,product!$D:$D,,0))</f>
        <v>30.99</v>
      </c>
      <c r="K956" s="7">
        <f t="shared" si="14"/>
        <v>61.98</v>
      </c>
      <c r="L956" s="10" t="str">
        <f>IF(_xlfn.XLOOKUP(D956,product!$A:$A,product!$F:$F,,0)=0,"",_xlfn.XLOOKUP(D956,product!$A:$A,product!$F:$F,,0))</f>
        <v>No</v>
      </c>
      <c r="M956" t="str">
        <f>IF(_xlfn.XLOOKUP(D956,product!$A:$A,product!G:G,,0)=0,"",_xlfn.XLOOKUP(D956,product!$A:$A,product!G:G,,0))</f>
        <v>None</v>
      </c>
      <c r="N956" t="str">
        <f>IF(_xlfn.XLOOKUP(D956,product!$A:$A,product!$B:$B,,0)=0,"",_xlfn.XLOOKUP(D956,product!$A:$A,product!$B:$B,,0))</f>
        <v>Science Power</v>
      </c>
    </row>
    <row r="957" spans="1:14" x14ac:dyDescent="0.35">
      <c r="A957" t="s">
        <v>608</v>
      </c>
      <c r="B957" s="3">
        <v>45330</v>
      </c>
      <c r="C957" t="s">
        <v>3512</v>
      </c>
      <c r="D957" t="s">
        <v>6315</v>
      </c>
      <c r="E957">
        <v>2</v>
      </c>
      <c r="F957" t="str">
        <f>_xlfn.XLOOKUP(C957,customers!$A$1:$A$983,customers!$B$1:$B$983,,0)</f>
        <v>David King</v>
      </c>
      <c r="G957" t="str">
        <f>_xlfn.XLOOKUP(C957,customers!$A:$A,customers!$C:$C,,0)</f>
        <v>david.king971@gmail.com</v>
      </c>
      <c r="H957" t="str">
        <f>IF(_xlfn.XLOOKUP(C957,customers!$A:$A,customers!$G:$G,,0)=0,"",_xlfn.XLOOKUP(C957,customers!$A:$A,customers!$G:$G,,0))</f>
        <v>Japan</v>
      </c>
      <c r="I957" t="str">
        <f>IF(_xlfn.XLOOKUP(D957,product!$A:$A,product!$E:$E,,0)=0,"",_xlfn.XLOOKUP(D957,product!$A:$A,product!$E:$E,,0))</f>
        <v>FICTION</v>
      </c>
      <c r="J957" s="5">
        <f>IF(_xlfn.XLOOKUP(D957,product!$A:$A,product!$D:$D,,0)=0,"",_xlfn.XLOOKUP(D957,product!$A:$A,product!$D:$D,,0))</f>
        <v>12.81</v>
      </c>
      <c r="K957" s="7">
        <f t="shared" si="14"/>
        <v>25.62</v>
      </c>
      <c r="L957" s="10" t="str">
        <f>IF(_xlfn.XLOOKUP(D957,product!$A:$A,product!$F:$F,,0)=0,"",_xlfn.XLOOKUP(D957,product!$A:$A,product!$F:$F,,0))</f>
        <v>No</v>
      </c>
      <c r="M957" t="str">
        <f>IF(_xlfn.XLOOKUP(D957,product!$A:$A,product!G:G,,0)=0,"",_xlfn.XLOOKUP(D957,product!$A:$A,product!G:G,,0))</f>
        <v>None</v>
      </c>
      <c r="N957" t="str">
        <f>IF(_xlfn.XLOOKUP(D957,product!$A:$A,product!$B:$B,,0)=0,"",_xlfn.XLOOKUP(D957,product!$A:$A,product!$B:$B,,0))</f>
        <v>Power Journey</v>
      </c>
    </row>
    <row r="958" spans="1:14" x14ac:dyDescent="0.35">
      <c r="A958" t="s">
        <v>625</v>
      </c>
      <c r="B958" s="3">
        <v>45161</v>
      </c>
      <c r="C958" t="s">
        <v>1939</v>
      </c>
      <c r="D958" t="s">
        <v>6316</v>
      </c>
      <c r="E958">
        <v>2</v>
      </c>
      <c r="F958" t="str">
        <f>_xlfn.XLOOKUP(C958,customers!$A$1:$A$983,customers!$B$1:$B$983,,0)</f>
        <v>Thomas Brown</v>
      </c>
      <c r="G958" t="str">
        <f>_xlfn.XLOOKUP(C958,customers!$A:$A,customers!$C:$C,,0)</f>
        <v>thomas.brown241@outlook.com</v>
      </c>
      <c r="H958" t="str">
        <f>IF(_xlfn.XLOOKUP(C958,customers!$A:$A,customers!$G:$G,,0)=0,"",_xlfn.XLOOKUP(C958,customers!$A:$A,customers!$G:$G,,0))</f>
        <v>Japan</v>
      </c>
      <c r="I958" t="str">
        <f>IF(_xlfn.XLOOKUP(D958,product!$A:$A,product!$E:$E,,0)=0,"",_xlfn.XLOOKUP(D958,product!$A:$A,product!$E:$E,,0))</f>
        <v>SCIENCE</v>
      </c>
      <c r="J958" s="5">
        <f>IF(_xlfn.XLOOKUP(D958,product!$A:$A,product!$D:$D,,0)=0,"",_xlfn.XLOOKUP(D958,product!$A:$A,product!$D:$D,,0))</f>
        <v>33.75</v>
      </c>
      <c r="K958" s="7">
        <f t="shared" si="14"/>
        <v>67.5</v>
      </c>
      <c r="L958" s="10" t="str">
        <f>IF(_xlfn.XLOOKUP(D958,product!$A:$A,product!$F:$F,,0)=0,"",_xlfn.XLOOKUP(D958,product!$A:$A,product!$F:$F,,0))</f>
        <v>Yes</v>
      </c>
      <c r="M958" t="str">
        <f>IF(_xlfn.XLOOKUP(D958,product!$A:$A,product!G:G,,0)=0,"",_xlfn.XLOOKUP(D958,product!$A:$A,product!G:G,,0))</f>
        <v>Silver</v>
      </c>
      <c r="N958" t="str">
        <f>IF(_xlfn.XLOOKUP(D958,product!$A:$A,product!$B:$B,,0)=0,"",_xlfn.XLOOKUP(D958,product!$A:$A,product!$B:$B,,0))</f>
        <v>Power Journey</v>
      </c>
    </row>
    <row r="959" spans="1:14" x14ac:dyDescent="0.35">
      <c r="A959" t="s">
        <v>642</v>
      </c>
      <c r="B959" s="3">
        <v>45416</v>
      </c>
      <c r="C959" t="s">
        <v>2609</v>
      </c>
      <c r="D959" t="s">
        <v>6317</v>
      </c>
      <c r="E959">
        <v>2</v>
      </c>
      <c r="F959" t="str">
        <f>_xlfn.XLOOKUP(C959,customers!$A$1:$A$983,customers!$B$1:$B$983,,0)</f>
        <v>Edward Allen</v>
      </c>
      <c r="G959" t="str">
        <f>_xlfn.XLOOKUP(C959,customers!$A:$A,customers!$C:$C,,0)</f>
        <v>edward.allen524@gmail.com</v>
      </c>
      <c r="H959" t="str">
        <f>IF(_xlfn.XLOOKUP(C959,customers!$A:$A,customers!$G:$G,,0)=0,"",_xlfn.XLOOKUP(C959,customers!$A:$A,customers!$G:$G,,0))</f>
        <v>Pakistan</v>
      </c>
      <c r="I959" t="str">
        <f>IF(_xlfn.XLOOKUP(D959,product!$A:$A,product!$E:$E,,0)=0,"",_xlfn.XLOOKUP(D959,product!$A:$A,product!$E:$E,,0))</f>
        <v>HISTORY</v>
      </c>
      <c r="J959" s="5">
        <f>IF(_xlfn.XLOOKUP(D959,product!$A:$A,product!$D:$D,,0)=0,"",_xlfn.XLOOKUP(D959,product!$A:$A,product!$D:$D,,0))</f>
        <v>26.2</v>
      </c>
      <c r="K959" s="7">
        <f t="shared" si="14"/>
        <v>52.4</v>
      </c>
      <c r="L959" s="10" t="str">
        <f>IF(_xlfn.XLOOKUP(D959,product!$A:$A,product!$F:$F,,0)=0,"",_xlfn.XLOOKUP(D959,product!$A:$A,product!$F:$F,,0))</f>
        <v>No</v>
      </c>
      <c r="M959" t="str">
        <f>IF(_xlfn.XLOOKUP(D959,product!$A:$A,product!G:G,,0)=0,"",_xlfn.XLOOKUP(D959,product!$A:$A,product!G:G,,0))</f>
        <v>Silver</v>
      </c>
      <c r="N959" t="str">
        <f>IF(_xlfn.XLOOKUP(D959,product!$A:$A,product!$B:$B,,0)=0,"",_xlfn.XLOOKUP(D959,product!$A:$A,product!$B:$B,,0))</f>
        <v>Science Secrets</v>
      </c>
    </row>
    <row r="960" spans="1:14" x14ac:dyDescent="0.35">
      <c r="A960" t="s">
        <v>659</v>
      </c>
      <c r="B960" s="3">
        <v>45242</v>
      </c>
      <c r="C960" t="s">
        <v>2334</v>
      </c>
      <c r="D960" t="s">
        <v>6318</v>
      </c>
      <c r="E960">
        <v>2</v>
      </c>
      <c r="F960" t="str">
        <f>_xlfn.XLOOKUP(C960,customers!$A$1:$A$983,customers!$B$1:$B$983,,0)</f>
        <v>Brian Green</v>
      </c>
      <c r="G960" t="str">
        <f>_xlfn.XLOOKUP(C960,customers!$A:$A,customers!$C:$C,,0)</f>
        <v>brian.green395@outlook.com</v>
      </c>
      <c r="H960" t="str">
        <f>IF(_xlfn.XLOOKUP(C960,customers!$A:$A,customers!$G:$G,,0)=0,"",_xlfn.XLOOKUP(C960,customers!$A:$A,customers!$G:$G,,0))</f>
        <v>Spain</v>
      </c>
      <c r="I960" t="str">
        <f>IF(_xlfn.XLOOKUP(D960,product!$A:$A,product!$E:$E,,0)=0,"",_xlfn.XLOOKUP(D960,product!$A:$A,product!$E:$E,,0))</f>
        <v>FICTION</v>
      </c>
      <c r="J960" s="5">
        <f>IF(_xlfn.XLOOKUP(D960,product!$A:$A,product!$D:$D,,0)=0,"",_xlfn.XLOOKUP(D960,product!$A:$A,product!$D:$D,,0))</f>
        <v>39.409999999999997</v>
      </c>
      <c r="K960" s="7">
        <f t="shared" si="14"/>
        <v>78.819999999999993</v>
      </c>
      <c r="L960" s="10" t="str">
        <f>IF(_xlfn.XLOOKUP(D960,product!$A:$A,product!$F:$F,,0)=0,"",_xlfn.XLOOKUP(D960,product!$A:$A,product!$F:$F,,0))</f>
        <v>No</v>
      </c>
      <c r="M960" t="str">
        <f>IF(_xlfn.XLOOKUP(D960,product!$A:$A,product!G:G,,0)=0,"",_xlfn.XLOOKUP(D960,product!$A:$A,product!G:G,,0))</f>
        <v>None</v>
      </c>
      <c r="N960" t="str">
        <f>IF(_xlfn.XLOOKUP(D960,product!$A:$A,product!$B:$B,,0)=0,"",_xlfn.XLOOKUP(D960,product!$A:$A,product!$B:$B,,0))</f>
        <v>Future Journey</v>
      </c>
    </row>
    <row r="961" spans="1:14" x14ac:dyDescent="0.35">
      <c r="A961" t="s">
        <v>676</v>
      </c>
      <c r="B961" s="3">
        <v>45493</v>
      </c>
      <c r="C961" t="s">
        <v>1216</v>
      </c>
      <c r="D961" t="s">
        <v>6319</v>
      </c>
      <c r="E961">
        <v>2</v>
      </c>
      <c r="F961" t="str">
        <f>_xlfn.XLOOKUP(C961,customers!$A$1:$A$983,customers!$B$1:$B$983,,0)</f>
        <v>Kevin Thompson</v>
      </c>
      <c r="G961" t="str">
        <f>_xlfn.XLOOKUP(C961,customers!$A:$A,customers!$C:$C,,0)</f>
        <v>kevin.thompson43@hotmail.com</v>
      </c>
      <c r="H961" t="str">
        <f>IF(_xlfn.XLOOKUP(C961,customers!$A:$A,customers!$G:$G,,0)=0,"",_xlfn.XLOOKUP(C961,customers!$A:$A,customers!$G:$G,,0))</f>
        <v>Japan</v>
      </c>
      <c r="I961" t="str">
        <f>IF(_xlfn.XLOOKUP(D961,product!$A:$A,product!$E:$E,,0)=0,"",_xlfn.XLOOKUP(D961,product!$A:$A,product!$E:$E,,0))</f>
        <v>FICTION</v>
      </c>
      <c r="J961" s="5">
        <f>IF(_xlfn.XLOOKUP(D961,product!$A:$A,product!$D:$D,,0)=0,"",_xlfn.XLOOKUP(D961,product!$A:$A,product!$D:$D,,0))</f>
        <v>17.2</v>
      </c>
      <c r="K961" s="7">
        <f t="shared" si="14"/>
        <v>34.4</v>
      </c>
      <c r="L961" s="10" t="str">
        <f>IF(_xlfn.XLOOKUP(D961,product!$A:$A,product!$F:$F,,0)=0,"",_xlfn.XLOOKUP(D961,product!$A:$A,product!$F:$F,,0))</f>
        <v>Yes</v>
      </c>
      <c r="M961" t="str">
        <f>IF(_xlfn.XLOOKUP(D961,product!$A:$A,product!G:G,,0)=0,"",_xlfn.XLOOKUP(D961,product!$A:$A,product!G:G,,0))</f>
        <v>Gold</v>
      </c>
      <c r="N961" t="str">
        <f>IF(_xlfn.XLOOKUP(D961,product!$A:$A,product!$B:$B,,0)=0,"",_xlfn.XLOOKUP(D961,product!$A:$A,product!$B:$B,,0))</f>
        <v>Quantum Power</v>
      </c>
    </row>
    <row r="962" spans="1:14" x14ac:dyDescent="0.35">
      <c r="A962" t="s">
        <v>693</v>
      </c>
      <c r="B962" s="3">
        <v>45093</v>
      </c>
      <c r="C962" t="s">
        <v>3078</v>
      </c>
      <c r="D962" t="s">
        <v>6320</v>
      </c>
      <c r="E962">
        <v>2</v>
      </c>
      <c r="F962" t="str">
        <f>_xlfn.XLOOKUP(C962,customers!$A$1:$A$983,customers!$B$1:$B$983,,0)</f>
        <v>John Thompson</v>
      </c>
      <c r="G962" t="str">
        <f>_xlfn.XLOOKUP(C962,customers!$A:$A,customers!$C:$C,,0)</f>
        <v>john.thompson751@yahoo.com</v>
      </c>
      <c r="H962" t="str">
        <f>IF(_xlfn.XLOOKUP(C962,customers!$A:$A,customers!$G:$G,,0)=0,"",_xlfn.XLOOKUP(C962,customers!$A:$A,customers!$G:$G,,0))</f>
        <v>Sweden</v>
      </c>
      <c r="I962" t="str">
        <f>IF(_xlfn.XLOOKUP(D962,product!$A:$A,product!$E:$E,,0)=0,"",_xlfn.XLOOKUP(D962,product!$A:$A,product!$E:$E,,0))</f>
        <v>HISTORY</v>
      </c>
      <c r="J962" s="5">
        <f>IF(_xlfn.XLOOKUP(D962,product!$A:$A,product!$D:$D,,0)=0,"",_xlfn.XLOOKUP(D962,product!$A:$A,product!$D:$D,,0))</f>
        <v>29.61</v>
      </c>
      <c r="K962" s="7">
        <f t="shared" si="14"/>
        <v>59.22</v>
      </c>
      <c r="L962" s="10" t="str">
        <f>IF(_xlfn.XLOOKUP(D962,product!$A:$A,product!$F:$F,,0)=0,"",_xlfn.XLOOKUP(D962,product!$A:$A,product!$F:$F,,0))</f>
        <v>No</v>
      </c>
      <c r="M962" t="str">
        <f>IF(_xlfn.XLOOKUP(D962,product!$A:$A,product!G:G,,0)=0,"",_xlfn.XLOOKUP(D962,product!$A:$A,product!G:G,,0))</f>
        <v>Silver</v>
      </c>
      <c r="N962" t="str">
        <f>IF(_xlfn.XLOOKUP(D962,product!$A:$A,product!$B:$B,,0)=0,"",_xlfn.XLOOKUP(D962,product!$A:$A,product!$B:$B,,0))</f>
        <v>Quantum Secrets</v>
      </c>
    </row>
    <row r="963" spans="1:14" x14ac:dyDescent="0.35">
      <c r="A963" t="s">
        <v>710</v>
      </c>
      <c r="B963" s="3">
        <v>45539</v>
      </c>
      <c r="C963" t="s">
        <v>1581</v>
      </c>
      <c r="D963" t="s">
        <v>6321</v>
      </c>
      <c r="E963">
        <v>2</v>
      </c>
      <c r="F963" t="str">
        <f>_xlfn.XLOOKUP(C963,customers!$A$1:$A$983,customers!$B$1:$B$983,,0)</f>
        <v>Emma Johnson</v>
      </c>
      <c r="G963" t="str">
        <f>_xlfn.XLOOKUP(C963,customers!$A:$A,customers!$C:$C,,0)</f>
        <v>emma.johnson145@yahoo.com</v>
      </c>
      <c r="H963" t="str">
        <f>IF(_xlfn.XLOOKUP(C963,customers!$A:$A,customers!$G:$G,,0)=0,"",_xlfn.XLOOKUP(C963,customers!$A:$A,customers!$G:$G,,0))</f>
        <v>USA</v>
      </c>
      <c r="I963" t="str">
        <f>IF(_xlfn.XLOOKUP(D963,product!$A:$A,product!$E:$E,,0)=0,"",_xlfn.XLOOKUP(D963,product!$A:$A,product!$E:$E,,0))</f>
        <v>HISTORY</v>
      </c>
      <c r="J963" s="5">
        <f>IF(_xlfn.XLOOKUP(D963,product!$A:$A,product!$D:$D,,0)=0,"",_xlfn.XLOOKUP(D963,product!$A:$A,product!$D:$D,,0))</f>
        <v>20.5</v>
      </c>
      <c r="K963" s="7">
        <f t="shared" ref="K963:K983" si="15">J963*E963</f>
        <v>41</v>
      </c>
      <c r="L963" s="10" t="str">
        <f>IF(_xlfn.XLOOKUP(D963,product!$A:$A,product!$F:$F,,0)=0,"",_xlfn.XLOOKUP(D963,product!$A:$A,product!$F:$F,,0))</f>
        <v>No</v>
      </c>
      <c r="M963" t="str">
        <f>IF(_xlfn.XLOOKUP(D963,product!$A:$A,product!G:G,,0)=0,"",_xlfn.XLOOKUP(D963,product!$A:$A,product!G:G,,0))</f>
        <v>Platinum</v>
      </c>
      <c r="N963" t="str">
        <f>IF(_xlfn.XLOOKUP(D963,product!$A:$A,product!$B:$B,,0)=0,"",_xlfn.XLOOKUP(D963,product!$A:$A,product!$B:$B,,0))</f>
        <v>Mind Quantum</v>
      </c>
    </row>
    <row r="964" spans="1:14" x14ac:dyDescent="0.35">
      <c r="A964" t="s">
        <v>727</v>
      </c>
      <c r="B964" s="3">
        <v>45030</v>
      </c>
      <c r="C964" t="s">
        <v>2819</v>
      </c>
      <c r="D964" t="s">
        <v>6322</v>
      </c>
      <c r="E964">
        <v>2</v>
      </c>
      <c r="F964" t="str">
        <f>_xlfn.XLOOKUP(C964,customers!$A$1:$A$983,customers!$B$1:$B$983,,0)</f>
        <v>John Harris</v>
      </c>
      <c r="G964" t="str">
        <f>_xlfn.XLOOKUP(C964,customers!$A:$A,customers!$C:$C,,0)</f>
        <v>john.harris625@outlook.com</v>
      </c>
      <c r="H964" t="str">
        <f>IF(_xlfn.XLOOKUP(C964,customers!$A:$A,customers!$G:$G,,0)=0,"",_xlfn.XLOOKUP(C964,customers!$A:$A,customers!$G:$G,,0))</f>
        <v>Sweden</v>
      </c>
      <c r="I964" t="str">
        <f>IF(_xlfn.XLOOKUP(D964,product!$A:$A,product!$E:$E,,0)=0,"",_xlfn.XLOOKUP(D964,product!$A:$A,product!$E:$E,,0))</f>
        <v>BUSINESS</v>
      </c>
      <c r="J964" s="5">
        <f>IF(_xlfn.XLOOKUP(D964,product!$A:$A,product!$D:$D,,0)=0,"",_xlfn.XLOOKUP(D964,product!$A:$A,product!$D:$D,,0))</f>
        <v>23.73</v>
      </c>
      <c r="K964" s="7">
        <f t="shared" si="15"/>
        <v>47.46</v>
      </c>
      <c r="L964" s="10" t="str">
        <f>IF(_xlfn.XLOOKUP(D964,product!$A:$A,product!$F:$F,,0)=0,"",_xlfn.XLOOKUP(D964,product!$A:$A,product!$F:$F,,0))</f>
        <v>Yes</v>
      </c>
      <c r="M964" t="str">
        <f>IF(_xlfn.XLOOKUP(D964,product!$A:$A,product!G:G,,0)=0,"",_xlfn.XLOOKUP(D964,product!$A:$A,product!G:G,,0))</f>
        <v>Gold</v>
      </c>
      <c r="N964" t="str">
        <f>IF(_xlfn.XLOOKUP(D964,product!$A:$A,product!$B:$B,,0)=0,"",_xlfn.XLOOKUP(D964,product!$A:$A,product!$B:$B,,0))</f>
        <v>Silent Science</v>
      </c>
    </row>
    <row r="965" spans="1:14" x14ac:dyDescent="0.35">
      <c r="A965" t="s">
        <v>744</v>
      </c>
      <c r="B965" s="3">
        <v>45319</v>
      </c>
      <c r="C965" t="s">
        <v>3516</v>
      </c>
      <c r="D965" t="s">
        <v>6323</v>
      </c>
      <c r="E965">
        <v>2</v>
      </c>
      <c r="F965" t="str">
        <f>_xlfn.XLOOKUP(C965,customers!$A$1:$A$983,customers!$B$1:$B$983,,0)</f>
        <v>George Thompson</v>
      </c>
      <c r="G965" t="str">
        <f>_xlfn.XLOOKUP(C965,customers!$A:$A,customers!$C:$C,,0)</f>
        <v>george.thompson973@outlook.com</v>
      </c>
      <c r="H965" t="str">
        <f>IF(_xlfn.XLOOKUP(C965,customers!$A:$A,customers!$G:$G,,0)=0,"",_xlfn.XLOOKUP(C965,customers!$A:$A,customers!$G:$G,,0))</f>
        <v>Egypt</v>
      </c>
      <c r="I965" t="str">
        <f>IF(_xlfn.XLOOKUP(D965,product!$A:$A,product!$E:$E,,0)=0,"",_xlfn.XLOOKUP(D965,product!$A:$A,product!$E:$E,,0))</f>
        <v>BUSINESS</v>
      </c>
      <c r="J965" s="5">
        <f>IF(_xlfn.XLOOKUP(D965,product!$A:$A,product!$D:$D,,0)=0,"",_xlfn.XLOOKUP(D965,product!$A:$A,product!$D:$D,,0))</f>
        <v>29.37</v>
      </c>
      <c r="K965" s="7">
        <f t="shared" si="15"/>
        <v>58.74</v>
      </c>
      <c r="L965" s="10" t="str">
        <f>IF(_xlfn.XLOOKUP(D965,product!$A:$A,product!$F:$F,,0)=0,"",_xlfn.XLOOKUP(D965,product!$A:$A,product!$F:$F,,0))</f>
        <v>Yes</v>
      </c>
      <c r="M965" t="str">
        <f>IF(_xlfn.XLOOKUP(D965,product!$A:$A,product!G:G,,0)=0,"",_xlfn.XLOOKUP(D965,product!$A:$A,product!G:G,,0))</f>
        <v>None</v>
      </c>
      <c r="N965" t="str">
        <f>IF(_xlfn.XLOOKUP(D965,product!$A:$A,product!$B:$B,,0)=0,"",_xlfn.XLOOKUP(D965,product!$A:$A,product!$B:$B,,0))</f>
        <v>Secrets Power</v>
      </c>
    </row>
    <row r="966" spans="1:14" x14ac:dyDescent="0.35">
      <c r="A966" t="s">
        <v>761</v>
      </c>
      <c r="B966" s="3">
        <v>45216</v>
      </c>
      <c r="C966" t="s">
        <v>2532</v>
      </c>
      <c r="D966" t="s">
        <v>6324</v>
      </c>
      <c r="E966">
        <v>2</v>
      </c>
      <c r="F966" t="str">
        <f>_xlfn.XLOOKUP(C966,customers!$A$1:$A$983,customers!$B$1:$B$983,,0)</f>
        <v>Mia Young</v>
      </c>
      <c r="G966" t="str">
        <f>_xlfn.XLOOKUP(C966,customers!$A:$A,customers!$C:$C,,0)</f>
        <v>mia.young487@gmail.com</v>
      </c>
      <c r="H966" t="str">
        <f>IF(_xlfn.XLOOKUP(C966,customers!$A:$A,customers!$G:$G,,0)=0,"",_xlfn.XLOOKUP(C966,customers!$A:$A,customers!$G:$G,,0))</f>
        <v>USA</v>
      </c>
      <c r="I966" t="str">
        <f>IF(_xlfn.XLOOKUP(D966,product!$A:$A,product!$E:$E,,0)=0,"",_xlfn.XLOOKUP(D966,product!$A:$A,product!$E:$E,,0))</f>
        <v>FICTION</v>
      </c>
      <c r="J966" s="5">
        <f>IF(_xlfn.XLOOKUP(D966,product!$A:$A,product!$D:$D,,0)=0,"",_xlfn.XLOOKUP(D966,product!$A:$A,product!$D:$D,,0))</f>
        <v>26.38</v>
      </c>
      <c r="K966" s="7">
        <f t="shared" si="15"/>
        <v>52.76</v>
      </c>
      <c r="L966" s="10" t="str">
        <f>IF(_xlfn.XLOOKUP(D966,product!$A:$A,product!$F:$F,,0)=0,"",_xlfn.XLOOKUP(D966,product!$A:$A,product!$F:$F,,0))</f>
        <v>Yes</v>
      </c>
      <c r="M966" t="str">
        <f>IF(_xlfn.XLOOKUP(D966,product!$A:$A,product!G:G,,0)=0,"",_xlfn.XLOOKUP(D966,product!$A:$A,product!G:G,,0))</f>
        <v>None</v>
      </c>
      <c r="N966" t="str">
        <f>IF(_xlfn.XLOOKUP(D966,product!$A:$A,product!$B:$B,,0)=0,"",_xlfn.XLOOKUP(D966,product!$A:$A,product!$B:$B,,0))</f>
        <v>Mind Future</v>
      </c>
    </row>
    <row r="967" spans="1:14" x14ac:dyDescent="0.35">
      <c r="A967" t="s">
        <v>778</v>
      </c>
      <c r="B967" s="3">
        <v>45622</v>
      </c>
      <c r="C967" t="s">
        <v>1420</v>
      </c>
      <c r="D967" t="s">
        <v>6325</v>
      </c>
      <c r="E967">
        <v>2</v>
      </c>
      <c r="F967" t="str">
        <f>_xlfn.XLOOKUP(C967,customers!$A$1:$A$983,customers!$B$1:$B$983,,0)</f>
        <v>Hannah White</v>
      </c>
      <c r="G967" t="str">
        <f>_xlfn.XLOOKUP(C967,customers!$A:$A,customers!$C:$C,,0)</f>
        <v>hannah.white98@yahoo.com</v>
      </c>
      <c r="H967" t="str">
        <f>IF(_xlfn.XLOOKUP(C967,customers!$A:$A,customers!$G:$G,,0)=0,"",_xlfn.XLOOKUP(C967,customers!$A:$A,customers!$G:$G,,0))</f>
        <v>Spain</v>
      </c>
      <c r="I967" t="str">
        <f>IF(_xlfn.XLOOKUP(D967,product!$A:$A,product!$E:$E,,0)=0,"",_xlfn.XLOOKUP(D967,product!$A:$A,product!$E:$E,,0))</f>
        <v>FICTION</v>
      </c>
      <c r="J967" s="5">
        <f>IF(_xlfn.XLOOKUP(D967,product!$A:$A,product!$D:$D,,0)=0,"",_xlfn.XLOOKUP(D967,product!$A:$A,product!$D:$D,,0))</f>
        <v>23.71</v>
      </c>
      <c r="K967" s="7">
        <f t="shared" si="15"/>
        <v>47.42</v>
      </c>
      <c r="L967" s="10" t="str">
        <f>IF(_xlfn.XLOOKUP(D967,product!$A:$A,product!$F:$F,,0)=0,"",_xlfn.XLOOKUP(D967,product!$A:$A,product!$F:$F,,0))</f>
        <v>No</v>
      </c>
      <c r="M967" t="str">
        <f>IF(_xlfn.XLOOKUP(D967,product!$A:$A,product!G:G,,0)=0,"",_xlfn.XLOOKUP(D967,product!$A:$A,product!G:G,,0))</f>
        <v>Silver</v>
      </c>
      <c r="N967" t="str">
        <f>IF(_xlfn.XLOOKUP(D967,product!$A:$A,product!$B:$B,,0)=0,"",_xlfn.XLOOKUP(D967,product!$A:$A,product!$B:$B,,0))</f>
        <v>Journey Mind</v>
      </c>
    </row>
    <row r="968" spans="1:14" x14ac:dyDescent="0.35">
      <c r="A968" t="s">
        <v>795</v>
      </c>
      <c r="B968" s="3">
        <v>45267</v>
      </c>
      <c r="C968" t="s">
        <v>1700</v>
      </c>
      <c r="D968" t="s">
        <v>6326</v>
      </c>
      <c r="E968">
        <v>2</v>
      </c>
      <c r="F968" t="str">
        <f>_xlfn.XLOOKUP(C968,customers!$A$1:$A$983,customers!$B$1:$B$983,,0)</f>
        <v>Brian Anderson</v>
      </c>
      <c r="G968" t="str">
        <f>_xlfn.XLOOKUP(C968,customers!$A:$A,customers!$C:$C,,0)</f>
        <v>brian.anderson171@yahoo.com</v>
      </c>
      <c r="H968" t="str">
        <f>IF(_xlfn.XLOOKUP(C968,customers!$A:$A,customers!$G:$G,,0)=0,"",_xlfn.XLOOKUP(C968,customers!$A:$A,customers!$G:$G,,0))</f>
        <v>Germany</v>
      </c>
      <c r="I968" t="str">
        <f>IF(_xlfn.XLOOKUP(D968,product!$A:$A,product!$E:$E,,0)=0,"",_xlfn.XLOOKUP(D968,product!$A:$A,product!$E:$E,,0))</f>
        <v>HISTORY</v>
      </c>
      <c r="J968" s="5">
        <f>IF(_xlfn.XLOOKUP(D968,product!$A:$A,product!$D:$D,,0)=0,"",_xlfn.XLOOKUP(D968,product!$A:$A,product!$D:$D,,0))</f>
        <v>13.35</v>
      </c>
      <c r="K968" s="7">
        <f t="shared" si="15"/>
        <v>26.7</v>
      </c>
      <c r="L968" s="10" t="str">
        <f>IF(_xlfn.XLOOKUP(D968,product!$A:$A,product!$F:$F,,0)=0,"",_xlfn.XLOOKUP(D968,product!$A:$A,product!$F:$F,,0))</f>
        <v>No</v>
      </c>
      <c r="M968" t="str">
        <f>IF(_xlfn.XLOOKUP(D968,product!$A:$A,product!G:G,,0)=0,"",_xlfn.XLOOKUP(D968,product!$A:$A,product!G:G,,0))</f>
        <v>Silver</v>
      </c>
      <c r="N968" t="str">
        <f>IF(_xlfn.XLOOKUP(D968,product!$A:$A,product!$B:$B,,0)=0,"",_xlfn.XLOOKUP(D968,product!$A:$A,product!$B:$B,,0))</f>
        <v>Future Secrets</v>
      </c>
    </row>
    <row r="969" spans="1:14" x14ac:dyDescent="0.35">
      <c r="A969" t="s">
        <v>812</v>
      </c>
      <c r="B969" s="3">
        <v>45380</v>
      </c>
      <c r="C969" t="s">
        <v>3313</v>
      </c>
      <c r="D969" t="s">
        <v>6327</v>
      </c>
      <c r="E969">
        <v>2</v>
      </c>
      <c r="F969" t="str">
        <f>_xlfn.XLOOKUP(C969,customers!$A$1:$A$983,customers!$B$1:$B$983,,0)</f>
        <v>Mia King</v>
      </c>
      <c r="G969" t="str">
        <f>_xlfn.XLOOKUP(C969,customers!$A:$A,customers!$C:$C,,0)</f>
        <v>mia.king870@outlook.com</v>
      </c>
      <c r="H969" t="str">
        <f>IF(_xlfn.XLOOKUP(C969,customers!$A:$A,customers!$G:$G,,0)=0,"",_xlfn.XLOOKUP(C969,customers!$A:$A,customers!$G:$G,,0))</f>
        <v>India</v>
      </c>
      <c r="I969" t="str">
        <f>IF(_xlfn.XLOOKUP(D969,product!$A:$A,product!$E:$E,,0)=0,"",_xlfn.XLOOKUP(D969,product!$A:$A,product!$E:$E,,0))</f>
        <v>HISTORY</v>
      </c>
      <c r="J969" s="5">
        <f>IF(_xlfn.XLOOKUP(D969,product!$A:$A,product!$D:$D,,0)=0,"",_xlfn.XLOOKUP(D969,product!$A:$A,product!$D:$D,,0))</f>
        <v>17.489999999999998</v>
      </c>
      <c r="K969" s="7">
        <f t="shared" si="15"/>
        <v>34.979999999999997</v>
      </c>
      <c r="L969" s="10" t="str">
        <f>IF(_xlfn.XLOOKUP(D969,product!$A:$A,product!$F:$F,,0)=0,"",_xlfn.XLOOKUP(D969,product!$A:$A,product!$F:$F,,0))</f>
        <v>Yes</v>
      </c>
      <c r="M969" t="str">
        <f>IF(_xlfn.XLOOKUP(D969,product!$A:$A,product!G:G,,0)=0,"",_xlfn.XLOOKUP(D969,product!$A:$A,product!G:G,,0))</f>
        <v>None</v>
      </c>
      <c r="N969" t="str">
        <f>IF(_xlfn.XLOOKUP(D969,product!$A:$A,product!$B:$B,,0)=0,"",_xlfn.XLOOKUP(D969,product!$A:$A,product!$B:$B,,0))</f>
        <v>Journey Mind</v>
      </c>
    </row>
    <row r="970" spans="1:14" x14ac:dyDescent="0.35">
      <c r="A970" t="s">
        <v>829</v>
      </c>
      <c r="B970" s="3">
        <v>44983</v>
      </c>
      <c r="C970" t="s">
        <v>1956</v>
      </c>
      <c r="D970" t="s">
        <v>6328</v>
      </c>
      <c r="E970">
        <v>2</v>
      </c>
      <c r="F970" t="str">
        <f>_xlfn.XLOOKUP(C970,customers!$A$1:$A$983,customers!$B$1:$B$983,,0)</f>
        <v>Mark Taylor</v>
      </c>
      <c r="G970" t="str">
        <f>_xlfn.XLOOKUP(C970,customers!$A:$A,customers!$C:$C,,0)</f>
        <v>mark.taylor246@outlook.com</v>
      </c>
      <c r="H970" t="str">
        <f>IF(_xlfn.XLOOKUP(C970,customers!$A:$A,customers!$G:$G,,0)=0,"",_xlfn.XLOOKUP(C970,customers!$A:$A,customers!$G:$G,,0))</f>
        <v>Japan</v>
      </c>
      <c r="I970" t="str">
        <f>IF(_xlfn.XLOOKUP(D970,product!$A:$A,product!$E:$E,,0)=0,"",_xlfn.XLOOKUP(D970,product!$A:$A,product!$E:$E,,0))</f>
        <v>HISTORY</v>
      </c>
      <c r="J970" s="5">
        <f>IF(_xlfn.XLOOKUP(D970,product!$A:$A,product!$D:$D,,0)=0,"",_xlfn.XLOOKUP(D970,product!$A:$A,product!$D:$D,,0))</f>
        <v>34.479999999999997</v>
      </c>
      <c r="K970" s="7">
        <f t="shared" si="15"/>
        <v>68.959999999999994</v>
      </c>
      <c r="L970" s="10" t="str">
        <f>IF(_xlfn.XLOOKUP(D970,product!$A:$A,product!$F:$F,,0)=0,"",_xlfn.XLOOKUP(D970,product!$A:$A,product!$F:$F,,0))</f>
        <v>No</v>
      </c>
      <c r="M970" t="str">
        <f>IF(_xlfn.XLOOKUP(D970,product!$A:$A,product!G:G,,0)=0,"",_xlfn.XLOOKUP(D970,product!$A:$A,product!G:G,,0))</f>
        <v>None</v>
      </c>
      <c r="N970" t="str">
        <f>IF(_xlfn.XLOOKUP(D970,product!$A:$A,product!$B:$B,,0)=0,"",_xlfn.XLOOKUP(D970,product!$A:$A,product!$B:$B,,0))</f>
        <v>Future Science</v>
      </c>
    </row>
    <row r="971" spans="1:14" x14ac:dyDescent="0.35">
      <c r="A971" t="s">
        <v>846</v>
      </c>
      <c r="B971" s="3">
        <v>45457</v>
      </c>
      <c r="C971" t="s">
        <v>2176</v>
      </c>
      <c r="D971" t="s">
        <v>6329</v>
      </c>
      <c r="E971">
        <v>2</v>
      </c>
      <c r="F971" t="str">
        <f>_xlfn.XLOOKUP(C971,customers!$A$1:$A$983,customers!$B$1:$B$983,,0)</f>
        <v>Sophia Lee</v>
      </c>
      <c r="G971" t="str">
        <f>_xlfn.XLOOKUP(C971,customers!$A:$A,customers!$C:$C,,0)</f>
        <v>sophia.lee326@hotmail.com</v>
      </c>
      <c r="H971" t="str">
        <f>IF(_xlfn.XLOOKUP(C971,customers!$A:$A,customers!$G:$G,,0)=0,"",_xlfn.XLOOKUP(C971,customers!$A:$A,customers!$G:$G,,0))</f>
        <v>UAE</v>
      </c>
      <c r="I971" t="str">
        <f>IF(_xlfn.XLOOKUP(D971,product!$A:$A,product!$E:$E,,0)=0,"",_xlfn.XLOOKUP(D971,product!$A:$A,product!$E:$E,,0))</f>
        <v>BUSINESS</v>
      </c>
      <c r="J971" s="5">
        <f>IF(_xlfn.XLOOKUP(D971,product!$A:$A,product!$D:$D,,0)=0,"",_xlfn.XLOOKUP(D971,product!$A:$A,product!$D:$D,,0))</f>
        <v>33.69</v>
      </c>
      <c r="K971" s="7">
        <f t="shared" si="15"/>
        <v>67.38</v>
      </c>
      <c r="L971" s="10" t="str">
        <f>IF(_xlfn.XLOOKUP(D971,product!$A:$A,product!$F:$F,,0)=0,"",_xlfn.XLOOKUP(D971,product!$A:$A,product!$F:$F,,0))</f>
        <v>No</v>
      </c>
      <c r="M971" t="str">
        <f>IF(_xlfn.XLOOKUP(D971,product!$A:$A,product!G:G,,0)=0,"",_xlfn.XLOOKUP(D971,product!$A:$A,product!G:G,,0))</f>
        <v>Gold</v>
      </c>
      <c r="N971" t="str">
        <f>IF(_xlfn.XLOOKUP(D971,product!$A:$A,product!$B:$B,,0)=0,"",_xlfn.XLOOKUP(D971,product!$A:$A,product!$B:$B,,0))</f>
        <v>Secrets Forest</v>
      </c>
    </row>
    <row r="972" spans="1:14" x14ac:dyDescent="0.35">
      <c r="A972" t="s">
        <v>863</v>
      </c>
      <c r="B972" s="3">
        <v>45076</v>
      </c>
      <c r="C972" t="s">
        <v>1851</v>
      </c>
      <c r="D972" t="s">
        <v>6330</v>
      </c>
      <c r="E972">
        <v>2</v>
      </c>
      <c r="F972" t="str">
        <f>_xlfn.XLOOKUP(C972,customers!$A$1:$A$983,customers!$B$1:$B$983,,0)</f>
        <v>Michael Hill</v>
      </c>
      <c r="G972" t="str">
        <f>_xlfn.XLOOKUP(C972,customers!$A:$A,customers!$C:$C,,0)</f>
        <v>michael.hill214@hotmail.com</v>
      </c>
      <c r="H972" t="str">
        <f>IF(_xlfn.XLOOKUP(C972,customers!$A:$A,customers!$G:$G,,0)=0,"",_xlfn.XLOOKUP(C972,customers!$A:$A,customers!$G:$G,,0))</f>
        <v>Japan</v>
      </c>
      <c r="I972" t="str">
        <f>IF(_xlfn.XLOOKUP(D972,product!$A:$A,product!$E:$E,,0)=0,"",_xlfn.XLOOKUP(D972,product!$A:$A,product!$E:$E,,0))</f>
        <v>FICTION</v>
      </c>
      <c r="J972" s="5">
        <f>IF(_xlfn.XLOOKUP(D972,product!$A:$A,product!$D:$D,,0)=0,"",_xlfn.XLOOKUP(D972,product!$A:$A,product!$D:$D,,0))</f>
        <v>38</v>
      </c>
      <c r="K972" s="7">
        <f t="shared" si="15"/>
        <v>76</v>
      </c>
      <c r="L972" s="10" t="str">
        <f>IF(_xlfn.XLOOKUP(D972,product!$A:$A,product!$F:$F,,0)=0,"",_xlfn.XLOOKUP(D972,product!$A:$A,product!$F:$F,,0))</f>
        <v>Yes</v>
      </c>
      <c r="M972" t="str">
        <f>IF(_xlfn.XLOOKUP(D972,product!$A:$A,product!G:G,,0)=0,"",_xlfn.XLOOKUP(D972,product!$A:$A,product!G:G,,0))</f>
        <v>None</v>
      </c>
      <c r="N972" t="str">
        <f>IF(_xlfn.XLOOKUP(D972,product!$A:$A,product!$B:$B,,0)=0,"",_xlfn.XLOOKUP(D972,product!$A:$A,product!$B:$B,,0))</f>
        <v>Secrets Power</v>
      </c>
    </row>
    <row r="973" spans="1:14" x14ac:dyDescent="0.35">
      <c r="A973" t="s">
        <v>880</v>
      </c>
      <c r="B973" s="3">
        <v>45571</v>
      </c>
      <c r="C973" t="s">
        <v>3173</v>
      </c>
      <c r="D973" t="s">
        <v>6331</v>
      </c>
      <c r="E973">
        <v>2</v>
      </c>
      <c r="F973" t="str">
        <f>_xlfn.XLOOKUP(C973,customers!$A$1:$A$983,customers!$B$1:$B$983,,0)</f>
        <v>Michael Scott</v>
      </c>
      <c r="G973" t="str">
        <f>_xlfn.XLOOKUP(C973,customers!$A:$A,customers!$C:$C,,0)</f>
        <v>michael.scott799@gmail.com</v>
      </c>
      <c r="H973" t="str">
        <f>IF(_xlfn.XLOOKUP(C973,customers!$A:$A,customers!$G:$G,,0)=0,"",_xlfn.XLOOKUP(C973,customers!$A:$A,customers!$G:$G,,0))</f>
        <v>Japan</v>
      </c>
      <c r="I973" t="str">
        <f>IF(_xlfn.XLOOKUP(D973,product!$A:$A,product!$E:$E,,0)=0,"",_xlfn.XLOOKUP(D973,product!$A:$A,product!$E:$E,,0))</f>
        <v>SCIENCE</v>
      </c>
      <c r="J973" s="5">
        <f>IF(_xlfn.XLOOKUP(D973,product!$A:$A,product!$D:$D,,0)=0,"",_xlfn.XLOOKUP(D973,product!$A:$A,product!$D:$D,,0))</f>
        <v>13.23</v>
      </c>
      <c r="K973" s="7">
        <f t="shared" si="15"/>
        <v>26.46</v>
      </c>
      <c r="L973" s="10" t="str">
        <f>IF(_xlfn.XLOOKUP(D973,product!$A:$A,product!$F:$F,,0)=0,"",_xlfn.XLOOKUP(D973,product!$A:$A,product!$F:$F,,0))</f>
        <v>No</v>
      </c>
      <c r="M973" t="str">
        <f>IF(_xlfn.XLOOKUP(D973,product!$A:$A,product!G:G,,0)=0,"",_xlfn.XLOOKUP(D973,product!$A:$A,product!G:G,,0))</f>
        <v>Silver</v>
      </c>
      <c r="N973" t="str">
        <f>IF(_xlfn.XLOOKUP(D973,product!$A:$A,product!$B:$B,,0)=0,"",_xlfn.XLOOKUP(D973,product!$A:$A,product!$B:$B,,0))</f>
        <v>Journey Forest</v>
      </c>
    </row>
    <row r="974" spans="1:14" x14ac:dyDescent="0.35">
      <c r="A974" t="s">
        <v>897</v>
      </c>
      <c r="B974" s="3">
        <v>45109</v>
      </c>
      <c r="C974" t="s">
        <v>3335</v>
      </c>
      <c r="D974" t="s">
        <v>6332</v>
      </c>
      <c r="E974">
        <v>2</v>
      </c>
      <c r="F974" t="str">
        <f>_xlfn.XLOOKUP(C974,customers!$A$1:$A$983,customers!$B$1:$B$983,,0)</f>
        <v>Ella Clark</v>
      </c>
      <c r="G974" t="str">
        <f>_xlfn.XLOOKUP(C974,customers!$A:$A,customers!$C:$C,,0)</f>
        <v>ella.clark881@yahoo.com</v>
      </c>
      <c r="H974" t="str">
        <f>IF(_xlfn.XLOOKUP(C974,customers!$A:$A,customers!$G:$G,,0)=0,"",_xlfn.XLOOKUP(C974,customers!$A:$A,customers!$G:$G,,0))</f>
        <v>Spain</v>
      </c>
      <c r="I974" t="str">
        <f>IF(_xlfn.XLOOKUP(D974,product!$A:$A,product!$E:$E,,0)=0,"",_xlfn.XLOOKUP(D974,product!$A:$A,product!$E:$E,,0))</f>
        <v>BUSINESS</v>
      </c>
      <c r="J974" s="5">
        <f>IF(_xlfn.XLOOKUP(D974,product!$A:$A,product!$D:$D,,0)=0,"",_xlfn.XLOOKUP(D974,product!$A:$A,product!$D:$D,,0))</f>
        <v>11.53</v>
      </c>
      <c r="K974" s="7">
        <f t="shared" si="15"/>
        <v>23.06</v>
      </c>
      <c r="L974" s="10" t="str">
        <f>IF(_xlfn.XLOOKUP(D974,product!$A:$A,product!$F:$F,,0)=0,"",_xlfn.XLOOKUP(D974,product!$A:$A,product!$F:$F,,0))</f>
        <v>No</v>
      </c>
      <c r="M974" t="str">
        <f>IF(_xlfn.XLOOKUP(D974,product!$A:$A,product!G:G,,0)=0,"",_xlfn.XLOOKUP(D974,product!$A:$A,product!G:G,,0))</f>
        <v>None</v>
      </c>
      <c r="N974" t="str">
        <f>IF(_xlfn.XLOOKUP(D974,product!$A:$A,product!$B:$B,,0)=0,"",_xlfn.XLOOKUP(D974,product!$A:$A,product!$B:$B,,0))</f>
        <v>Journey Silent</v>
      </c>
    </row>
    <row r="975" spans="1:14" x14ac:dyDescent="0.35">
      <c r="A975" t="s">
        <v>914</v>
      </c>
      <c r="B975" s="3">
        <v>45533</v>
      </c>
      <c r="C975" t="s">
        <v>3348</v>
      </c>
      <c r="D975" t="s">
        <v>6333</v>
      </c>
      <c r="E975">
        <v>2</v>
      </c>
      <c r="F975" t="str">
        <f>_xlfn.XLOOKUP(C975,customers!$A$1:$A$983,customers!$B$1:$B$983,,0)</f>
        <v>Mia Jackson</v>
      </c>
      <c r="G975" t="str">
        <f>_xlfn.XLOOKUP(C975,customers!$A:$A,customers!$C:$C,,0)</f>
        <v>mia.jackson888@yahoo.com</v>
      </c>
      <c r="H975" t="str">
        <f>IF(_xlfn.XLOOKUP(C975,customers!$A:$A,customers!$G:$G,,0)=0,"",_xlfn.XLOOKUP(C975,customers!$A:$A,customers!$G:$G,,0))</f>
        <v>Egypt</v>
      </c>
      <c r="I975" t="str">
        <f>IF(_xlfn.XLOOKUP(D975,product!$A:$A,product!$E:$E,,0)=0,"",_xlfn.XLOOKUP(D975,product!$A:$A,product!$E:$E,,0))</f>
        <v>FICTION</v>
      </c>
      <c r="J975" s="5">
        <f>IF(_xlfn.XLOOKUP(D975,product!$A:$A,product!$D:$D,,0)=0,"",_xlfn.XLOOKUP(D975,product!$A:$A,product!$D:$D,,0))</f>
        <v>38.479999999999997</v>
      </c>
      <c r="K975" s="7">
        <f t="shared" si="15"/>
        <v>76.959999999999994</v>
      </c>
      <c r="L975" s="10" t="str">
        <f>IF(_xlfn.XLOOKUP(D975,product!$A:$A,product!$F:$F,,0)=0,"",_xlfn.XLOOKUP(D975,product!$A:$A,product!$F:$F,,0))</f>
        <v>Yes</v>
      </c>
      <c r="M975" t="str">
        <f>IF(_xlfn.XLOOKUP(D975,product!$A:$A,product!G:G,,0)=0,"",_xlfn.XLOOKUP(D975,product!$A:$A,product!G:G,,0))</f>
        <v>None</v>
      </c>
      <c r="N975" t="str">
        <f>IF(_xlfn.XLOOKUP(D975,product!$A:$A,product!$B:$B,,0)=0,"",_xlfn.XLOOKUP(D975,product!$A:$A,product!$B:$B,,0))</f>
        <v>Forest Mind</v>
      </c>
    </row>
    <row r="976" spans="1:14" x14ac:dyDescent="0.35">
      <c r="A976" t="s">
        <v>931</v>
      </c>
      <c r="B976" s="3">
        <v>44938</v>
      </c>
      <c r="C976" t="s">
        <v>2124</v>
      </c>
      <c r="D976" t="s">
        <v>6334</v>
      </c>
      <c r="E976">
        <v>2</v>
      </c>
      <c r="F976" t="str">
        <f>_xlfn.XLOOKUP(C976,customers!$A$1:$A$983,customers!$B$1:$B$983,,0)</f>
        <v>Olivia Walker</v>
      </c>
      <c r="G976" t="str">
        <f>_xlfn.XLOOKUP(C976,customers!$A:$A,customers!$C:$C,,0)</f>
        <v>olivia.walker305@hotmail.com</v>
      </c>
      <c r="H976" t="str">
        <f>IF(_xlfn.XLOOKUP(C976,customers!$A:$A,customers!$G:$G,,0)=0,"",_xlfn.XLOOKUP(C976,customers!$A:$A,customers!$G:$G,,0))</f>
        <v>Spain</v>
      </c>
      <c r="I976" t="str">
        <f>IF(_xlfn.XLOOKUP(D976,product!$A:$A,product!$E:$E,,0)=0,"",_xlfn.XLOOKUP(D976,product!$A:$A,product!$E:$E,,0))</f>
        <v>HISTORY</v>
      </c>
      <c r="J976" s="5">
        <f>IF(_xlfn.XLOOKUP(D976,product!$A:$A,product!$D:$D,,0)=0,"",_xlfn.XLOOKUP(D976,product!$A:$A,product!$D:$D,,0))</f>
        <v>37.659999999999997</v>
      </c>
      <c r="K976" s="7">
        <f t="shared" si="15"/>
        <v>75.319999999999993</v>
      </c>
      <c r="L976" s="10" t="str">
        <f>IF(_xlfn.XLOOKUP(D976,product!$A:$A,product!$F:$F,,0)=0,"",_xlfn.XLOOKUP(D976,product!$A:$A,product!$F:$F,,0))</f>
        <v>Yes</v>
      </c>
      <c r="M976" t="str">
        <f>IF(_xlfn.XLOOKUP(D976,product!$A:$A,product!G:G,,0)=0,"",_xlfn.XLOOKUP(D976,product!$A:$A,product!G:G,,0))</f>
        <v>Gold</v>
      </c>
      <c r="N976" t="str">
        <f>IF(_xlfn.XLOOKUP(D976,product!$A:$A,product!$B:$B,,0)=0,"",_xlfn.XLOOKUP(D976,product!$A:$A,product!$B:$B,,0))</f>
        <v>Journey Science</v>
      </c>
    </row>
    <row r="977" spans="1:14" x14ac:dyDescent="0.35">
      <c r="A977" t="s">
        <v>948</v>
      </c>
      <c r="B977" s="3">
        <v>45398</v>
      </c>
      <c r="C977" t="s">
        <v>2339</v>
      </c>
      <c r="D977" t="s">
        <v>6335</v>
      </c>
      <c r="E977">
        <v>2</v>
      </c>
      <c r="F977" t="str">
        <f>_xlfn.XLOOKUP(C977,customers!$A$1:$A$983,customers!$B$1:$B$983,,0)</f>
        <v>Lucy Adams</v>
      </c>
      <c r="G977" t="str">
        <f>_xlfn.XLOOKUP(C977,customers!$A:$A,customers!$C:$C,,0)</f>
        <v>lucy.adams397@gmail.com</v>
      </c>
      <c r="H977" t="str">
        <f>IF(_xlfn.XLOOKUP(C977,customers!$A:$A,customers!$G:$G,,0)=0,"",_xlfn.XLOOKUP(C977,customers!$A:$A,customers!$G:$G,,0))</f>
        <v>USA</v>
      </c>
      <c r="I977" t="str">
        <f>IF(_xlfn.XLOOKUP(D977,product!$A:$A,product!$E:$E,,0)=0,"",_xlfn.XLOOKUP(D977,product!$A:$A,product!$E:$E,,0))</f>
        <v>BUSINESS</v>
      </c>
      <c r="J977" s="5">
        <f>IF(_xlfn.XLOOKUP(D977,product!$A:$A,product!$D:$D,,0)=0,"",_xlfn.XLOOKUP(D977,product!$A:$A,product!$D:$D,,0))</f>
        <v>38.19</v>
      </c>
      <c r="K977" s="7">
        <f t="shared" si="15"/>
        <v>76.38</v>
      </c>
      <c r="L977" s="10" t="str">
        <f>IF(_xlfn.XLOOKUP(D977,product!$A:$A,product!$F:$F,,0)=0,"",_xlfn.XLOOKUP(D977,product!$A:$A,product!$F:$F,,0))</f>
        <v>Yes</v>
      </c>
      <c r="M977" t="str">
        <f>IF(_xlfn.XLOOKUP(D977,product!$A:$A,product!G:G,,0)=0,"",_xlfn.XLOOKUP(D977,product!$A:$A,product!G:G,,0))</f>
        <v>None</v>
      </c>
      <c r="N977" t="str">
        <f>IF(_xlfn.XLOOKUP(D977,product!$A:$A,product!$B:$B,,0)=0,"",_xlfn.XLOOKUP(D977,product!$A:$A,product!$B:$B,,0))</f>
        <v>Science Secrets</v>
      </c>
    </row>
    <row r="978" spans="1:14" x14ac:dyDescent="0.35">
      <c r="A978" t="s">
        <v>965</v>
      </c>
      <c r="B978" s="3">
        <v>45189</v>
      </c>
      <c r="C978" t="s">
        <v>2974</v>
      </c>
      <c r="D978" t="s">
        <v>6336</v>
      </c>
      <c r="E978">
        <v>2</v>
      </c>
      <c r="F978" t="str">
        <f>_xlfn.XLOOKUP(C978,customers!$A$1:$A$983,customers!$B$1:$B$983,,0)</f>
        <v>James Hill</v>
      </c>
      <c r="G978" t="str">
        <f>_xlfn.XLOOKUP(C978,customers!$A:$A,customers!$C:$C,,0)</f>
        <v>james.hill701@hotmail.com</v>
      </c>
      <c r="H978" t="str">
        <f>IF(_xlfn.XLOOKUP(C978,customers!$A:$A,customers!$G:$G,,0)=0,"",_xlfn.XLOOKUP(C978,customers!$A:$A,customers!$G:$G,,0))</f>
        <v>Spain</v>
      </c>
      <c r="I978" t="str">
        <f>IF(_xlfn.XLOOKUP(D978,product!$A:$A,product!$E:$E,,0)=0,"",_xlfn.XLOOKUP(D978,product!$A:$A,product!$E:$E,,0))</f>
        <v>FICTION</v>
      </c>
      <c r="J978" s="5">
        <f>IF(_xlfn.XLOOKUP(D978,product!$A:$A,product!$D:$D,,0)=0,"",_xlfn.XLOOKUP(D978,product!$A:$A,product!$D:$D,,0))</f>
        <v>31.86</v>
      </c>
      <c r="K978" s="7">
        <f t="shared" si="15"/>
        <v>63.72</v>
      </c>
      <c r="L978" s="10" t="str">
        <f>IF(_xlfn.XLOOKUP(D978,product!$A:$A,product!$F:$F,,0)=0,"",_xlfn.XLOOKUP(D978,product!$A:$A,product!$F:$F,,0))</f>
        <v>No</v>
      </c>
      <c r="M978" t="str">
        <f>IF(_xlfn.XLOOKUP(D978,product!$A:$A,product!G:G,,0)=0,"",_xlfn.XLOOKUP(D978,product!$A:$A,product!G:G,,0))</f>
        <v>Platinum</v>
      </c>
      <c r="N978" t="str">
        <f>IF(_xlfn.XLOOKUP(D978,product!$A:$A,product!$B:$B,,0)=0,"",_xlfn.XLOOKUP(D978,product!$A:$A,product!$B:$B,,0))</f>
        <v>Power Quantum</v>
      </c>
    </row>
    <row r="979" spans="1:14" x14ac:dyDescent="0.35">
      <c r="A979" t="s">
        <v>982</v>
      </c>
      <c r="B979" s="3">
        <v>45644</v>
      </c>
      <c r="C979" t="s">
        <v>2084</v>
      </c>
      <c r="D979" t="s">
        <v>6337</v>
      </c>
      <c r="E979">
        <v>2</v>
      </c>
      <c r="F979" t="str">
        <f>_xlfn.XLOOKUP(C979,customers!$A$1:$A$983,customers!$B$1:$B$983,,0)</f>
        <v>Michael Johnson</v>
      </c>
      <c r="G979" t="str">
        <f>_xlfn.XLOOKUP(C979,customers!$A:$A,customers!$C:$C,,0)</f>
        <v>michael.johnson290@gmail.com</v>
      </c>
      <c r="H979" t="str">
        <f>IF(_xlfn.XLOOKUP(C979,customers!$A:$A,customers!$G:$G,,0)=0,"",_xlfn.XLOOKUP(C979,customers!$A:$A,customers!$G:$G,,0))</f>
        <v>Pakistan</v>
      </c>
      <c r="I979" t="str">
        <f>IF(_xlfn.XLOOKUP(D979,product!$A:$A,product!$E:$E,,0)=0,"",_xlfn.XLOOKUP(D979,product!$A:$A,product!$E:$E,,0))</f>
        <v>SCIENCE</v>
      </c>
      <c r="J979" s="5">
        <f>IF(_xlfn.XLOOKUP(D979,product!$A:$A,product!$D:$D,,0)=0,"",_xlfn.XLOOKUP(D979,product!$A:$A,product!$D:$D,,0))</f>
        <v>23.79</v>
      </c>
      <c r="K979" s="7">
        <f t="shared" si="15"/>
        <v>47.58</v>
      </c>
      <c r="L979" s="10" t="str">
        <f>IF(_xlfn.XLOOKUP(D979,product!$A:$A,product!$F:$F,,0)=0,"",_xlfn.XLOOKUP(D979,product!$A:$A,product!$F:$F,,0))</f>
        <v>Yes</v>
      </c>
      <c r="M979" t="str">
        <f>IF(_xlfn.XLOOKUP(D979,product!$A:$A,product!G:G,,0)=0,"",_xlfn.XLOOKUP(D979,product!$A:$A,product!G:G,,0))</f>
        <v>None</v>
      </c>
      <c r="N979" t="str">
        <f>IF(_xlfn.XLOOKUP(D979,product!$A:$A,product!$B:$B,,0)=0,"",_xlfn.XLOOKUP(D979,product!$A:$A,product!$B:$B,,0))</f>
        <v>Power Journey</v>
      </c>
    </row>
    <row r="980" spans="1:14" x14ac:dyDescent="0.35">
      <c r="A980" t="s">
        <v>999</v>
      </c>
      <c r="B980" s="3">
        <v>44998</v>
      </c>
      <c r="C980" t="s">
        <v>2945</v>
      </c>
      <c r="D980" t="s">
        <v>6338</v>
      </c>
      <c r="E980">
        <v>2</v>
      </c>
      <c r="F980" t="str">
        <f>_xlfn.XLOOKUP(C980,customers!$A$1:$A$983,customers!$B$1:$B$983,,0)</f>
        <v>Emily Allen</v>
      </c>
      <c r="G980" t="str">
        <f>_xlfn.XLOOKUP(C980,customers!$A:$A,customers!$C:$C,,0)</f>
        <v>emily.allen687@outlook.com</v>
      </c>
      <c r="H980" t="str">
        <f>IF(_xlfn.XLOOKUP(C980,customers!$A:$A,customers!$G:$G,,0)=0,"",_xlfn.XLOOKUP(C980,customers!$A:$A,customers!$G:$G,,0))</f>
        <v>Japan</v>
      </c>
      <c r="I980" t="str">
        <f>IF(_xlfn.XLOOKUP(D980,product!$A:$A,product!$E:$E,,0)=0,"",_xlfn.XLOOKUP(D980,product!$A:$A,product!$E:$E,,0))</f>
        <v>TECH</v>
      </c>
      <c r="J980" s="5">
        <f>IF(_xlfn.XLOOKUP(D980,product!$A:$A,product!$D:$D,,0)=0,"",_xlfn.XLOOKUP(D980,product!$A:$A,product!$D:$D,,0))</f>
        <v>20</v>
      </c>
      <c r="K980" s="7">
        <f t="shared" si="15"/>
        <v>40</v>
      </c>
      <c r="L980" s="10" t="str">
        <f>IF(_xlfn.XLOOKUP(D980,product!$A:$A,product!$F:$F,,0)=0,"",_xlfn.XLOOKUP(D980,product!$A:$A,product!$F:$F,,0))</f>
        <v>No</v>
      </c>
      <c r="M980" t="str">
        <f>IF(_xlfn.XLOOKUP(D980,product!$A:$A,product!G:G,,0)=0,"",_xlfn.XLOOKUP(D980,product!$A:$A,product!G:G,,0))</f>
        <v>Gold</v>
      </c>
      <c r="N980" t="str">
        <f>IF(_xlfn.XLOOKUP(D980,product!$A:$A,product!$B:$B,,0)=0,"",_xlfn.XLOOKUP(D980,product!$A:$A,product!$B:$B,,0))</f>
        <v>Journey Quantum</v>
      </c>
    </row>
    <row r="981" spans="1:14" x14ac:dyDescent="0.35">
      <c r="A981" t="s">
        <v>1016</v>
      </c>
      <c r="B981" s="3">
        <v>45338</v>
      </c>
      <c r="C981" t="s">
        <v>1929</v>
      </c>
      <c r="D981" t="s">
        <v>6339</v>
      </c>
      <c r="E981">
        <v>2</v>
      </c>
      <c r="F981" t="str">
        <f>_xlfn.XLOOKUP(C981,customers!$A$1:$A$983,customers!$B$1:$B$983,,0)</f>
        <v>Jessica Wright</v>
      </c>
      <c r="G981" t="str">
        <f>_xlfn.XLOOKUP(C981,customers!$A:$A,customers!$C:$C,,0)</f>
        <v>jessica.wright238@gmail.com</v>
      </c>
      <c r="H981" t="str">
        <f>IF(_xlfn.XLOOKUP(C981,customers!$A:$A,customers!$G:$G,,0)=0,"",_xlfn.XLOOKUP(C981,customers!$A:$A,customers!$G:$G,,0))</f>
        <v>Sweden</v>
      </c>
      <c r="I981" t="str">
        <f>IF(_xlfn.XLOOKUP(D981,product!$A:$A,product!$E:$E,,0)=0,"",_xlfn.XLOOKUP(D981,product!$A:$A,product!$E:$E,,0))</f>
        <v>HISTORY</v>
      </c>
      <c r="J981" s="5">
        <f>IF(_xlfn.XLOOKUP(D981,product!$A:$A,product!$D:$D,,0)=0,"",_xlfn.XLOOKUP(D981,product!$A:$A,product!$D:$D,,0))</f>
        <v>15.95</v>
      </c>
      <c r="K981" s="7">
        <f t="shared" si="15"/>
        <v>31.9</v>
      </c>
      <c r="L981" s="10" t="str">
        <f>IF(_xlfn.XLOOKUP(D981,product!$A:$A,product!$F:$F,,0)=0,"",_xlfn.XLOOKUP(D981,product!$A:$A,product!$F:$F,,0))</f>
        <v>Yes</v>
      </c>
      <c r="M981" t="str">
        <f>IF(_xlfn.XLOOKUP(D981,product!$A:$A,product!G:G,,0)=0,"",_xlfn.XLOOKUP(D981,product!$A:$A,product!G:G,,0))</f>
        <v>Gold</v>
      </c>
      <c r="N981" t="str">
        <f>IF(_xlfn.XLOOKUP(D981,product!$A:$A,product!$B:$B,,0)=0,"",_xlfn.XLOOKUP(D981,product!$A:$A,product!$B:$B,,0))</f>
        <v>Silent Power</v>
      </c>
    </row>
    <row r="982" spans="1:14" x14ac:dyDescent="0.35">
      <c r="A982" t="s">
        <v>1033</v>
      </c>
      <c r="B982" s="3">
        <v>45147</v>
      </c>
      <c r="C982" t="s">
        <v>1645</v>
      </c>
      <c r="D982" t="s">
        <v>6340</v>
      </c>
      <c r="E982">
        <v>2</v>
      </c>
      <c r="F982" t="str">
        <f>_xlfn.XLOOKUP(C982,customers!$A$1:$A$983,customers!$B$1:$B$983,,0)</f>
        <v>Ava Clark</v>
      </c>
      <c r="G982" t="str">
        <f>_xlfn.XLOOKUP(C982,customers!$A:$A,customers!$C:$C,,0)</f>
        <v>ava.clark159@outlook.com</v>
      </c>
      <c r="H982" t="str">
        <f>IF(_xlfn.XLOOKUP(C982,customers!$A:$A,customers!$G:$G,,0)=0,"",_xlfn.XLOOKUP(C982,customers!$A:$A,customers!$G:$G,,0))</f>
        <v>Spain</v>
      </c>
      <c r="I982" t="str">
        <f>IF(_xlfn.XLOOKUP(D982,product!$A:$A,product!$E:$E,,0)=0,"",_xlfn.XLOOKUP(D982,product!$A:$A,product!$E:$E,,0))</f>
        <v>HISTORY</v>
      </c>
      <c r="J982" s="5">
        <f>IF(_xlfn.XLOOKUP(D982,product!$A:$A,product!$D:$D,,0)=0,"",_xlfn.XLOOKUP(D982,product!$A:$A,product!$D:$D,,0))</f>
        <v>38.450000000000003</v>
      </c>
      <c r="K982" s="7">
        <f t="shared" si="15"/>
        <v>76.900000000000006</v>
      </c>
      <c r="L982" s="10" t="str">
        <f>IF(_xlfn.XLOOKUP(D982,product!$A:$A,product!$F:$F,,0)=0,"",_xlfn.XLOOKUP(D982,product!$A:$A,product!$F:$F,,0))</f>
        <v>Yes</v>
      </c>
      <c r="M982" t="str">
        <f>IF(_xlfn.XLOOKUP(D982,product!$A:$A,product!G:G,,0)=0,"",_xlfn.XLOOKUP(D982,product!$A:$A,product!G:G,,0))</f>
        <v>Silver</v>
      </c>
      <c r="N982" t="str">
        <f>IF(_xlfn.XLOOKUP(D982,product!$A:$A,product!$B:$B,,0)=0,"",_xlfn.XLOOKUP(D982,product!$A:$A,product!$B:$B,,0))</f>
        <v>Science Silent</v>
      </c>
    </row>
    <row r="983" spans="1:14" x14ac:dyDescent="0.35">
      <c r="A983" t="s">
        <v>1050</v>
      </c>
      <c r="B983" s="3">
        <v>45439</v>
      </c>
      <c r="C983" t="s">
        <v>2207</v>
      </c>
      <c r="D983" t="s">
        <v>6341</v>
      </c>
      <c r="E983">
        <v>2</v>
      </c>
      <c r="F983" t="str">
        <f>_xlfn.XLOOKUP(C983,customers!$A$1:$A$983,customers!$B$1:$B$983,,0)</f>
        <v>Peter Wright</v>
      </c>
      <c r="G983" t="str">
        <f>_xlfn.XLOOKUP(C983,customers!$A:$A,customers!$C:$C,,0)</f>
        <v>peter.wright340@gmail.com</v>
      </c>
      <c r="H983" t="str">
        <f>IF(_xlfn.XLOOKUP(C983,customers!$A:$A,customers!$G:$G,,0)=0,"",_xlfn.XLOOKUP(C983,customers!$A:$A,customers!$G:$G,,0))</f>
        <v>Japan</v>
      </c>
      <c r="I983" t="str">
        <f>IF(_xlfn.XLOOKUP(D983,product!$A:$A,product!$E:$E,,0)=0,"",_xlfn.XLOOKUP(D983,product!$A:$A,product!$E:$E,,0))</f>
        <v>FICTION</v>
      </c>
      <c r="J983" s="6">
        <f>IF(_xlfn.XLOOKUP(D983,product!$A:$A,product!$D:$D,,0)=0,"",_xlfn.XLOOKUP(D983,product!$A:$A,product!$D:$D,,0))</f>
        <v>39.61</v>
      </c>
      <c r="K983" s="7">
        <f t="shared" si="15"/>
        <v>79.22</v>
      </c>
      <c r="L983" s="10" t="str">
        <f>IF(_xlfn.XLOOKUP(D983,product!$A:$A,product!$F:$F,,0)=0,"",_xlfn.XLOOKUP(D983,product!$A:$A,product!$F:$F,,0))</f>
        <v>No</v>
      </c>
      <c r="M983" t="str">
        <f>IF(_xlfn.XLOOKUP(D983,product!$A:$A,product!G:G,,0)=0,"",_xlfn.XLOOKUP(D983,product!$A:$A,product!G:G,,0))</f>
        <v>Gold</v>
      </c>
      <c r="N983" t="str">
        <f>IF(_xlfn.XLOOKUP(D983,product!$A:$A,product!$B:$B,,0)=0,"",_xlfn.XLOOKUP(D983,product!$A:$A,product!$B:$B,,0))</f>
        <v>Secrets Forest</v>
      </c>
    </row>
  </sheetData>
  <sortState xmlns:xlrd2="http://schemas.microsoft.com/office/spreadsheetml/2017/richdata2" ref="A2:K983">
    <sortCondition ref="D1:D98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9245E-B651-497B-92CC-1E15D0FB0D4C}">
  <dimension ref="A1:M984"/>
  <sheetViews>
    <sheetView workbookViewId="0">
      <selection activeCell="G1" sqref="G1:G1048576"/>
    </sheetView>
  </sheetViews>
  <sheetFormatPr defaultRowHeight="14.5" x14ac:dyDescent="0.35"/>
  <cols>
    <col min="1" max="1" width="13.36328125" customWidth="1"/>
    <col min="2" max="2" width="11.81640625" customWidth="1"/>
    <col min="10" max="10" width="10.26953125" style="3" bestFit="1" customWidth="1"/>
    <col min="13" max="13" width="11.81640625" customWidth="1"/>
  </cols>
  <sheetData>
    <row r="1" spans="1:13" x14ac:dyDescent="0.35">
      <c r="A1" t="s">
        <v>2</v>
      </c>
      <c r="B1" t="s">
        <v>61</v>
      </c>
      <c r="C1" t="s">
        <v>62</v>
      </c>
      <c r="D1" t="s">
        <v>63</v>
      </c>
      <c r="E1" t="s">
        <v>64</v>
      </c>
      <c r="F1" t="s">
        <v>65</v>
      </c>
      <c r="G1" t="s">
        <v>66</v>
      </c>
      <c r="H1" t="s">
        <v>67</v>
      </c>
      <c r="I1" t="s">
        <v>68</v>
      </c>
      <c r="J1" s="3" t="s">
        <v>69</v>
      </c>
    </row>
    <row r="2" spans="1:13" x14ac:dyDescent="0.35">
      <c r="A2" t="s">
        <v>95</v>
      </c>
      <c r="B2" t="s">
        <v>4528</v>
      </c>
      <c r="C2" t="s">
        <v>3546</v>
      </c>
      <c r="D2" t="s">
        <v>2663</v>
      </c>
      <c r="E2" t="s">
        <v>3535</v>
      </c>
      <c r="F2" t="s">
        <v>1404</v>
      </c>
      <c r="G2" t="s">
        <v>70</v>
      </c>
      <c r="H2">
        <v>33139</v>
      </c>
      <c r="I2" t="s">
        <v>74</v>
      </c>
      <c r="J2" s="3">
        <v>44893</v>
      </c>
      <c r="M2" t="str">
        <f>V2&amp;" "&amp;W2</f>
        <v xml:space="preserve"> </v>
      </c>
    </row>
    <row r="3" spans="1:13" x14ac:dyDescent="0.35">
      <c r="A3" t="s">
        <v>100</v>
      </c>
      <c r="B3" t="s">
        <v>4529</v>
      </c>
      <c r="C3" t="s">
        <v>3547</v>
      </c>
      <c r="D3" t="s">
        <v>2436</v>
      </c>
      <c r="E3" t="s">
        <v>3533</v>
      </c>
      <c r="F3" t="s">
        <v>78</v>
      </c>
      <c r="G3" t="s">
        <v>79</v>
      </c>
      <c r="H3">
        <v>123456</v>
      </c>
      <c r="I3" t="s">
        <v>80</v>
      </c>
      <c r="J3" s="3">
        <v>45146</v>
      </c>
    </row>
    <row r="4" spans="1:13" x14ac:dyDescent="0.35">
      <c r="A4" t="s">
        <v>105</v>
      </c>
      <c r="B4" t="s">
        <v>4530</v>
      </c>
      <c r="C4" t="s">
        <v>3548</v>
      </c>
      <c r="D4" t="s">
        <v>1487</v>
      </c>
      <c r="E4" t="s">
        <v>3531</v>
      </c>
      <c r="F4" t="s">
        <v>75</v>
      </c>
      <c r="G4" t="s">
        <v>76</v>
      </c>
      <c r="H4" t="s">
        <v>1385</v>
      </c>
      <c r="I4" t="s">
        <v>71</v>
      </c>
      <c r="J4" s="3">
        <v>44497</v>
      </c>
      <c r="M4" t="str">
        <f t="shared" ref="M4:M67" si="0">V4&amp;" "&amp;W4</f>
        <v xml:space="preserve"> </v>
      </c>
    </row>
    <row r="5" spans="1:13" x14ac:dyDescent="0.35">
      <c r="A5" t="s">
        <v>111</v>
      </c>
      <c r="B5" t="s">
        <v>4531</v>
      </c>
      <c r="C5" t="s">
        <v>3549</v>
      </c>
      <c r="D5" t="s">
        <v>1997</v>
      </c>
      <c r="E5" t="s">
        <v>3529</v>
      </c>
      <c r="F5" t="s">
        <v>1198</v>
      </c>
      <c r="G5" t="s">
        <v>1070</v>
      </c>
      <c r="H5" t="s">
        <v>1199</v>
      </c>
      <c r="I5" t="s">
        <v>74</v>
      </c>
      <c r="J5" s="3">
        <v>44907</v>
      </c>
      <c r="M5" t="str">
        <f t="shared" si="0"/>
        <v xml:space="preserve"> </v>
      </c>
    </row>
    <row r="6" spans="1:13" x14ac:dyDescent="0.35">
      <c r="A6" t="s">
        <v>116</v>
      </c>
      <c r="B6" t="s">
        <v>4532</v>
      </c>
      <c r="C6" t="s">
        <v>3550</v>
      </c>
      <c r="D6" t="s">
        <v>1908</v>
      </c>
      <c r="E6" t="s">
        <v>3527</v>
      </c>
      <c r="F6" t="s">
        <v>1075</v>
      </c>
      <c r="G6" t="s">
        <v>1076</v>
      </c>
      <c r="H6">
        <v>12311</v>
      </c>
      <c r="I6" t="s">
        <v>80</v>
      </c>
      <c r="J6" s="3">
        <v>45119</v>
      </c>
      <c r="M6" t="str">
        <f t="shared" si="0"/>
        <v xml:space="preserve"> </v>
      </c>
    </row>
    <row r="7" spans="1:13" x14ac:dyDescent="0.35">
      <c r="A7" t="s">
        <v>121</v>
      </c>
      <c r="B7" t="s">
        <v>4533</v>
      </c>
      <c r="C7" t="s">
        <v>3551</v>
      </c>
      <c r="D7" t="s">
        <v>1991</v>
      </c>
      <c r="E7" t="s">
        <v>3525</v>
      </c>
      <c r="F7" t="s">
        <v>1159</v>
      </c>
      <c r="G7" t="s">
        <v>73</v>
      </c>
      <c r="H7">
        <v>8008</v>
      </c>
      <c r="I7" t="s">
        <v>71</v>
      </c>
      <c r="J7" s="3">
        <v>44518</v>
      </c>
      <c r="M7" t="str">
        <f t="shared" si="0"/>
        <v xml:space="preserve"> </v>
      </c>
    </row>
    <row r="8" spans="1:13" x14ac:dyDescent="0.35">
      <c r="A8" t="s">
        <v>126</v>
      </c>
      <c r="B8" t="s">
        <v>4534</v>
      </c>
      <c r="C8" t="s">
        <v>3552</v>
      </c>
      <c r="D8" t="s">
        <v>1987</v>
      </c>
      <c r="E8" t="s">
        <v>3523</v>
      </c>
      <c r="F8" t="s">
        <v>1170</v>
      </c>
      <c r="H8" t="s">
        <v>1989</v>
      </c>
      <c r="I8" t="s">
        <v>74</v>
      </c>
      <c r="J8" s="3">
        <v>44812</v>
      </c>
      <c r="M8" t="str">
        <f t="shared" si="0"/>
        <v xml:space="preserve"> </v>
      </c>
    </row>
    <row r="9" spans="1:13" x14ac:dyDescent="0.35">
      <c r="A9" t="s">
        <v>1061</v>
      </c>
      <c r="B9" t="s">
        <v>4535</v>
      </c>
      <c r="C9" t="s">
        <v>3553</v>
      </c>
      <c r="D9" t="s">
        <v>1984</v>
      </c>
      <c r="E9" t="s">
        <v>3521</v>
      </c>
      <c r="F9" t="s">
        <v>72</v>
      </c>
      <c r="G9" t="s">
        <v>73</v>
      </c>
      <c r="H9">
        <v>28006</v>
      </c>
      <c r="I9" t="s">
        <v>80</v>
      </c>
      <c r="J9" s="3">
        <v>45105</v>
      </c>
      <c r="M9" t="str">
        <f t="shared" si="0"/>
        <v xml:space="preserve"> </v>
      </c>
    </row>
    <row r="10" spans="1:13" x14ac:dyDescent="0.35">
      <c r="A10" t="s">
        <v>1066</v>
      </c>
      <c r="B10" t="s">
        <v>4536</v>
      </c>
      <c r="C10" t="s">
        <v>3554</v>
      </c>
      <c r="D10" t="s">
        <v>1981</v>
      </c>
      <c r="E10" t="s">
        <v>3519</v>
      </c>
      <c r="F10" t="s">
        <v>90</v>
      </c>
      <c r="G10" t="s">
        <v>91</v>
      </c>
      <c r="H10">
        <v>10178</v>
      </c>
      <c r="I10" t="s">
        <v>71</v>
      </c>
      <c r="J10" s="3">
        <v>44552</v>
      </c>
      <c r="M10" t="str">
        <f t="shared" si="0"/>
        <v xml:space="preserve"> </v>
      </c>
    </row>
    <row r="11" spans="1:13" x14ac:dyDescent="0.35">
      <c r="A11" t="s">
        <v>1072</v>
      </c>
      <c r="B11" t="s">
        <v>4537</v>
      </c>
      <c r="C11" t="s">
        <v>3555</v>
      </c>
      <c r="D11" t="s">
        <v>2700</v>
      </c>
      <c r="E11" t="s">
        <v>3517</v>
      </c>
      <c r="F11" t="s">
        <v>1864</v>
      </c>
      <c r="G11" t="s">
        <v>70</v>
      </c>
      <c r="H11">
        <v>30303</v>
      </c>
      <c r="I11" t="s">
        <v>74</v>
      </c>
      <c r="J11" s="3">
        <v>44852</v>
      </c>
      <c r="M11" t="str">
        <f t="shared" si="0"/>
        <v xml:space="preserve"> </v>
      </c>
    </row>
    <row r="12" spans="1:13" x14ac:dyDescent="0.35">
      <c r="A12" t="s">
        <v>1077</v>
      </c>
      <c r="B12" t="s">
        <v>4538</v>
      </c>
      <c r="C12" t="s">
        <v>3556</v>
      </c>
      <c r="D12" t="s">
        <v>2416</v>
      </c>
      <c r="E12" t="s">
        <v>3515</v>
      </c>
      <c r="F12" t="s">
        <v>1089</v>
      </c>
      <c r="G12" t="s">
        <v>1090</v>
      </c>
      <c r="H12">
        <v>75600</v>
      </c>
      <c r="I12" t="s">
        <v>80</v>
      </c>
      <c r="J12" s="3">
        <v>45068</v>
      </c>
      <c r="M12" t="str">
        <f t="shared" si="0"/>
        <v xml:space="preserve"> </v>
      </c>
    </row>
    <row r="13" spans="1:13" x14ac:dyDescent="0.35">
      <c r="A13" t="s">
        <v>1081</v>
      </c>
      <c r="B13" t="s">
        <v>4539</v>
      </c>
      <c r="C13" t="s">
        <v>3557</v>
      </c>
      <c r="D13" t="s">
        <v>1460</v>
      </c>
      <c r="E13" t="s">
        <v>3513</v>
      </c>
      <c r="F13" t="s">
        <v>75</v>
      </c>
      <c r="G13" t="s">
        <v>76</v>
      </c>
      <c r="H13" t="s">
        <v>1767</v>
      </c>
      <c r="I13" t="s">
        <v>71</v>
      </c>
      <c r="J13" s="3">
        <v>44447</v>
      </c>
      <c r="M13" t="str">
        <f t="shared" si="0"/>
        <v xml:space="preserve"> </v>
      </c>
    </row>
    <row r="14" spans="1:13" x14ac:dyDescent="0.35">
      <c r="A14" t="s">
        <v>1086</v>
      </c>
      <c r="B14" t="s">
        <v>4540</v>
      </c>
      <c r="C14" t="s">
        <v>3558</v>
      </c>
      <c r="D14" t="s">
        <v>1969</v>
      </c>
      <c r="E14" t="s">
        <v>3511</v>
      </c>
      <c r="F14" t="s">
        <v>1129</v>
      </c>
      <c r="G14" t="s">
        <v>1070</v>
      </c>
      <c r="H14" t="s">
        <v>1130</v>
      </c>
      <c r="I14" t="s">
        <v>74</v>
      </c>
      <c r="J14" s="3">
        <v>44877</v>
      </c>
      <c r="M14" t="str">
        <f t="shared" si="0"/>
        <v xml:space="preserve"> </v>
      </c>
    </row>
    <row r="15" spans="1:13" x14ac:dyDescent="0.35">
      <c r="A15" t="s">
        <v>1091</v>
      </c>
      <c r="B15" t="s">
        <v>4541</v>
      </c>
      <c r="C15" t="s">
        <v>3559</v>
      </c>
      <c r="D15" t="s">
        <v>1859</v>
      </c>
      <c r="E15" t="s">
        <v>3509</v>
      </c>
      <c r="F15" t="s">
        <v>1075</v>
      </c>
      <c r="G15" t="s">
        <v>1076</v>
      </c>
      <c r="H15">
        <v>12311</v>
      </c>
      <c r="I15" t="s">
        <v>80</v>
      </c>
      <c r="J15" s="3">
        <v>45031</v>
      </c>
      <c r="M15" t="str">
        <f t="shared" si="0"/>
        <v xml:space="preserve"> </v>
      </c>
    </row>
    <row r="16" spans="1:13" x14ac:dyDescent="0.35">
      <c r="A16" t="s">
        <v>1096</v>
      </c>
      <c r="B16" t="s">
        <v>4542</v>
      </c>
      <c r="C16" t="s">
        <v>3560</v>
      </c>
      <c r="D16" t="s">
        <v>1963</v>
      </c>
      <c r="E16" t="s">
        <v>3507</v>
      </c>
      <c r="F16" t="s">
        <v>1159</v>
      </c>
      <c r="G16" t="s">
        <v>73</v>
      </c>
      <c r="H16">
        <v>8018</v>
      </c>
      <c r="I16" t="s">
        <v>71</v>
      </c>
      <c r="J16" s="3">
        <v>44491</v>
      </c>
      <c r="M16" t="str">
        <f t="shared" si="0"/>
        <v xml:space="preserve"> </v>
      </c>
    </row>
    <row r="17" spans="1:13" x14ac:dyDescent="0.35">
      <c r="A17" t="s">
        <v>1100</v>
      </c>
      <c r="B17" t="s">
        <v>4543</v>
      </c>
      <c r="C17" t="s">
        <v>3561</v>
      </c>
      <c r="D17" t="s">
        <v>1960</v>
      </c>
      <c r="E17" t="s">
        <v>3505</v>
      </c>
      <c r="F17" t="s">
        <v>1170</v>
      </c>
      <c r="G17" t="s">
        <v>76</v>
      </c>
      <c r="H17" t="s">
        <v>1873</v>
      </c>
      <c r="I17" t="s">
        <v>74</v>
      </c>
      <c r="J17" s="3">
        <v>44913</v>
      </c>
      <c r="M17" t="str">
        <f t="shared" si="0"/>
        <v xml:space="preserve"> </v>
      </c>
    </row>
    <row r="18" spans="1:13" x14ac:dyDescent="0.35">
      <c r="A18" t="s">
        <v>1103</v>
      </c>
      <c r="B18" t="s">
        <v>4544</v>
      </c>
      <c r="C18" t="s">
        <v>3562</v>
      </c>
      <c r="D18" t="s">
        <v>1957</v>
      </c>
      <c r="E18" t="s">
        <v>3503</v>
      </c>
      <c r="F18" t="s">
        <v>72</v>
      </c>
      <c r="G18" t="s">
        <v>73</v>
      </c>
      <c r="H18">
        <v>28001</v>
      </c>
      <c r="I18" t="s">
        <v>80</v>
      </c>
      <c r="J18" s="3">
        <v>44993</v>
      </c>
      <c r="M18" t="str">
        <f t="shared" si="0"/>
        <v xml:space="preserve"> </v>
      </c>
    </row>
    <row r="19" spans="1:13" x14ac:dyDescent="0.35">
      <c r="A19" t="s">
        <v>1107</v>
      </c>
      <c r="B19" t="s">
        <v>4545</v>
      </c>
      <c r="C19" t="s">
        <v>3563</v>
      </c>
      <c r="D19" t="s">
        <v>1954</v>
      </c>
      <c r="E19" t="s">
        <v>3501</v>
      </c>
      <c r="F19" t="s">
        <v>90</v>
      </c>
      <c r="G19" t="s">
        <v>91</v>
      </c>
      <c r="H19">
        <v>10785</v>
      </c>
      <c r="I19" t="s">
        <v>71</v>
      </c>
      <c r="J19" s="3">
        <v>44512</v>
      </c>
      <c r="M19" t="str">
        <f t="shared" si="0"/>
        <v xml:space="preserve"> </v>
      </c>
    </row>
    <row r="20" spans="1:13" x14ac:dyDescent="0.35">
      <c r="A20" t="s">
        <v>1113</v>
      </c>
      <c r="B20" t="s">
        <v>4546</v>
      </c>
      <c r="C20" t="s">
        <v>3564</v>
      </c>
      <c r="D20" t="s">
        <v>2682</v>
      </c>
      <c r="E20" t="s">
        <v>3304</v>
      </c>
      <c r="F20" t="s">
        <v>1834</v>
      </c>
      <c r="G20" t="s">
        <v>70</v>
      </c>
      <c r="H20">
        <v>75202</v>
      </c>
      <c r="I20" t="s">
        <v>74</v>
      </c>
      <c r="J20" s="3">
        <v>44829</v>
      </c>
      <c r="M20" t="str">
        <f t="shared" si="0"/>
        <v xml:space="preserve"> </v>
      </c>
    </row>
    <row r="21" spans="1:13" x14ac:dyDescent="0.35">
      <c r="A21" t="s">
        <v>1118</v>
      </c>
      <c r="B21" t="s">
        <v>4547</v>
      </c>
      <c r="C21" t="s">
        <v>3565</v>
      </c>
      <c r="D21" t="s">
        <v>2396</v>
      </c>
      <c r="E21" t="s">
        <v>3498</v>
      </c>
      <c r="F21" t="s">
        <v>1299</v>
      </c>
      <c r="G21" t="s">
        <v>1090</v>
      </c>
      <c r="H21">
        <v>54810</v>
      </c>
      <c r="I21" t="s">
        <v>80</v>
      </c>
      <c r="J21" s="3">
        <v>44979</v>
      </c>
      <c r="M21" t="str">
        <f t="shared" si="0"/>
        <v xml:space="preserve"> </v>
      </c>
    </row>
    <row r="22" spans="1:13" x14ac:dyDescent="0.35">
      <c r="A22" t="s">
        <v>1122</v>
      </c>
      <c r="B22" t="s">
        <v>4548</v>
      </c>
      <c r="C22" t="s">
        <v>3566</v>
      </c>
      <c r="D22" t="s">
        <v>1914</v>
      </c>
      <c r="E22" t="s">
        <v>3496</v>
      </c>
      <c r="F22" t="s">
        <v>75</v>
      </c>
      <c r="G22" t="s">
        <v>76</v>
      </c>
      <c r="H22" t="s">
        <v>1385</v>
      </c>
      <c r="I22" t="s">
        <v>71</v>
      </c>
      <c r="J22" s="3">
        <v>44548</v>
      </c>
      <c r="M22" t="str">
        <f t="shared" si="0"/>
        <v xml:space="preserve"> </v>
      </c>
    </row>
    <row r="23" spans="1:13" x14ac:dyDescent="0.35">
      <c r="A23" t="s">
        <v>1126</v>
      </c>
      <c r="B23" t="s">
        <v>4549</v>
      </c>
      <c r="C23" t="s">
        <v>3567</v>
      </c>
      <c r="D23" t="s">
        <v>1911</v>
      </c>
      <c r="E23" t="s">
        <v>3494</v>
      </c>
      <c r="F23" t="s">
        <v>1198</v>
      </c>
      <c r="G23" t="s">
        <v>1070</v>
      </c>
      <c r="H23" t="s">
        <v>1199</v>
      </c>
      <c r="I23" t="s">
        <v>74</v>
      </c>
      <c r="J23" s="3">
        <v>44846</v>
      </c>
      <c r="M23" t="str">
        <f t="shared" si="0"/>
        <v xml:space="preserve"> </v>
      </c>
    </row>
    <row r="24" spans="1:13" x14ac:dyDescent="0.35">
      <c r="A24" t="s">
        <v>1131</v>
      </c>
      <c r="B24" t="s">
        <v>4550</v>
      </c>
      <c r="C24" t="s">
        <v>3568</v>
      </c>
      <c r="D24" t="s">
        <v>1819</v>
      </c>
      <c r="E24" t="s">
        <v>3492</v>
      </c>
      <c r="F24" t="s">
        <v>1075</v>
      </c>
      <c r="G24" t="s">
        <v>1076</v>
      </c>
      <c r="H24">
        <v>11341</v>
      </c>
      <c r="I24" t="s">
        <v>80</v>
      </c>
      <c r="J24" s="3">
        <v>44944</v>
      </c>
      <c r="M24" t="str">
        <f t="shared" si="0"/>
        <v xml:space="preserve"> </v>
      </c>
    </row>
    <row r="25" spans="1:13" x14ac:dyDescent="0.35">
      <c r="A25" t="s">
        <v>1135</v>
      </c>
      <c r="B25" t="s">
        <v>4551</v>
      </c>
      <c r="C25" t="s">
        <v>3569</v>
      </c>
      <c r="D25" t="s">
        <v>1934</v>
      </c>
      <c r="E25" t="s">
        <v>3490</v>
      </c>
      <c r="F25" t="s">
        <v>1159</v>
      </c>
      <c r="G25" t="s">
        <v>73</v>
      </c>
      <c r="H25">
        <v>8008</v>
      </c>
      <c r="I25" t="s">
        <v>71</v>
      </c>
      <c r="J25" s="3">
        <v>44451</v>
      </c>
      <c r="M25" t="str">
        <f t="shared" si="0"/>
        <v xml:space="preserve"> </v>
      </c>
    </row>
    <row r="26" spans="1:13" x14ac:dyDescent="0.35">
      <c r="A26" t="s">
        <v>1138</v>
      </c>
      <c r="B26" t="s">
        <v>4552</v>
      </c>
      <c r="C26" t="s">
        <v>3570</v>
      </c>
      <c r="D26" t="s">
        <v>1930</v>
      </c>
      <c r="E26" t="s">
        <v>3488</v>
      </c>
      <c r="F26" t="s">
        <v>1170</v>
      </c>
      <c r="G26" t="s">
        <v>76</v>
      </c>
      <c r="H26" t="s">
        <v>1171</v>
      </c>
      <c r="I26" t="s">
        <v>74</v>
      </c>
      <c r="J26" s="3">
        <v>44887</v>
      </c>
      <c r="M26" t="str">
        <f t="shared" si="0"/>
        <v xml:space="preserve"> </v>
      </c>
    </row>
    <row r="27" spans="1:13" x14ac:dyDescent="0.35">
      <c r="A27" t="s">
        <v>1143</v>
      </c>
      <c r="B27" t="s">
        <v>4531</v>
      </c>
      <c r="C27" t="s">
        <v>3571</v>
      </c>
      <c r="D27" t="s">
        <v>1927</v>
      </c>
      <c r="E27" t="s">
        <v>3486</v>
      </c>
      <c r="F27" t="s">
        <v>72</v>
      </c>
      <c r="G27" t="s">
        <v>73</v>
      </c>
      <c r="H27">
        <v>28006</v>
      </c>
      <c r="I27" t="s">
        <v>80</v>
      </c>
      <c r="J27" s="3">
        <v>45268</v>
      </c>
      <c r="M27" t="str">
        <f t="shared" si="0"/>
        <v xml:space="preserve"> </v>
      </c>
    </row>
    <row r="28" spans="1:13" x14ac:dyDescent="0.35">
      <c r="A28" t="s">
        <v>1146</v>
      </c>
      <c r="B28" t="s">
        <v>4553</v>
      </c>
      <c r="C28" t="s">
        <v>3572</v>
      </c>
      <c r="D28" t="s">
        <v>1924</v>
      </c>
      <c r="E28" t="s">
        <v>3484</v>
      </c>
      <c r="F28" t="s">
        <v>90</v>
      </c>
      <c r="G28" t="s">
        <v>91</v>
      </c>
      <c r="H28">
        <v>10117</v>
      </c>
      <c r="I28" t="s">
        <v>71</v>
      </c>
      <c r="J28" s="3">
        <v>44477</v>
      </c>
      <c r="M28" t="str">
        <f t="shared" si="0"/>
        <v xml:space="preserve"> </v>
      </c>
    </row>
    <row r="29" spans="1:13" x14ac:dyDescent="0.35">
      <c r="A29" t="s">
        <v>1151</v>
      </c>
      <c r="B29" t="s">
        <v>4554</v>
      </c>
      <c r="C29" t="s">
        <v>3573</v>
      </c>
      <c r="D29" t="s">
        <v>2607</v>
      </c>
      <c r="E29" t="s">
        <v>3482</v>
      </c>
      <c r="F29" t="s">
        <v>1922</v>
      </c>
      <c r="G29" t="s">
        <v>70</v>
      </c>
      <c r="H29">
        <v>19106</v>
      </c>
      <c r="I29" t="s">
        <v>74</v>
      </c>
      <c r="J29" s="3">
        <v>44862</v>
      </c>
      <c r="M29" t="str">
        <f t="shared" si="0"/>
        <v xml:space="preserve"> </v>
      </c>
    </row>
    <row r="30" spans="1:13" x14ac:dyDescent="0.35">
      <c r="A30" t="s">
        <v>1156</v>
      </c>
      <c r="B30" t="s">
        <v>4555</v>
      </c>
      <c r="C30" t="s">
        <v>3574</v>
      </c>
      <c r="D30" t="s">
        <v>2376</v>
      </c>
      <c r="E30" t="s">
        <v>3480</v>
      </c>
      <c r="F30" t="s">
        <v>78</v>
      </c>
      <c r="G30" t="s">
        <v>79</v>
      </c>
      <c r="H30">
        <v>123456</v>
      </c>
      <c r="I30" t="s">
        <v>80</v>
      </c>
      <c r="J30" s="3">
        <v>45242</v>
      </c>
      <c r="M30" t="str">
        <f t="shared" si="0"/>
        <v xml:space="preserve"> </v>
      </c>
    </row>
    <row r="31" spans="1:13" x14ac:dyDescent="0.35">
      <c r="A31" t="s">
        <v>1160</v>
      </c>
      <c r="B31" t="s">
        <v>4556</v>
      </c>
      <c r="C31" t="s">
        <v>3575</v>
      </c>
      <c r="D31" t="s">
        <v>1885</v>
      </c>
      <c r="E31" t="s">
        <v>3478</v>
      </c>
      <c r="F31" t="s">
        <v>75</v>
      </c>
      <c r="G31" t="s">
        <v>76</v>
      </c>
      <c r="H31" t="s">
        <v>1767</v>
      </c>
      <c r="I31" t="s">
        <v>71</v>
      </c>
      <c r="J31" s="3">
        <v>44522</v>
      </c>
      <c r="M31" t="str">
        <f t="shared" si="0"/>
        <v xml:space="preserve"> </v>
      </c>
    </row>
    <row r="32" spans="1:13" x14ac:dyDescent="0.35">
      <c r="A32" t="s">
        <v>1163</v>
      </c>
      <c r="B32" t="s">
        <v>4557</v>
      </c>
      <c r="C32" t="s">
        <v>3576</v>
      </c>
      <c r="D32" t="s">
        <v>1881</v>
      </c>
      <c r="E32" t="s">
        <v>3476</v>
      </c>
      <c r="F32" t="s">
        <v>1129</v>
      </c>
      <c r="G32" t="s">
        <v>1070</v>
      </c>
      <c r="H32" t="s">
        <v>1883</v>
      </c>
      <c r="I32" t="s">
        <v>74</v>
      </c>
      <c r="J32" s="3">
        <v>44826</v>
      </c>
      <c r="M32" t="str">
        <f t="shared" si="0"/>
        <v xml:space="preserve"> </v>
      </c>
    </row>
    <row r="33" spans="1:13" x14ac:dyDescent="0.35">
      <c r="A33" t="s">
        <v>1167</v>
      </c>
      <c r="B33" t="s">
        <v>4558</v>
      </c>
      <c r="C33" t="s">
        <v>3577</v>
      </c>
      <c r="D33" t="s">
        <v>1758</v>
      </c>
      <c r="E33" t="s">
        <v>3474</v>
      </c>
      <c r="F33" t="s">
        <v>1166</v>
      </c>
      <c r="G33" t="s">
        <v>1076</v>
      </c>
      <c r="H33">
        <v>21599</v>
      </c>
      <c r="I33" t="s">
        <v>80</v>
      </c>
      <c r="J33" s="3">
        <v>45207</v>
      </c>
      <c r="M33" t="str">
        <f t="shared" si="0"/>
        <v xml:space="preserve"> </v>
      </c>
    </row>
    <row r="34" spans="1:13" x14ac:dyDescent="0.35">
      <c r="A34" t="s">
        <v>1172</v>
      </c>
      <c r="B34" t="s">
        <v>4559</v>
      </c>
      <c r="C34" t="s">
        <v>3578</v>
      </c>
      <c r="D34" t="s">
        <v>1898</v>
      </c>
      <c r="E34" t="s">
        <v>3472</v>
      </c>
      <c r="F34" t="s">
        <v>1159</v>
      </c>
      <c r="G34" t="s">
        <v>73</v>
      </c>
      <c r="H34">
        <v>8018</v>
      </c>
      <c r="I34" t="s">
        <v>71</v>
      </c>
      <c r="J34" s="3">
        <v>44558</v>
      </c>
      <c r="M34" t="str">
        <f t="shared" si="0"/>
        <v xml:space="preserve"> </v>
      </c>
    </row>
    <row r="35" spans="1:13" x14ac:dyDescent="0.35">
      <c r="A35" t="s">
        <v>1177</v>
      </c>
      <c r="B35" t="s">
        <v>4560</v>
      </c>
      <c r="C35" t="s">
        <v>3579</v>
      </c>
      <c r="D35" t="s">
        <v>1871</v>
      </c>
      <c r="E35" t="s">
        <v>3470</v>
      </c>
      <c r="F35" t="s">
        <v>1170</v>
      </c>
      <c r="G35" t="s">
        <v>76</v>
      </c>
      <c r="H35" t="s">
        <v>1989</v>
      </c>
      <c r="I35" t="s">
        <v>74</v>
      </c>
      <c r="J35" s="3">
        <v>44842</v>
      </c>
      <c r="M35" t="str">
        <f t="shared" si="0"/>
        <v xml:space="preserve"> </v>
      </c>
    </row>
    <row r="36" spans="1:13" x14ac:dyDescent="0.35">
      <c r="A36" t="s">
        <v>1183</v>
      </c>
      <c r="B36" t="s">
        <v>4561</v>
      </c>
      <c r="C36" t="s">
        <v>3580</v>
      </c>
      <c r="D36" t="s">
        <v>1905</v>
      </c>
      <c r="E36" t="s">
        <v>3468</v>
      </c>
      <c r="F36" t="s">
        <v>72</v>
      </c>
      <c r="G36" t="s">
        <v>73</v>
      </c>
      <c r="H36">
        <v>28001</v>
      </c>
      <c r="I36" t="s">
        <v>80</v>
      </c>
      <c r="J36" s="3">
        <v>45191</v>
      </c>
      <c r="M36" t="str">
        <f t="shared" si="0"/>
        <v xml:space="preserve"> </v>
      </c>
    </row>
    <row r="37" spans="1:13" x14ac:dyDescent="0.35">
      <c r="A37" t="s">
        <v>1188</v>
      </c>
      <c r="B37" t="s">
        <v>4562</v>
      </c>
      <c r="C37" t="s">
        <v>3581</v>
      </c>
      <c r="D37" t="s">
        <v>1895</v>
      </c>
      <c r="E37" t="s">
        <v>3466</v>
      </c>
      <c r="F37" t="s">
        <v>90</v>
      </c>
      <c r="G37" t="s">
        <v>91</v>
      </c>
      <c r="H37">
        <v>10178</v>
      </c>
      <c r="I37" t="s">
        <v>71</v>
      </c>
      <c r="J37" s="3">
        <v>44457</v>
      </c>
      <c r="M37" t="str">
        <f t="shared" si="0"/>
        <v xml:space="preserve"> </v>
      </c>
    </row>
    <row r="38" spans="1:13" x14ac:dyDescent="0.35">
      <c r="A38" t="s">
        <v>1191</v>
      </c>
      <c r="B38" t="s">
        <v>4563</v>
      </c>
      <c r="C38" t="s">
        <v>3582</v>
      </c>
      <c r="D38" t="s">
        <v>2644</v>
      </c>
      <c r="E38" t="s">
        <v>3464</v>
      </c>
      <c r="F38" t="s">
        <v>1512</v>
      </c>
      <c r="G38" t="s">
        <v>70</v>
      </c>
      <c r="H38">
        <v>77002</v>
      </c>
      <c r="I38" t="s">
        <v>74</v>
      </c>
      <c r="J38" s="3">
        <v>44883</v>
      </c>
      <c r="M38" t="str">
        <f t="shared" si="0"/>
        <v xml:space="preserve"> </v>
      </c>
    </row>
    <row r="39" spans="1:13" x14ac:dyDescent="0.35">
      <c r="A39" t="s">
        <v>1195</v>
      </c>
      <c r="B39" t="s">
        <v>4564</v>
      </c>
      <c r="C39" t="s">
        <v>3583</v>
      </c>
      <c r="D39" t="s">
        <v>2356</v>
      </c>
      <c r="E39" t="s">
        <v>3462</v>
      </c>
      <c r="F39" t="s">
        <v>1089</v>
      </c>
      <c r="G39" t="s">
        <v>1090</v>
      </c>
      <c r="H39">
        <v>75600</v>
      </c>
      <c r="I39" t="s">
        <v>80</v>
      </c>
      <c r="J39" s="3">
        <v>45146</v>
      </c>
      <c r="M39" t="str">
        <f t="shared" si="0"/>
        <v xml:space="preserve"> </v>
      </c>
    </row>
    <row r="40" spans="1:13" x14ac:dyDescent="0.35">
      <c r="A40" t="s">
        <v>1200</v>
      </c>
      <c r="B40" t="s">
        <v>4565</v>
      </c>
      <c r="C40" t="s">
        <v>3584</v>
      </c>
      <c r="D40" t="s">
        <v>1383</v>
      </c>
      <c r="E40" t="s">
        <v>3460</v>
      </c>
      <c r="F40" t="s">
        <v>75</v>
      </c>
      <c r="G40" t="s">
        <v>76</v>
      </c>
      <c r="H40" t="s">
        <v>1385</v>
      </c>
      <c r="I40" t="s">
        <v>71</v>
      </c>
      <c r="J40" s="3">
        <v>44481</v>
      </c>
      <c r="M40" t="str">
        <f t="shared" si="0"/>
        <v xml:space="preserve"> </v>
      </c>
    </row>
    <row r="41" spans="1:13" x14ac:dyDescent="0.35">
      <c r="A41" t="s">
        <v>1203</v>
      </c>
      <c r="B41" t="s">
        <v>4566</v>
      </c>
      <c r="C41" t="s">
        <v>3585</v>
      </c>
      <c r="D41" t="s">
        <v>1822</v>
      </c>
      <c r="E41" t="s">
        <v>3458</v>
      </c>
      <c r="F41" t="s">
        <v>1198</v>
      </c>
      <c r="G41" t="s">
        <v>1070</v>
      </c>
      <c r="H41" t="s">
        <v>1199</v>
      </c>
      <c r="I41" t="s">
        <v>74</v>
      </c>
      <c r="J41" s="3">
        <v>44903</v>
      </c>
      <c r="M41" t="str">
        <f t="shared" si="0"/>
        <v xml:space="preserve"> </v>
      </c>
    </row>
    <row r="42" spans="1:13" x14ac:dyDescent="0.35">
      <c r="A42" t="s">
        <v>1208</v>
      </c>
      <c r="B42" t="s">
        <v>4567</v>
      </c>
      <c r="C42" t="s">
        <v>3586</v>
      </c>
      <c r="D42" t="s">
        <v>2142</v>
      </c>
      <c r="E42" t="s">
        <v>3456</v>
      </c>
      <c r="F42" t="s">
        <v>1075</v>
      </c>
      <c r="G42" t="s">
        <v>1076</v>
      </c>
      <c r="H42">
        <v>12311</v>
      </c>
      <c r="I42" t="s">
        <v>80</v>
      </c>
      <c r="J42" s="3">
        <v>45119</v>
      </c>
      <c r="M42" t="str">
        <f t="shared" si="0"/>
        <v xml:space="preserve"> </v>
      </c>
    </row>
    <row r="43" spans="1:13" x14ac:dyDescent="0.35">
      <c r="A43" t="s">
        <v>1211</v>
      </c>
      <c r="B43" t="s">
        <v>4568</v>
      </c>
      <c r="C43" t="s">
        <v>3587</v>
      </c>
      <c r="D43" t="s">
        <v>1786</v>
      </c>
      <c r="E43" t="s">
        <v>3454</v>
      </c>
      <c r="F43" t="s">
        <v>1159</v>
      </c>
      <c r="G43" t="s">
        <v>73</v>
      </c>
      <c r="H43">
        <v>8008</v>
      </c>
      <c r="I43" t="s">
        <v>71</v>
      </c>
      <c r="J43" s="3">
        <v>44508</v>
      </c>
      <c r="M43" t="str">
        <f t="shared" si="0"/>
        <v xml:space="preserve"> </v>
      </c>
    </row>
    <row r="44" spans="1:13" x14ac:dyDescent="0.35">
      <c r="A44" t="s">
        <v>1216</v>
      </c>
      <c r="B44" t="s">
        <v>4569</v>
      </c>
      <c r="C44" t="s">
        <v>3588</v>
      </c>
      <c r="D44" t="s">
        <v>1396</v>
      </c>
      <c r="E44" t="s">
        <v>3452</v>
      </c>
      <c r="F44" t="s">
        <v>1170</v>
      </c>
      <c r="G44" t="s">
        <v>76</v>
      </c>
      <c r="H44" t="s">
        <v>1873</v>
      </c>
      <c r="I44" t="s">
        <v>74</v>
      </c>
      <c r="J44" s="3">
        <v>44812</v>
      </c>
      <c r="M44" t="str">
        <f t="shared" si="0"/>
        <v xml:space="preserve"> </v>
      </c>
    </row>
    <row r="45" spans="1:13" x14ac:dyDescent="0.35">
      <c r="A45" t="s">
        <v>1220</v>
      </c>
      <c r="B45" t="s">
        <v>4570</v>
      </c>
      <c r="C45" t="s">
        <v>3589</v>
      </c>
      <c r="D45" t="s">
        <v>1875</v>
      </c>
      <c r="E45" t="s">
        <v>3450</v>
      </c>
      <c r="F45" t="s">
        <v>72</v>
      </c>
      <c r="G45" t="s">
        <v>73</v>
      </c>
      <c r="H45">
        <v>28006</v>
      </c>
      <c r="I45" t="s">
        <v>80</v>
      </c>
      <c r="J45" s="3">
        <v>45095</v>
      </c>
      <c r="M45" t="str">
        <f t="shared" si="0"/>
        <v xml:space="preserve"> </v>
      </c>
    </row>
    <row r="46" spans="1:13" x14ac:dyDescent="0.35">
      <c r="A46" t="s">
        <v>1223</v>
      </c>
      <c r="B46" t="s">
        <v>4571</v>
      </c>
      <c r="C46" t="s">
        <v>3590</v>
      </c>
      <c r="D46" t="s">
        <v>1430</v>
      </c>
      <c r="E46" t="s">
        <v>3448</v>
      </c>
      <c r="F46" t="s">
        <v>90</v>
      </c>
      <c r="G46" t="s">
        <v>91</v>
      </c>
      <c r="H46">
        <v>10117</v>
      </c>
      <c r="I46" t="s">
        <v>71</v>
      </c>
      <c r="J46" s="3">
        <v>44552</v>
      </c>
      <c r="M46" t="str">
        <f t="shared" si="0"/>
        <v xml:space="preserve"> </v>
      </c>
    </row>
    <row r="47" spans="1:13" x14ac:dyDescent="0.35">
      <c r="A47" t="s">
        <v>1227</v>
      </c>
      <c r="B47" t="s">
        <v>4572</v>
      </c>
      <c r="C47" t="s">
        <v>3591</v>
      </c>
      <c r="D47" t="s">
        <v>2588</v>
      </c>
      <c r="E47" t="s">
        <v>3446</v>
      </c>
      <c r="F47" t="s">
        <v>1864</v>
      </c>
      <c r="G47" t="s">
        <v>70</v>
      </c>
      <c r="H47">
        <v>30303</v>
      </c>
      <c r="I47" t="s">
        <v>74</v>
      </c>
      <c r="J47" s="3">
        <v>44856</v>
      </c>
      <c r="M47" t="str">
        <f t="shared" si="0"/>
        <v xml:space="preserve"> </v>
      </c>
    </row>
    <row r="48" spans="1:13" x14ac:dyDescent="0.35">
      <c r="A48" t="s">
        <v>1230</v>
      </c>
      <c r="B48" t="s">
        <v>4573</v>
      </c>
      <c r="C48" t="s">
        <v>3592</v>
      </c>
      <c r="D48" t="s">
        <v>2337</v>
      </c>
      <c r="E48" t="s">
        <v>3444</v>
      </c>
      <c r="F48" t="s">
        <v>1299</v>
      </c>
      <c r="G48" t="s">
        <v>1090</v>
      </c>
      <c r="H48">
        <v>54810</v>
      </c>
      <c r="I48" t="s">
        <v>80</v>
      </c>
      <c r="J48" s="3">
        <v>45074</v>
      </c>
      <c r="M48" t="str">
        <f t="shared" si="0"/>
        <v xml:space="preserve"> </v>
      </c>
    </row>
    <row r="49" spans="1:13" x14ac:dyDescent="0.35">
      <c r="A49" t="s">
        <v>1234</v>
      </c>
      <c r="B49" t="s">
        <v>4574</v>
      </c>
      <c r="C49" t="s">
        <v>3593</v>
      </c>
      <c r="D49" t="s">
        <v>2125</v>
      </c>
      <c r="E49" t="s">
        <v>3442</v>
      </c>
      <c r="F49" t="s">
        <v>75</v>
      </c>
      <c r="G49" t="s">
        <v>76</v>
      </c>
      <c r="H49" t="s">
        <v>1767</v>
      </c>
      <c r="I49" t="s">
        <v>71</v>
      </c>
      <c r="J49" s="3">
        <v>44467</v>
      </c>
      <c r="M49" t="str">
        <f t="shared" si="0"/>
        <v xml:space="preserve"> </v>
      </c>
    </row>
    <row r="50" spans="1:13" x14ac:dyDescent="0.35">
      <c r="A50" t="s">
        <v>1238</v>
      </c>
      <c r="B50" t="s">
        <v>4575</v>
      </c>
      <c r="C50" t="s">
        <v>3594</v>
      </c>
      <c r="D50" t="s">
        <v>1792</v>
      </c>
      <c r="E50" t="s">
        <v>3440</v>
      </c>
      <c r="F50" t="s">
        <v>1129</v>
      </c>
      <c r="G50" t="s">
        <v>1070</v>
      </c>
      <c r="H50" t="s">
        <v>1130</v>
      </c>
      <c r="I50" t="s">
        <v>74</v>
      </c>
      <c r="J50" s="3">
        <v>44873</v>
      </c>
      <c r="M50" t="str">
        <f t="shared" si="0"/>
        <v xml:space="preserve"> </v>
      </c>
    </row>
    <row r="51" spans="1:13" x14ac:dyDescent="0.35">
      <c r="A51" t="s">
        <v>1243</v>
      </c>
      <c r="B51" t="s">
        <v>4576</v>
      </c>
      <c r="C51" t="s">
        <v>3595</v>
      </c>
      <c r="D51" t="s">
        <v>2119</v>
      </c>
      <c r="E51" t="s">
        <v>3438</v>
      </c>
      <c r="F51" t="s">
        <v>1075</v>
      </c>
      <c r="G51" t="s">
        <v>1076</v>
      </c>
      <c r="H51">
        <v>12311</v>
      </c>
      <c r="I51" t="s">
        <v>80</v>
      </c>
      <c r="J51" s="3">
        <v>45024</v>
      </c>
      <c r="M51" t="str">
        <f t="shared" si="0"/>
        <v xml:space="preserve"> </v>
      </c>
    </row>
    <row r="52" spans="1:13" x14ac:dyDescent="0.35">
      <c r="A52" t="s">
        <v>1248</v>
      </c>
      <c r="B52" t="s">
        <v>4577</v>
      </c>
      <c r="C52" t="s">
        <v>3596</v>
      </c>
      <c r="D52" t="s">
        <v>1433</v>
      </c>
      <c r="E52" t="s">
        <v>3436</v>
      </c>
      <c r="F52" t="s">
        <v>1159</v>
      </c>
      <c r="G52" t="s">
        <v>73</v>
      </c>
      <c r="H52">
        <v>8018</v>
      </c>
      <c r="I52" t="s">
        <v>71</v>
      </c>
      <c r="J52" s="3">
        <v>44487</v>
      </c>
      <c r="M52" t="str">
        <f t="shared" si="0"/>
        <v xml:space="preserve"> </v>
      </c>
    </row>
    <row r="53" spans="1:13" x14ac:dyDescent="0.35">
      <c r="A53" t="s">
        <v>1251</v>
      </c>
      <c r="B53" t="s">
        <v>4578</v>
      </c>
      <c r="C53" t="s">
        <v>3597</v>
      </c>
      <c r="D53" t="s">
        <v>1168</v>
      </c>
      <c r="E53" t="s">
        <v>3434</v>
      </c>
      <c r="F53" t="s">
        <v>1170</v>
      </c>
      <c r="G53" t="s">
        <v>76</v>
      </c>
      <c r="H53" t="s">
        <v>1171</v>
      </c>
      <c r="I53" t="s">
        <v>74</v>
      </c>
      <c r="J53" s="3">
        <v>44907</v>
      </c>
      <c r="M53" t="str">
        <f t="shared" si="0"/>
        <v xml:space="preserve"> </v>
      </c>
    </row>
    <row r="54" spans="1:13" x14ac:dyDescent="0.35">
      <c r="A54" t="s">
        <v>1255</v>
      </c>
      <c r="B54" t="s">
        <v>4579</v>
      </c>
      <c r="C54" t="s">
        <v>3598</v>
      </c>
      <c r="D54" t="s">
        <v>1540</v>
      </c>
      <c r="E54" t="s">
        <v>3432</v>
      </c>
      <c r="F54" t="s">
        <v>72</v>
      </c>
      <c r="G54" t="s">
        <v>73</v>
      </c>
      <c r="H54">
        <v>28001</v>
      </c>
      <c r="I54" t="s">
        <v>80</v>
      </c>
      <c r="J54" s="3">
        <v>45013</v>
      </c>
      <c r="M54" t="str">
        <f t="shared" si="0"/>
        <v xml:space="preserve"> </v>
      </c>
    </row>
    <row r="55" spans="1:13" x14ac:dyDescent="0.35">
      <c r="A55" t="s">
        <v>1260</v>
      </c>
      <c r="B55" t="s">
        <v>4580</v>
      </c>
      <c r="C55" t="s">
        <v>3599</v>
      </c>
      <c r="D55" t="s">
        <v>2110</v>
      </c>
      <c r="E55" t="s">
        <v>3430</v>
      </c>
      <c r="F55" t="s">
        <v>90</v>
      </c>
      <c r="G55" t="s">
        <v>91</v>
      </c>
      <c r="H55">
        <v>10178</v>
      </c>
      <c r="I55" t="s">
        <v>71</v>
      </c>
      <c r="J55" s="3">
        <v>44518</v>
      </c>
      <c r="M55" t="str">
        <f t="shared" si="0"/>
        <v xml:space="preserve"> </v>
      </c>
    </row>
    <row r="56" spans="1:13" x14ac:dyDescent="0.35">
      <c r="A56" t="s">
        <v>1264</v>
      </c>
      <c r="B56" t="s">
        <v>4581</v>
      </c>
      <c r="C56" t="s">
        <v>3600</v>
      </c>
      <c r="D56" t="s">
        <v>2551</v>
      </c>
      <c r="E56" t="s">
        <v>3428</v>
      </c>
      <c r="F56" t="s">
        <v>1404</v>
      </c>
      <c r="G56" t="s">
        <v>70</v>
      </c>
      <c r="H56">
        <v>33139</v>
      </c>
      <c r="I56" t="s">
        <v>74</v>
      </c>
      <c r="J56" s="3">
        <v>44829</v>
      </c>
      <c r="M56" t="str">
        <f t="shared" si="0"/>
        <v xml:space="preserve"> </v>
      </c>
    </row>
    <row r="57" spans="1:13" x14ac:dyDescent="0.35">
      <c r="A57" t="s">
        <v>1267</v>
      </c>
      <c r="B57" t="s">
        <v>4582</v>
      </c>
      <c r="C57" t="s">
        <v>3601</v>
      </c>
      <c r="D57" t="s">
        <v>2318</v>
      </c>
      <c r="E57" t="s">
        <v>3426</v>
      </c>
      <c r="F57" t="s">
        <v>78</v>
      </c>
      <c r="G57" t="s">
        <v>79</v>
      </c>
      <c r="H57">
        <v>123456</v>
      </c>
      <c r="I57" t="s">
        <v>80</v>
      </c>
      <c r="J57" s="3">
        <v>44969</v>
      </c>
      <c r="M57" t="str">
        <f t="shared" si="0"/>
        <v xml:space="preserve"> </v>
      </c>
    </row>
    <row r="58" spans="1:13" x14ac:dyDescent="0.35">
      <c r="A58" t="s">
        <v>1270</v>
      </c>
      <c r="B58" t="s">
        <v>4583</v>
      </c>
      <c r="C58" t="s">
        <v>3602</v>
      </c>
      <c r="D58" t="s">
        <v>2101</v>
      </c>
      <c r="E58" t="s">
        <v>3424</v>
      </c>
      <c r="F58" t="s">
        <v>75</v>
      </c>
      <c r="G58" t="s">
        <v>76</v>
      </c>
      <c r="H58" t="s">
        <v>1385</v>
      </c>
      <c r="I58" t="s">
        <v>71</v>
      </c>
      <c r="J58" s="3">
        <v>44542</v>
      </c>
      <c r="M58" t="str">
        <f t="shared" si="0"/>
        <v xml:space="preserve"> </v>
      </c>
    </row>
    <row r="59" spans="1:13" x14ac:dyDescent="0.35">
      <c r="A59" t="s">
        <v>1273</v>
      </c>
      <c r="B59" t="s">
        <v>4584</v>
      </c>
      <c r="C59" t="s">
        <v>3603</v>
      </c>
      <c r="D59" t="s">
        <v>2313</v>
      </c>
      <c r="E59" t="s">
        <v>3422</v>
      </c>
      <c r="F59" t="s">
        <v>1198</v>
      </c>
      <c r="G59" t="s">
        <v>1070</v>
      </c>
      <c r="H59" t="s">
        <v>1199</v>
      </c>
      <c r="I59" t="s">
        <v>74</v>
      </c>
      <c r="J59" s="3">
        <v>44862</v>
      </c>
      <c r="M59" t="str">
        <f t="shared" si="0"/>
        <v xml:space="preserve"> </v>
      </c>
    </row>
    <row r="60" spans="1:13" x14ac:dyDescent="0.35">
      <c r="A60" t="s">
        <v>1277</v>
      </c>
      <c r="B60" t="s">
        <v>4585</v>
      </c>
      <c r="C60" t="s">
        <v>3604</v>
      </c>
      <c r="D60" t="s">
        <v>2095</v>
      </c>
      <c r="E60" t="s">
        <v>3420</v>
      </c>
      <c r="F60" t="s">
        <v>1075</v>
      </c>
      <c r="G60" t="s">
        <v>1076</v>
      </c>
      <c r="H60">
        <v>11341</v>
      </c>
      <c r="I60" t="s">
        <v>80</v>
      </c>
      <c r="J60" s="3">
        <v>44948</v>
      </c>
      <c r="M60" t="str">
        <f t="shared" si="0"/>
        <v xml:space="preserve"> </v>
      </c>
    </row>
    <row r="61" spans="1:13" x14ac:dyDescent="0.35">
      <c r="A61" t="s">
        <v>1281</v>
      </c>
      <c r="B61" t="s">
        <v>4586</v>
      </c>
      <c r="C61" t="s">
        <v>3605</v>
      </c>
      <c r="D61" t="s">
        <v>1157</v>
      </c>
      <c r="E61" t="s">
        <v>3418</v>
      </c>
      <c r="F61" t="s">
        <v>1159</v>
      </c>
      <c r="G61" t="s">
        <v>73</v>
      </c>
      <c r="H61">
        <v>8008</v>
      </c>
      <c r="I61" t="s">
        <v>71</v>
      </c>
      <c r="J61" s="3">
        <v>44454</v>
      </c>
      <c r="M61" t="str">
        <f t="shared" si="0"/>
        <v xml:space="preserve"> </v>
      </c>
    </row>
    <row r="62" spans="1:13" x14ac:dyDescent="0.35">
      <c r="A62" t="s">
        <v>1286</v>
      </c>
      <c r="B62" t="s">
        <v>4587</v>
      </c>
      <c r="C62" t="s">
        <v>3606</v>
      </c>
      <c r="D62" t="s">
        <v>2090</v>
      </c>
      <c r="E62" t="s">
        <v>3416</v>
      </c>
      <c r="F62" t="s">
        <v>1170</v>
      </c>
      <c r="G62" t="s">
        <v>76</v>
      </c>
      <c r="H62" t="s">
        <v>1989</v>
      </c>
      <c r="I62" t="s">
        <v>74</v>
      </c>
      <c r="J62" s="3">
        <v>44877</v>
      </c>
      <c r="M62" t="str">
        <f t="shared" si="0"/>
        <v xml:space="preserve"> </v>
      </c>
    </row>
    <row r="63" spans="1:13" x14ac:dyDescent="0.35">
      <c r="A63" t="s">
        <v>1291</v>
      </c>
      <c r="B63" t="s">
        <v>4588</v>
      </c>
      <c r="C63" t="s">
        <v>3607</v>
      </c>
      <c r="D63" t="s">
        <v>1484</v>
      </c>
      <c r="E63" t="s">
        <v>3414</v>
      </c>
      <c r="F63" t="s">
        <v>72</v>
      </c>
      <c r="G63" t="s">
        <v>73</v>
      </c>
      <c r="H63">
        <v>28006</v>
      </c>
      <c r="I63" t="s">
        <v>80</v>
      </c>
      <c r="J63" s="3">
        <v>45272</v>
      </c>
      <c r="M63" t="str">
        <f t="shared" si="0"/>
        <v xml:space="preserve"> </v>
      </c>
    </row>
    <row r="64" spans="1:13" x14ac:dyDescent="0.35">
      <c r="A64" t="s">
        <v>1296</v>
      </c>
      <c r="B64" t="s">
        <v>4589</v>
      </c>
      <c r="C64" t="s">
        <v>3608</v>
      </c>
      <c r="D64" t="s">
        <v>2085</v>
      </c>
      <c r="E64" t="s">
        <v>3412</v>
      </c>
      <c r="F64" t="s">
        <v>90</v>
      </c>
      <c r="G64" t="s">
        <v>91</v>
      </c>
      <c r="H64">
        <v>10719</v>
      </c>
      <c r="I64" t="s">
        <v>71</v>
      </c>
      <c r="J64" s="3">
        <v>44497</v>
      </c>
      <c r="M64" t="str">
        <f t="shared" si="0"/>
        <v xml:space="preserve"> </v>
      </c>
    </row>
    <row r="65" spans="1:13" x14ac:dyDescent="0.35">
      <c r="A65" t="s">
        <v>1300</v>
      </c>
      <c r="B65" t="s">
        <v>4590</v>
      </c>
      <c r="C65" t="s">
        <v>3609</v>
      </c>
      <c r="D65" t="s">
        <v>2570</v>
      </c>
      <c r="E65" t="s">
        <v>3233</v>
      </c>
      <c r="F65" t="s">
        <v>1834</v>
      </c>
      <c r="G65" t="s">
        <v>70</v>
      </c>
      <c r="H65">
        <v>75202</v>
      </c>
      <c r="I65" t="s">
        <v>74</v>
      </c>
      <c r="J65" s="3">
        <v>44917</v>
      </c>
      <c r="M65" t="str">
        <f t="shared" si="0"/>
        <v xml:space="preserve"> </v>
      </c>
    </row>
    <row r="66" spans="1:13" x14ac:dyDescent="0.35">
      <c r="A66" t="s">
        <v>1304</v>
      </c>
      <c r="B66" t="s">
        <v>4591</v>
      </c>
      <c r="C66" t="s">
        <v>3610</v>
      </c>
      <c r="D66" t="s">
        <v>2297</v>
      </c>
      <c r="E66" t="s">
        <v>3409</v>
      </c>
      <c r="F66" t="s">
        <v>1089</v>
      </c>
      <c r="G66" t="s">
        <v>1090</v>
      </c>
      <c r="H66">
        <v>75600</v>
      </c>
      <c r="I66" t="s">
        <v>80</v>
      </c>
      <c r="J66" s="3">
        <v>45238</v>
      </c>
      <c r="M66" t="str">
        <f t="shared" si="0"/>
        <v xml:space="preserve"> </v>
      </c>
    </row>
    <row r="67" spans="1:13" x14ac:dyDescent="0.35">
      <c r="A67" t="s">
        <v>1307</v>
      </c>
      <c r="B67" t="s">
        <v>4592</v>
      </c>
      <c r="C67" t="s">
        <v>3611</v>
      </c>
      <c r="D67" t="s">
        <v>1765</v>
      </c>
      <c r="E67" t="s">
        <v>3407</v>
      </c>
      <c r="F67" t="s">
        <v>75</v>
      </c>
      <c r="G67" t="s">
        <v>76</v>
      </c>
      <c r="H67" t="s">
        <v>1767</v>
      </c>
      <c r="I67" t="s">
        <v>71</v>
      </c>
      <c r="J67" s="3">
        <v>44512</v>
      </c>
      <c r="M67" t="str">
        <f t="shared" si="0"/>
        <v xml:space="preserve"> </v>
      </c>
    </row>
    <row r="68" spans="1:13" x14ac:dyDescent="0.35">
      <c r="A68" t="s">
        <v>1312</v>
      </c>
      <c r="B68" t="s">
        <v>4593</v>
      </c>
      <c r="C68" t="s">
        <v>3612</v>
      </c>
      <c r="D68" t="s">
        <v>2292</v>
      </c>
      <c r="E68" t="s">
        <v>3405</v>
      </c>
      <c r="F68" t="s">
        <v>1129</v>
      </c>
      <c r="G68" t="s">
        <v>1070</v>
      </c>
      <c r="H68" t="s">
        <v>1883</v>
      </c>
      <c r="I68" t="s">
        <v>74</v>
      </c>
      <c r="J68" s="3">
        <v>44816</v>
      </c>
      <c r="M68" t="str">
        <f t="shared" ref="M68:M131" si="1">V68&amp;" "&amp;W68</f>
        <v xml:space="preserve"> </v>
      </c>
    </row>
    <row r="69" spans="1:13" x14ac:dyDescent="0.35">
      <c r="A69" t="s">
        <v>1317</v>
      </c>
      <c r="B69" t="s">
        <v>4594</v>
      </c>
      <c r="C69" t="s">
        <v>3613</v>
      </c>
      <c r="D69" t="s">
        <v>2071</v>
      </c>
      <c r="E69" t="s">
        <v>3403</v>
      </c>
      <c r="F69" t="s">
        <v>1166</v>
      </c>
      <c r="G69" t="s">
        <v>1076</v>
      </c>
      <c r="H69">
        <v>21599</v>
      </c>
      <c r="I69" t="s">
        <v>80</v>
      </c>
      <c r="J69" s="3">
        <v>45217</v>
      </c>
      <c r="M69" t="str">
        <f t="shared" si="1"/>
        <v xml:space="preserve"> </v>
      </c>
    </row>
    <row r="70" spans="1:13" x14ac:dyDescent="0.35">
      <c r="A70" t="s">
        <v>1319</v>
      </c>
      <c r="B70" t="s">
        <v>4595</v>
      </c>
      <c r="C70" t="s">
        <v>3614</v>
      </c>
      <c r="D70" t="s">
        <v>2068</v>
      </c>
      <c r="E70" t="s">
        <v>3401</v>
      </c>
      <c r="F70" t="s">
        <v>1159</v>
      </c>
      <c r="G70" t="s">
        <v>73</v>
      </c>
      <c r="H70">
        <v>8018</v>
      </c>
      <c r="I70" t="s">
        <v>71</v>
      </c>
      <c r="J70" s="3">
        <v>44545</v>
      </c>
      <c r="M70" t="str">
        <f t="shared" si="1"/>
        <v xml:space="preserve"> </v>
      </c>
    </row>
    <row r="71" spans="1:13" x14ac:dyDescent="0.35">
      <c r="A71" t="s">
        <v>1324</v>
      </c>
      <c r="B71" t="s">
        <v>4596</v>
      </c>
      <c r="C71" t="s">
        <v>3615</v>
      </c>
      <c r="D71" t="s">
        <v>2065</v>
      </c>
      <c r="E71" t="s">
        <v>3399</v>
      </c>
      <c r="F71" t="s">
        <v>1170</v>
      </c>
      <c r="G71" t="s">
        <v>76</v>
      </c>
      <c r="H71" t="s">
        <v>1873</v>
      </c>
      <c r="I71" t="s">
        <v>74</v>
      </c>
      <c r="J71" s="3">
        <v>44852</v>
      </c>
      <c r="M71" t="str">
        <f t="shared" si="1"/>
        <v xml:space="preserve"> </v>
      </c>
    </row>
    <row r="72" spans="1:13" x14ac:dyDescent="0.35">
      <c r="A72" t="s">
        <v>1328</v>
      </c>
      <c r="B72" t="s">
        <v>4597</v>
      </c>
      <c r="C72" t="s">
        <v>3616</v>
      </c>
      <c r="D72" t="s">
        <v>1380</v>
      </c>
      <c r="E72" t="s">
        <v>3397</v>
      </c>
      <c r="F72" t="s">
        <v>72</v>
      </c>
      <c r="G72" t="s">
        <v>73</v>
      </c>
      <c r="H72">
        <v>28001</v>
      </c>
      <c r="I72" t="s">
        <v>80</v>
      </c>
      <c r="J72" s="3">
        <v>45177</v>
      </c>
      <c r="M72" t="str">
        <f t="shared" si="1"/>
        <v xml:space="preserve"> </v>
      </c>
    </row>
    <row r="73" spans="1:13" x14ac:dyDescent="0.35">
      <c r="A73" t="s">
        <v>1333</v>
      </c>
      <c r="B73" t="s">
        <v>4598</v>
      </c>
      <c r="C73" t="s">
        <v>3617</v>
      </c>
      <c r="D73" t="s">
        <v>2060</v>
      </c>
      <c r="E73" t="s">
        <v>3395</v>
      </c>
      <c r="F73" t="s">
        <v>90</v>
      </c>
      <c r="G73" t="s">
        <v>91</v>
      </c>
      <c r="H73">
        <v>10178</v>
      </c>
      <c r="I73" t="s">
        <v>71</v>
      </c>
      <c r="J73" s="3">
        <v>44461</v>
      </c>
      <c r="M73" t="str">
        <f t="shared" si="1"/>
        <v xml:space="preserve"> </v>
      </c>
    </row>
    <row r="74" spans="1:13" x14ac:dyDescent="0.35">
      <c r="A74" t="s">
        <v>1337</v>
      </c>
      <c r="B74" t="s">
        <v>4599</v>
      </c>
      <c r="C74" t="s">
        <v>3618</v>
      </c>
      <c r="D74" t="s">
        <v>2533</v>
      </c>
      <c r="E74" t="s">
        <v>3393</v>
      </c>
      <c r="F74" t="s">
        <v>1512</v>
      </c>
      <c r="G74" t="s">
        <v>70</v>
      </c>
      <c r="H74">
        <v>77002</v>
      </c>
      <c r="I74" t="s">
        <v>74</v>
      </c>
      <c r="J74" s="3">
        <v>44887</v>
      </c>
      <c r="M74" t="str">
        <f t="shared" si="1"/>
        <v xml:space="preserve"> </v>
      </c>
    </row>
    <row r="75" spans="1:13" x14ac:dyDescent="0.35">
      <c r="A75" t="s">
        <v>1340</v>
      </c>
      <c r="B75" t="s">
        <v>4600</v>
      </c>
      <c r="C75" t="s">
        <v>3619</v>
      </c>
      <c r="D75" t="s">
        <v>2276</v>
      </c>
      <c r="E75" t="s">
        <v>3391</v>
      </c>
      <c r="F75" t="s">
        <v>1299</v>
      </c>
      <c r="G75" t="s">
        <v>1090</v>
      </c>
      <c r="H75">
        <v>54810</v>
      </c>
      <c r="I75" t="s">
        <v>80</v>
      </c>
      <c r="J75" s="3">
        <v>45160</v>
      </c>
      <c r="M75" t="str">
        <f t="shared" si="1"/>
        <v xml:space="preserve"> </v>
      </c>
    </row>
    <row r="76" spans="1:13" x14ac:dyDescent="0.35">
      <c r="A76" t="s">
        <v>1342</v>
      </c>
      <c r="B76" t="s">
        <v>4601</v>
      </c>
      <c r="C76" t="s">
        <v>3620</v>
      </c>
      <c r="D76" t="s">
        <v>2051</v>
      </c>
      <c r="E76" t="s">
        <v>3389</v>
      </c>
      <c r="F76" t="s">
        <v>75</v>
      </c>
      <c r="G76" t="s">
        <v>76</v>
      </c>
      <c r="H76" t="s">
        <v>1385</v>
      </c>
      <c r="I76" t="s">
        <v>71</v>
      </c>
      <c r="J76" s="3">
        <v>44477</v>
      </c>
      <c r="M76" t="str">
        <f t="shared" si="1"/>
        <v xml:space="preserve"> </v>
      </c>
    </row>
    <row r="77" spans="1:13" x14ac:dyDescent="0.35">
      <c r="A77" t="s">
        <v>1346</v>
      </c>
      <c r="B77" t="s">
        <v>4602</v>
      </c>
      <c r="C77" t="s">
        <v>3621</v>
      </c>
      <c r="D77" t="s">
        <v>2271</v>
      </c>
      <c r="E77" t="s">
        <v>3387</v>
      </c>
      <c r="F77" t="s">
        <v>1198</v>
      </c>
      <c r="G77" t="s">
        <v>1070</v>
      </c>
      <c r="H77" t="s">
        <v>1199</v>
      </c>
      <c r="I77" t="s">
        <v>74</v>
      </c>
      <c r="J77" s="3">
        <v>44907</v>
      </c>
      <c r="M77" t="str">
        <f t="shared" si="1"/>
        <v xml:space="preserve"> </v>
      </c>
    </row>
    <row r="78" spans="1:13" x14ac:dyDescent="0.35">
      <c r="A78" t="s">
        <v>1350</v>
      </c>
      <c r="B78" t="s">
        <v>4572</v>
      </c>
      <c r="C78" t="s">
        <v>3622</v>
      </c>
      <c r="D78" t="s">
        <v>2020</v>
      </c>
      <c r="E78" t="s">
        <v>3385</v>
      </c>
      <c r="F78" t="s">
        <v>1075</v>
      </c>
      <c r="G78" t="s">
        <v>1076</v>
      </c>
      <c r="H78">
        <v>12311</v>
      </c>
      <c r="I78" t="s">
        <v>80</v>
      </c>
      <c r="J78" s="3">
        <v>45135</v>
      </c>
      <c r="M78" t="str">
        <f t="shared" si="1"/>
        <v xml:space="preserve"> </v>
      </c>
    </row>
    <row r="79" spans="1:13" x14ac:dyDescent="0.35">
      <c r="A79" t="s">
        <v>1354</v>
      </c>
      <c r="B79" t="s">
        <v>4603</v>
      </c>
      <c r="C79" t="s">
        <v>3623</v>
      </c>
      <c r="D79" t="s">
        <v>2042</v>
      </c>
      <c r="E79" t="s">
        <v>3383</v>
      </c>
      <c r="F79" t="s">
        <v>1159</v>
      </c>
      <c r="G79" t="s">
        <v>73</v>
      </c>
      <c r="H79">
        <v>8008</v>
      </c>
      <c r="I79" t="s">
        <v>71</v>
      </c>
      <c r="J79" s="3">
        <v>44528</v>
      </c>
      <c r="M79" t="str">
        <f t="shared" si="1"/>
        <v xml:space="preserve"> </v>
      </c>
    </row>
    <row r="80" spans="1:13" x14ac:dyDescent="0.35">
      <c r="A80" t="s">
        <v>1358</v>
      </c>
      <c r="B80" t="s">
        <v>4558</v>
      </c>
      <c r="C80" t="s">
        <v>3624</v>
      </c>
      <c r="D80" t="s">
        <v>2039</v>
      </c>
      <c r="E80" t="s">
        <v>3381</v>
      </c>
      <c r="F80" t="s">
        <v>1170</v>
      </c>
      <c r="G80" t="s">
        <v>76</v>
      </c>
      <c r="H80" t="s">
        <v>1171</v>
      </c>
      <c r="I80" t="s">
        <v>74</v>
      </c>
      <c r="J80" s="3">
        <v>44832</v>
      </c>
      <c r="M80" t="str">
        <f t="shared" si="1"/>
        <v xml:space="preserve"> </v>
      </c>
    </row>
    <row r="81" spans="1:13" x14ac:dyDescent="0.35">
      <c r="A81" t="s">
        <v>1361</v>
      </c>
      <c r="B81" t="s">
        <v>4604</v>
      </c>
      <c r="C81" t="s">
        <v>3625</v>
      </c>
      <c r="D81" t="s">
        <v>1268</v>
      </c>
      <c r="E81" t="s">
        <v>3379</v>
      </c>
      <c r="F81" t="s">
        <v>72</v>
      </c>
      <c r="G81" t="s">
        <v>73</v>
      </c>
      <c r="H81">
        <v>28006</v>
      </c>
      <c r="I81" t="s">
        <v>80</v>
      </c>
      <c r="J81" s="3">
        <v>45085</v>
      </c>
      <c r="M81" t="str">
        <f t="shared" si="1"/>
        <v xml:space="preserve"> </v>
      </c>
    </row>
    <row r="82" spans="1:13" x14ac:dyDescent="0.35">
      <c r="A82" t="s">
        <v>1364</v>
      </c>
      <c r="B82" t="s">
        <v>4605</v>
      </c>
      <c r="C82" t="s">
        <v>3626</v>
      </c>
      <c r="D82" t="s">
        <v>2034</v>
      </c>
      <c r="E82" t="s">
        <v>3377</v>
      </c>
      <c r="F82" t="s">
        <v>90</v>
      </c>
      <c r="G82" t="s">
        <v>91</v>
      </c>
      <c r="H82">
        <v>10117</v>
      </c>
      <c r="I82" t="s">
        <v>71</v>
      </c>
      <c r="J82" s="3">
        <v>44552</v>
      </c>
      <c r="M82" t="str">
        <f t="shared" si="1"/>
        <v xml:space="preserve"> </v>
      </c>
    </row>
    <row r="83" spans="1:13" x14ac:dyDescent="0.35">
      <c r="A83" t="s">
        <v>1367</v>
      </c>
      <c r="B83" t="s">
        <v>4606</v>
      </c>
      <c r="C83" t="s">
        <v>3627</v>
      </c>
      <c r="D83" t="s">
        <v>1920</v>
      </c>
      <c r="E83" t="s">
        <v>3375</v>
      </c>
      <c r="F83" t="s">
        <v>1922</v>
      </c>
      <c r="G83" t="s">
        <v>70</v>
      </c>
      <c r="H83">
        <v>19106</v>
      </c>
      <c r="I83" t="s">
        <v>74</v>
      </c>
      <c r="J83" s="3">
        <v>44842</v>
      </c>
      <c r="M83" t="str">
        <f t="shared" si="1"/>
        <v xml:space="preserve"> </v>
      </c>
    </row>
    <row r="84" spans="1:13" x14ac:dyDescent="0.35">
      <c r="A84" t="s">
        <v>1370</v>
      </c>
      <c r="B84" t="s">
        <v>4607</v>
      </c>
      <c r="C84" t="s">
        <v>3628</v>
      </c>
      <c r="D84" t="s">
        <v>2255</v>
      </c>
      <c r="E84" t="s">
        <v>3373</v>
      </c>
      <c r="F84" t="s">
        <v>78</v>
      </c>
      <c r="G84" t="s">
        <v>79</v>
      </c>
      <c r="H84">
        <v>123456</v>
      </c>
      <c r="I84" t="s">
        <v>80</v>
      </c>
      <c r="J84" s="3">
        <v>45061</v>
      </c>
      <c r="M84" t="str">
        <f t="shared" si="1"/>
        <v xml:space="preserve"> </v>
      </c>
    </row>
    <row r="85" spans="1:13" x14ac:dyDescent="0.35">
      <c r="A85" t="s">
        <v>1373</v>
      </c>
      <c r="B85" t="s">
        <v>4608</v>
      </c>
      <c r="C85" t="s">
        <v>3629</v>
      </c>
      <c r="D85" t="s">
        <v>1514</v>
      </c>
      <c r="E85" t="s">
        <v>3371</v>
      </c>
      <c r="F85" t="s">
        <v>75</v>
      </c>
      <c r="G85" t="s">
        <v>76</v>
      </c>
      <c r="H85" t="s">
        <v>1767</v>
      </c>
      <c r="I85" t="s">
        <v>71</v>
      </c>
      <c r="J85" s="3">
        <v>44451</v>
      </c>
      <c r="M85" t="str">
        <f t="shared" si="1"/>
        <v xml:space="preserve"> </v>
      </c>
    </row>
    <row r="86" spans="1:13" x14ac:dyDescent="0.35">
      <c r="A86" t="s">
        <v>1375</v>
      </c>
      <c r="B86" t="s">
        <v>4566</v>
      </c>
      <c r="C86" t="s">
        <v>3630</v>
      </c>
      <c r="D86" t="s">
        <v>2250</v>
      </c>
      <c r="E86" t="s">
        <v>3369</v>
      </c>
      <c r="F86" t="s">
        <v>1129</v>
      </c>
      <c r="G86" t="s">
        <v>1070</v>
      </c>
      <c r="H86" t="s">
        <v>1130</v>
      </c>
      <c r="I86" t="s">
        <v>74</v>
      </c>
      <c r="J86" s="3">
        <v>44883</v>
      </c>
      <c r="M86" t="str">
        <f t="shared" si="1"/>
        <v xml:space="preserve"> </v>
      </c>
    </row>
    <row r="87" spans="1:13" x14ac:dyDescent="0.35">
      <c r="A87" t="s">
        <v>1379</v>
      </c>
      <c r="B87" t="s">
        <v>4609</v>
      </c>
      <c r="C87" t="s">
        <v>3631</v>
      </c>
      <c r="D87" t="s">
        <v>1966</v>
      </c>
      <c r="E87" t="s">
        <v>3367</v>
      </c>
      <c r="F87" t="s">
        <v>1075</v>
      </c>
      <c r="G87" t="s">
        <v>1076</v>
      </c>
      <c r="H87">
        <v>12311</v>
      </c>
      <c r="I87" t="s">
        <v>80</v>
      </c>
      <c r="J87" s="3">
        <v>45044</v>
      </c>
      <c r="M87" t="str">
        <f t="shared" si="1"/>
        <v xml:space="preserve"> </v>
      </c>
    </row>
    <row r="88" spans="1:13" x14ac:dyDescent="0.35">
      <c r="A88" t="s">
        <v>1382</v>
      </c>
      <c r="B88" t="s">
        <v>4610</v>
      </c>
      <c r="C88" t="s">
        <v>3632</v>
      </c>
      <c r="D88" t="s">
        <v>2017</v>
      </c>
      <c r="E88" t="s">
        <v>3365</v>
      </c>
      <c r="F88" t="s">
        <v>1159</v>
      </c>
      <c r="G88" t="s">
        <v>73</v>
      </c>
      <c r="H88">
        <v>8018</v>
      </c>
      <c r="I88" t="s">
        <v>71</v>
      </c>
      <c r="J88" s="3">
        <v>44481</v>
      </c>
      <c r="M88" t="str">
        <f t="shared" si="1"/>
        <v xml:space="preserve"> </v>
      </c>
    </row>
    <row r="89" spans="1:13" x14ac:dyDescent="0.35">
      <c r="A89" t="s">
        <v>1386</v>
      </c>
      <c r="B89" t="s">
        <v>4611</v>
      </c>
      <c r="C89" t="s">
        <v>3633</v>
      </c>
      <c r="D89" t="s">
        <v>2014</v>
      </c>
      <c r="E89" t="s">
        <v>3363</v>
      </c>
      <c r="F89" t="s">
        <v>1170</v>
      </c>
      <c r="G89" t="s">
        <v>76</v>
      </c>
      <c r="H89" t="s">
        <v>1989</v>
      </c>
      <c r="I89" t="s">
        <v>74</v>
      </c>
      <c r="J89" s="3">
        <v>44903</v>
      </c>
      <c r="M89" t="str">
        <f t="shared" si="1"/>
        <v xml:space="preserve"> </v>
      </c>
    </row>
    <row r="90" spans="1:13" x14ac:dyDescent="0.35">
      <c r="A90" t="s">
        <v>1390</v>
      </c>
      <c r="B90" t="s">
        <v>4612</v>
      </c>
      <c r="C90" t="s">
        <v>3634</v>
      </c>
      <c r="D90" t="s">
        <v>2011</v>
      </c>
      <c r="E90" t="s">
        <v>3361</v>
      </c>
      <c r="F90" t="s">
        <v>72</v>
      </c>
      <c r="G90" t="s">
        <v>73</v>
      </c>
      <c r="H90">
        <v>28001</v>
      </c>
      <c r="I90" t="s">
        <v>80</v>
      </c>
      <c r="J90" s="3">
        <v>45000</v>
      </c>
      <c r="M90" t="str">
        <f t="shared" si="1"/>
        <v xml:space="preserve"> </v>
      </c>
    </row>
    <row r="91" spans="1:13" x14ac:dyDescent="0.35">
      <c r="A91" t="s">
        <v>1392</v>
      </c>
      <c r="B91" t="s">
        <v>4529</v>
      </c>
      <c r="C91" t="s">
        <v>3635</v>
      </c>
      <c r="D91" t="s">
        <v>2008</v>
      </c>
      <c r="E91" t="s">
        <v>3359</v>
      </c>
      <c r="F91" t="s">
        <v>90</v>
      </c>
      <c r="G91" t="s">
        <v>91</v>
      </c>
      <c r="H91">
        <v>10785</v>
      </c>
      <c r="I91" t="s">
        <v>71</v>
      </c>
      <c r="J91" s="3">
        <v>44522</v>
      </c>
      <c r="M91" t="str">
        <f t="shared" si="1"/>
        <v xml:space="preserve"> </v>
      </c>
    </row>
    <row r="92" spans="1:13" x14ac:dyDescent="0.35">
      <c r="A92" t="s">
        <v>1395</v>
      </c>
      <c r="B92" t="s">
        <v>4613</v>
      </c>
      <c r="C92" t="s">
        <v>3636</v>
      </c>
      <c r="D92" t="s">
        <v>1862</v>
      </c>
      <c r="E92" t="s">
        <v>3357</v>
      </c>
      <c r="F92" t="s">
        <v>1864</v>
      </c>
      <c r="G92" t="s">
        <v>70</v>
      </c>
      <c r="H92">
        <v>30303</v>
      </c>
      <c r="I92" t="s">
        <v>74</v>
      </c>
      <c r="J92" s="3">
        <v>44819</v>
      </c>
      <c r="M92" t="str">
        <f t="shared" si="1"/>
        <v xml:space="preserve"> </v>
      </c>
    </row>
    <row r="93" spans="1:13" x14ac:dyDescent="0.35">
      <c r="A93" t="s">
        <v>1398</v>
      </c>
      <c r="B93" t="s">
        <v>4529</v>
      </c>
      <c r="C93" t="s">
        <v>3637</v>
      </c>
      <c r="D93" t="s">
        <v>2234</v>
      </c>
      <c r="E93" t="s">
        <v>3355</v>
      </c>
      <c r="F93" t="s">
        <v>1089</v>
      </c>
      <c r="G93" t="s">
        <v>1090</v>
      </c>
      <c r="H93">
        <v>75600</v>
      </c>
      <c r="I93" t="s">
        <v>80</v>
      </c>
      <c r="J93" s="3">
        <v>44985</v>
      </c>
      <c r="M93" t="str">
        <f t="shared" si="1"/>
        <v xml:space="preserve"> </v>
      </c>
    </row>
    <row r="94" spans="1:13" x14ac:dyDescent="0.35">
      <c r="A94" t="s">
        <v>1401</v>
      </c>
      <c r="B94" t="s">
        <v>4614</v>
      </c>
      <c r="C94" t="s">
        <v>3638</v>
      </c>
      <c r="D94" t="s">
        <v>1487</v>
      </c>
      <c r="E94" t="s">
        <v>3353</v>
      </c>
      <c r="F94" t="s">
        <v>75</v>
      </c>
      <c r="G94" t="s">
        <v>76</v>
      </c>
      <c r="H94" t="s">
        <v>1385</v>
      </c>
      <c r="I94" t="s">
        <v>71</v>
      </c>
      <c r="J94" s="3">
        <v>44558</v>
      </c>
      <c r="M94" t="str">
        <f t="shared" si="1"/>
        <v xml:space="preserve"> </v>
      </c>
    </row>
    <row r="95" spans="1:13" x14ac:dyDescent="0.35">
      <c r="A95" t="s">
        <v>1405</v>
      </c>
      <c r="B95" t="s">
        <v>4615</v>
      </c>
      <c r="C95" t="s">
        <v>3639</v>
      </c>
      <c r="D95" t="s">
        <v>2229</v>
      </c>
      <c r="E95" t="s">
        <v>3351</v>
      </c>
      <c r="F95" t="s">
        <v>1198</v>
      </c>
      <c r="G95" t="s">
        <v>1070</v>
      </c>
      <c r="H95" t="s">
        <v>1199</v>
      </c>
      <c r="I95" t="s">
        <v>74</v>
      </c>
      <c r="J95" s="3">
        <v>44856</v>
      </c>
      <c r="M95" t="str">
        <f t="shared" si="1"/>
        <v xml:space="preserve"> </v>
      </c>
    </row>
    <row r="96" spans="1:13" x14ac:dyDescent="0.35">
      <c r="A96" t="s">
        <v>1409</v>
      </c>
      <c r="B96" t="s">
        <v>4616</v>
      </c>
      <c r="C96" t="s">
        <v>3640</v>
      </c>
      <c r="D96" t="s">
        <v>1908</v>
      </c>
      <c r="E96" t="s">
        <v>3349</v>
      </c>
      <c r="F96" t="s">
        <v>1075</v>
      </c>
      <c r="G96" t="s">
        <v>1076</v>
      </c>
      <c r="H96">
        <v>11341</v>
      </c>
      <c r="I96" t="s">
        <v>80</v>
      </c>
      <c r="J96" s="3">
        <v>44934</v>
      </c>
      <c r="M96" t="str">
        <f t="shared" si="1"/>
        <v xml:space="preserve"> </v>
      </c>
    </row>
    <row r="97" spans="1:13" x14ac:dyDescent="0.35">
      <c r="A97" t="s">
        <v>1412</v>
      </c>
      <c r="B97" t="s">
        <v>4611</v>
      </c>
      <c r="C97" t="s">
        <v>3641</v>
      </c>
      <c r="D97" t="s">
        <v>1991</v>
      </c>
      <c r="E97" t="s">
        <v>3347</v>
      </c>
      <c r="F97" t="s">
        <v>1159</v>
      </c>
      <c r="G97" t="s">
        <v>73</v>
      </c>
      <c r="H97">
        <v>8008</v>
      </c>
      <c r="I97" t="s">
        <v>71</v>
      </c>
      <c r="J97" s="3">
        <v>44457</v>
      </c>
      <c r="M97" t="str">
        <f t="shared" si="1"/>
        <v xml:space="preserve"> </v>
      </c>
    </row>
    <row r="98" spans="1:13" x14ac:dyDescent="0.35">
      <c r="A98" t="s">
        <v>1417</v>
      </c>
      <c r="B98" t="s">
        <v>4617</v>
      </c>
      <c r="C98" t="s">
        <v>3642</v>
      </c>
      <c r="D98" t="s">
        <v>1987</v>
      </c>
      <c r="E98" t="s">
        <v>3345</v>
      </c>
      <c r="F98" t="s">
        <v>1170</v>
      </c>
      <c r="G98" t="s">
        <v>76</v>
      </c>
      <c r="H98" t="s">
        <v>1873</v>
      </c>
      <c r="I98" t="s">
        <v>74</v>
      </c>
      <c r="J98" s="3">
        <v>44873</v>
      </c>
      <c r="M98" t="str">
        <f t="shared" si="1"/>
        <v xml:space="preserve"> </v>
      </c>
    </row>
    <row r="99" spans="1:13" x14ac:dyDescent="0.35">
      <c r="A99" t="s">
        <v>1420</v>
      </c>
      <c r="B99" t="s">
        <v>4618</v>
      </c>
      <c r="C99" t="s">
        <v>3643</v>
      </c>
      <c r="D99" t="s">
        <v>1984</v>
      </c>
      <c r="E99" t="s">
        <v>3343</v>
      </c>
      <c r="F99" t="s">
        <v>72</v>
      </c>
      <c r="G99" t="s">
        <v>73</v>
      </c>
      <c r="H99">
        <v>28006</v>
      </c>
      <c r="I99" t="s">
        <v>80</v>
      </c>
      <c r="J99" s="3">
        <v>45282</v>
      </c>
      <c r="M99" t="str">
        <f t="shared" si="1"/>
        <v xml:space="preserve"> </v>
      </c>
    </row>
    <row r="100" spans="1:13" x14ac:dyDescent="0.35">
      <c r="A100" t="s">
        <v>1423</v>
      </c>
      <c r="B100" t="s">
        <v>4619</v>
      </c>
      <c r="C100" t="s">
        <v>3644</v>
      </c>
      <c r="D100" t="s">
        <v>1981</v>
      </c>
      <c r="E100" t="s">
        <v>3341</v>
      </c>
      <c r="F100" t="s">
        <v>90</v>
      </c>
      <c r="G100" t="s">
        <v>91</v>
      </c>
      <c r="H100">
        <v>10178</v>
      </c>
      <c r="I100" t="s">
        <v>71</v>
      </c>
      <c r="J100" s="3">
        <v>44491</v>
      </c>
      <c r="M100" t="str">
        <f t="shared" si="1"/>
        <v xml:space="preserve"> </v>
      </c>
    </row>
    <row r="101" spans="1:13" x14ac:dyDescent="0.35">
      <c r="A101" t="s">
        <v>1426</v>
      </c>
      <c r="B101" t="s">
        <v>4620</v>
      </c>
      <c r="C101" t="s">
        <v>3645</v>
      </c>
      <c r="D101" t="s">
        <v>2459</v>
      </c>
      <c r="E101" t="s">
        <v>3144</v>
      </c>
      <c r="F101" t="s">
        <v>1834</v>
      </c>
      <c r="G101" t="s">
        <v>70</v>
      </c>
      <c r="H101">
        <v>75202</v>
      </c>
      <c r="I101" t="s">
        <v>74</v>
      </c>
      <c r="J101" s="3">
        <v>44910</v>
      </c>
      <c r="M101" t="str">
        <f t="shared" si="1"/>
        <v xml:space="preserve"> </v>
      </c>
    </row>
    <row r="102" spans="1:13" x14ac:dyDescent="0.35">
      <c r="A102" t="s">
        <v>1429</v>
      </c>
      <c r="B102" t="s">
        <v>4621</v>
      </c>
      <c r="C102" t="s">
        <v>3646</v>
      </c>
      <c r="D102" t="s">
        <v>2213</v>
      </c>
      <c r="E102" t="s">
        <v>3338</v>
      </c>
      <c r="F102" t="s">
        <v>1299</v>
      </c>
      <c r="G102" t="s">
        <v>1090</v>
      </c>
      <c r="H102">
        <v>54810</v>
      </c>
      <c r="I102" t="s">
        <v>80</v>
      </c>
      <c r="J102" s="3">
        <v>45248</v>
      </c>
      <c r="M102" t="str">
        <f t="shared" si="1"/>
        <v xml:space="preserve"> </v>
      </c>
    </row>
    <row r="103" spans="1:13" x14ac:dyDescent="0.35">
      <c r="A103" t="s">
        <v>1432</v>
      </c>
      <c r="B103" t="s">
        <v>4622</v>
      </c>
      <c r="C103" t="s">
        <v>3647</v>
      </c>
      <c r="D103" t="s">
        <v>1460</v>
      </c>
      <c r="E103" t="s">
        <v>3336</v>
      </c>
      <c r="F103" t="s">
        <v>75</v>
      </c>
      <c r="G103" t="s">
        <v>76</v>
      </c>
      <c r="H103" t="s">
        <v>1767</v>
      </c>
      <c r="I103" t="s">
        <v>71</v>
      </c>
      <c r="J103" s="3">
        <v>44522</v>
      </c>
      <c r="M103" t="str">
        <f t="shared" si="1"/>
        <v xml:space="preserve"> </v>
      </c>
    </row>
    <row r="104" spans="1:13" x14ac:dyDescent="0.35">
      <c r="A104" t="s">
        <v>1435</v>
      </c>
      <c r="B104" t="s">
        <v>4623</v>
      </c>
      <c r="C104" t="s">
        <v>3648</v>
      </c>
      <c r="D104" t="s">
        <v>2208</v>
      </c>
      <c r="E104" t="s">
        <v>3334</v>
      </c>
      <c r="F104" t="s">
        <v>1129</v>
      </c>
      <c r="G104" t="s">
        <v>1070</v>
      </c>
      <c r="H104" t="s">
        <v>1883</v>
      </c>
      <c r="I104" t="s">
        <v>74</v>
      </c>
      <c r="J104" s="3">
        <v>44826</v>
      </c>
      <c r="M104" t="str">
        <f t="shared" si="1"/>
        <v xml:space="preserve"> </v>
      </c>
    </row>
    <row r="105" spans="1:13" x14ac:dyDescent="0.35">
      <c r="A105" t="s">
        <v>1439</v>
      </c>
      <c r="B105" t="s">
        <v>4624</v>
      </c>
      <c r="C105" t="s">
        <v>3649</v>
      </c>
      <c r="D105" t="s">
        <v>1859</v>
      </c>
      <c r="E105" t="s">
        <v>3332</v>
      </c>
      <c r="F105" t="s">
        <v>1166</v>
      </c>
      <c r="G105" t="s">
        <v>1076</v>
      </c>
      <c r="H105">
        <v>21599</v>
      </c>
      <c r="I105" t="s">
        <v>80</v>
      </c>
      <c r="J105" s="3">
        <v>45211</v>
      </c>
      <c r="M105" t="str">
        <f t="shared" si="1"/>
        <v xml:space="preserve"> </v>
      </c>
    </row>
    <row r="106" spans="1:13" x14ac:dyDescent="0.35">
      <c r="A106" t="s">
        <v>1443</v>
      </c>
      <c r="B106" t="s">
        <v>4625</v>
      </c>
      <c r="C106" t="s">
        <v>3650</v>
      </c>
      <c r="D106" t="s">
        <v>1963</v>
      </c>
      <c r="E106" t="s">
        <v>3330</v>
      </c>
      <c r="F106" t="s">
        <v>1159</v>
      </c>
      <c r="G106" t="s">
        <v>73</v>
      </c>
      <c r="H106">
        <v>8018</v>
      </c>
      <c r="I106" t="s">
        <v>71</v>
      </c>
      <c r="J106" s="3">
        <v>44538</v>
      </c>
      <c r="M106" t="str">
        <f t="shared" si="1"/>
        <v xml:space="preserve"> </v>
      </c>
    </row>
    <row r="107" spans="1:13" x14ac:dyDescent="0.35">
      <c r="A107" t="s">
        <v>1446</v>
      </c>
      <c r="B107" t="s">
        <v>4626</v>
      </c>
      <c r="C107" t="s">
        <v>3651</v>
      </c>
      <c r="D107" t="s">
        <v>1960</v>
      </c>
      <c r="E107" t="s">
        <v>3328</v>
      </c>
      <c r="F107" t="s">
        <v>1170</v>
      </c>
      <c r="G107" t="s">
        <v>76</v>
      </c>
      <c r="H107" t="s">
        <v>1171</v>
      </c>
      <c r="I107" t="s">
        <v>74</v>
      </c>
      <c r="J107" s="3">
        <v>44846</v>
      </c>
      <c r="M107" t="str">
        <f t="shared" si="1"/>
        <v xml:space="preserve"> </v>
      </c>
    </row>
    <row r="108" spans="1:13" x14ac:dyDescent="0.35">
      <c r="A108" t="s">
        <v>1449</v>
      </c>
      <c r="B108" t="s">
        <v>4627</v>
      </c>
      <c r="C108" t="s">
        <v>3652</v>
      </c>
      <c r="D108" t="s">
        <v>1957</v>
      </c>
      <c r="E108" t="s">
        <v>3326</v>
      </c>
      <c r="F108" t="s">
        <v>72</v>
      </c>
      <c r="G108" t="s">
        <v>73</v>
      </c>
      <c r="H108">
        <v>28001</v>
      </c>
      <c r="I108" t="s">
        <v>80</v>
      </c>
      <c r="J108" s="3">
        <v>45181</v>
      </c>
      <c r="M108" t="str">
        <f t="shared" si="1"/>
        <v xml:space="preserve"> </v>
      </c>
    </row>
    <row r="109" spans="1:13" x14ac:dyDescent="0.35">
      <c r="A109" t="s">
        <v>1451</v>
      </c>
      <c r="B109" t="s">
        <v>4628</v>
      </c>
      <c r="C109" t="s">
        <v>3653</v>
      </c>
      <c r="D109" t="s">
        <v>1954</v>
      </c>
      <c r="E109" t="s">
        <v>3324</v>
      </c>
      <c r="F109" t="s">
        <v>90</v>
      </c>
      <c r="G109" t="s">
        <v>91</v>
      </c>
      <c r="H109">
        <v>10785</v>
      </c>
      <c r="I109" t="s">
        <v>71</v>
      </c>
      <c r="J109" s="3">
        <v>44467</v>
      </c>
      <c r="M109" t="str">
        <f t="shared" si="1"/>
        <v xml:space="preserve"> </v>
      </c>
    </row>
    <row r="110" spans="1:13" x14ac:dyDescent="0.35">
      <c r="A110" t="s">
        <v>1455</v>
      </c>
      <c r="B110" t="s">
        <v>4629</v>
      </c>
      <c r="C110" t="s">
        <v>3654</v>
      </c>
      <c r="D110" t="s">
        <v>1402</v>
      </c>
      <c r="E110" t="s">
        <v>3322</v>
      </c>
      <c r="F110" t="s">
        <v>1404</v>
      </c>
      <c r="G110" t="s">
        <v>70</v>
      </c>
      <c r="H110">
        <v>33139</v>
      </c>
      <c r="I110" t="s">
        <v>74</v>
      </c>
      <c r="J110" s="3">
        <v>44893</v>
      </c>
      <c r="M110" t="str">
        <f t="shared" si="1"/>
        <v xml:space="preserve"> </v>
      </c>
    </row>
    <row r="111" spans="1:13" x14ac:dyDescent="0.35">
      <c r="A111" t="s">
        <v>1459</v>
      </c>
      <c r="B111" t="s">
        <v>4630</v>
      </c>
      <c r="C111" t="s">
        <v>3655</v>
      </c>
      <c r="D111" t="s">
        <v>2192</v>
      </c>
      <c r="E111" t="s">
        <v>3320</v>
      </c>
      <c r="F111" t="s">
        <v>78</v>
      </c>
      <c r="G111" t="s">
        <v>79</v>
      </c>
      <c r="H111">
        <v>123456</v>
      </c>
      <c r="I111" t="s">
        <v>80</v>
      </c>
      <c r="J111" s="3">
        <v>45146</v>
      </c>
      <c r="M111" t="str">
        <f t="shared" si="1"/>
        <v xml:space="preserve"> </v>
      </c>
    </row>
    <row r="112" spans="1:13" x14ac:dyDescent="0.35">
      <c r="A112" t="s">
        <v>1462</v>
      </c>
      <c r="B112" t="s">
        <v>3542</v>
      </c>
      <c r="C112" t="s">
        <v>3656</v>
      </c>
      <c r="D112" t="s">
        <v>1914</v>
      </c>
      <c r="E112" t="s">
        <v>3318</v>
      </c>
      <c r="F112" t="s">
        <v>75</v>
      </c>
      <c r="G112" t="s">
        <v>76</v>
      </c>
      <c r="H112" t="s">
        <v>1385</v>
      </c>
      <c r="I112" t="s">
        <v>71</v>
      </c>
      <c r="J112" s="3">
        <v>44497</v>
      </c>
      <c r="M112" t="str">
        <f t="shared" si="1"/>
        <v xml:space="preserve"> </v>
      </c>
    </row>
    <row r="113" spans="1:13" x14ac:dyDescent="0.35">
      <c r="A113" t="s">
        <v>1464</v>
      </c>
      <c r="B113" t="s">
        <v>4631</v>
      </c>
      <c r="C113" t="s">
        <v>3657</v>
      </c>
      <c r="D113" t="s">
        <v>2187</v>
      </c>
      <c r="E113" t="s">
        <v>3316</v>
      </c>
      <c r="F113" t="s">
        <v>1198</v>
      </c>
      <c r="G113" t="s">
        <v>1070</v>
      </c>
      <c r="H113" t="s">
        <v>1199</v>
      </c>
      <c r="I113" t="s">
        <v>74</v>
      </c>
      <c r="J113" s="3">
        <v>44907</v>
      </c>
      <c r="M113" t="str">
        <f t="shared" si="1"/>
        <v xml:space="preserve"> </v>
      </c>
    </row>
    <row r="114" spans="1:13" x14ac:dyDescent="0.35">
      <c r="A114" t="s">
        <v>1469</v>
      </c>
      <c r="B114" t="s">
        <v>4632</v>
      </c>
      <c r="C114" t="s">
        <v>3658</v>
      </c>
      <c r="D114" t="s">
        <v>1819</v>
      </c>
      <c r="E114" t="s">
        <v>3314</v>
      </c>
      <c r="F114" t="s">
        <v>1075</v>
      </c>
      <c r="G114" t="s">
        <v>1076</v>
      </c>
      <c r="H114">
        <v>12311</v>
      </c>
      <c r="I114" t="s">
        <v>80</v>
      </c>
      <c r="J114" s="3">
        <v>45119</v>
      </c>
      <c r="M114" t="str">
        <f t="shared" si="1"/>
        <v xml:space="preserve"> </v>
      </c>
    </row>
    <row r="115" spans="1:13" x14ac:dyDescent="0.35">
      <c r="A115" t="s">
        <v>1472</v>
      </c>
      <c r="B115" t="s">
        <v>4633</v>
      </c>
      <c r="C115" t="s">
        <v>3659</v>
      </c>
      <c r="D115" t="s">
        <v>1934</v>
      </c>
      <c r="E115" t="s">
        <v>3312</v>
      </c>
      <c r="F115" t="s">
        <v>1159</v>
      </c>
      <c r="G115" t="s">
        <v>73</v>
      </c>
      <c r="H115">
        <v>8008</v>
      </c>
      <c r="I115" t="s">
        <v>71</v>
      </c>
      <c r="J115" s="3">
        <v>44518</v>
      </c>
      <c r="M115" t="str">
        <f t="shared" si="1"/>
        <v xml:space="preserve"> </v>
      </c>
    </row>
    <row r="116" spans="1:13" x14ac:dyDescent="0.35">
      <c r="A116" t="s">
        <v>1475</v>
      </c>
      <c r="B116" t="s">
        <v>4548</v>
      </c>
      <c r="C116" t="s">
        <v>3660</v>
      </c>
      <c r="D116" t="s">
        <v>1930</v>
      </c>
      <c r="E116" t="s">
        <v>3310</v>
      </c>
      <c r="F116" t="s">
        <v>1170</v>
      </c>
      <c r="G116" t="s">
        <v>76</v>
      </c>
      <c r="H116" t="s">
        <v>1989</v>
      </c>
      <c r="I116" t="s">
        <v>74</v>
      </c>
      <c r="J116" s="3">
        <v>44812</v>
      </c>
      <c r="M116" t="str">
        <f t="shared" si="1"/>
        <v xml:space="preserve"> </v>
      </c>
    </row>
    <row r="117" spans="1:13" x14ac:dyDescent="0.35">
      <c r="A117" t="s">
        <v>1478</v>
      </c>
      <c r="B117" t="s">
        <v>4634</v>
      </c>
      <c r="C117" t="s">
        <v>3661</v>
      </c>
      <c r="D117" t="s">
        <v>1927</v>
      </c>
      <c r="E117" t="s">
        <v>3308</v>
      </c>
      <c r="F117" t="s">
        <v>72</v>
      </c>
      <c r="G117" t="s">
        <v>73</v>
      </c>
      <c r="H117">
        <v>28006</v>
      </c>
      <c r="I117" t="s">
        <v>80</v>
      </c>
      <c r="J117" s="3">
        <v>45105</v>
      </c>
      <c r="M117" t="str">
        <f t="shared" si="1"/>
        <v xml:space="preserve"> </v>
      </c>
    </row>
    <row r="118" spans="1:13" x14ac:dyDescent="0.35">
      <c r="A118" t="s">
        <v>1480</v>
      </c>
      <c r="B118" t="s">
        <v>4635</v>
      </c>
      <c r="C118" t="s">
        <v>3662</v>
      </c>
      <c r="D118" t="s">
        <v>1924</v>
      </c>
      <c r="E118" t="s">
        <v>3306</v>
      </c>
      <c r="F118" t="s">
        <v>90</v>
      </c>
      <c r="G118" t="s">
        <v>91</v>
      </c>
      <c r="H118">
        <v>10178</v>
      </c>
      <c r="I118" t="s">
        <v>71</v>
      </c>
      <c r="J118" s="3">
        <v>44552</v>
      </c>
      <c r="M118" t="str">
        <f t="shared" si="1"/>
        <v xml:space="preserve"> </v>
      </c>
    </row>
    <row r="119" spans="1:13" x14ac:dyDescent="0.35">
      <c r="A119" t="s">
        <v>1483</v>
      </c>
      <c r="B119" t="s">
        <v>4636</v>
      </c>
      <c r="C119" t="s">
        <v>3663</v>
      </c>
      <c r="D119" t="s">
        <v>2419</v>
      </c>
      <c r="E119" t="s">
        <v>3304</v>
      </c>
      <c r="F119" t="s">
        <v>1512</v>
      </c>
      <c r="G119" t="s">
        <v>70</v>
      </c>
      <c r="H119">
        <v>77002</v>
      </c>
      <c r="I119" t="s">
        <v>74</v>
      </c>
      <c r="J119" s="3">
        <v>44852</v>
      </c>
      <c r="M119" t="str">
        <f t="shared" si="1"/>
        <v xml:space="preserve"> </v>
      </c>
    </row>
    <row r="120" spans="1:13" x14ac:dyDescent="0.35">
      <c r="A120" t="s">
        <v>1486</v>
      </c>
      <c r="B120" t="s">
        <v>4637</v>
      </c>
      <c r="C120" t="s">
        <v>3664</v>
      </c>
      <c r="D120" t="s">
        <v>2171</v>
      </c>
      <c r="E120" t="s">
        <v>3302</v>
      </c>
      <c r="F120" t="s">
        <v>1089</v>
      </c>
      <c r="G120" t="s">
        <v>1090</v>
      </c>
      <c r="H120">
        <v>75600</v>
      </c>
      <c r="I120" t="s">
        <v>80</v>
      </c>
      <c r="J120" s="3">
        <v>45068</v>
      </c>
      <c r="M120" t="str">
        <f t="shared" si="1"/>
        <v xml:space="preserve"> </v>
      </c>
    </row>
    <row r="121" spans="1:13" x14ac:dyDescent="0.35">
      <c r="A121" t="s">
        <v>1490</v>
      </c>
      <c r="B121" t="s">
        <v>4638</v>
      </c>
      <c r="C121" t="s">
        <v>3665</v>
      </c>
      <c r="D121" t="s">
        <v>1885</v>
      </c>
      <c r="E121" t="s">
        <v>3300</v>
      </c>
      <c r="F121" t="s">
        <v>75</v>
      </c>
      <c r="G121" t="s">
        <v>76</v>
      </c>
      <c r="H121" t="s">
        <v>1767</v>
      </c>
      <c r="I121" t="s">
        <v>71</v>
      </c>
      <c r="J121" s="3">
        <v>44447</v>
      </c>
      <c r="M121" t="str">
        <f t="shared" si="1"/>
        <v xml:space="preserve"> </v>
      </c>
    </row>
    <row r="122" spans="1:13" x14ac:dyDescent="0.35">
      <c r="A122" t="s">
        <v>1494</v>
      </c>
      <c r="B122" t="s">
        <v>4639</v>
      </c>
      <c r="C122" t="s">
        <v>3666</v>
      </c>
      <c r="D122" t="s">
        <v>2166</v>
      </c>
      <c r="E122" t="s">
        <v>3298</v>
      </c>
      <c r="F122" t="s">
        <v>1129</v>
      </c>
      <c r="G122" t="s">
        <v>1070</v>
      </c>
      <c r="H122" t="s">
        <v>1130</v>
      </c>
      <c r="I122" t="s">
        <v>74</v>
      </c>
      <c r="J122" s="3">
        <v>44877</v>
      </c>
      <c r="M122" t="str">
        <f t="shared" si="1"/>
        <v xml:space="preserve"> </v>
      </c>
    </row>
    <row r="123" spans="1:13" x14ac:dyDescent="0.35">
      <c r="A123" t="s">
        <v>1497</v>
      </c>
      <c r="B123" t="s">
        <v>4640</v>
      </c>
      <c r="C123" t="s">
        <v>3667</v>
      </c>
      <c r="D123" t="s">
        <v>1758</v>
      </c>
      <c r="E123" t="s">
        <v>3296</v>
      </c>
      <c r="F123" t="s">
        <v>1075</v>
      </c>
      <c r="G123" t="s">
        <v>1076</v>
      </c>
      <c r="H123">
        <v>12311</v>
      </c>
      <c r="I123" t="s">
        <v>80</v>
      </c>
      <c r="J123" s="3">
        <v>45031</v>
      </c>
      <c r="M123" t="str">
        <f t="shared" si="1"/>
        <v xml:space="preserve"> </v>
      </c>
    </row>
    <row r="124" spans="1:13" x14ac:dyDescent="0.35">
      <c r="A124" t="s">
        <v>1500</v>
      </c>
      <c r="B124" t="s">
        <v>4641</v>
      </c>
      <c r="C124" t="s">
        <v>3668</v>
      </c>
      <c r="D124" t="s">
        <v>1898</v>
      </c>
      <c r="E124" t="s">
        <v>3294</v>
      </c>
      <c r="F124" t="s">
        <v>1159</v>
      </c>
      <c r="G124" t="s">
        <v>73</v>
      </c>
      <c r="H124">
        <v>8018</v>
      </c>
      <c r="I124" t="s">
        <v>71</v>
      </c>
      <c r="J124" s="3">
        <v>44491</v>
      </c>
      <c r="M124" t="str">
        <f t="shared" si="1"/>
        <v xml:space="preserve"> </v>
      </c>
    </row>
    <row r="125" spans="1:13" x14ac:dyDescent="0.35">
      <c r="A125" t="s">
        <v>1504</v>
      </c>
      <c r="B125" t="s">
        <v>4642</v>
      </c>
      <c r="C125" t="s">
        <v>3669</v>
      </c>
      <c r="D125" t="s">
        <v>1871</v>
      </c>
      <c r="E125" t="s">
        <v>3292</v>
      </c>
      <c r="F125" t="s">
        <v>1170</v>
      </c>
      <c r="G125" t="s">
        <v>76</v>
      </c>
      <c r="H125" t="s">
        <v>1873</v>
      </c>
      <c r="I125" t="s">
        <v>74</v>
      </c>
      <c r="J125" s="3">
        <v>44913</v>
      </c>
      <c r="M125" t="str">
        <f t="shared" si="1"/>
        <v xml:space="preserve"> </v>
      </c>
    </row>
    <row r="126" spans="1:13" x14ac:dyDescent="0.35">
      <c r="A126" t="s">
        <v>1508</v>
      </c>
      <c r="B126" t="s">
        <v>4643</v>
      </c>
      <c r="C126" t="s">
        <v>3670</v>
      </c>
      <c r="D126" t="s">
        <v>1905</v>
      </c>
      <c r="E126" t="s">
        <v>3290</v>
      </c>
      <c r="F126" t="s">
        <v>72</v>
      </c>
      <c r="G126" t="s">
        <v>73</v>
      </c>
      <c r="H126">
        <v>28001</v>
      </c>
      <c r="I126" t="s">
        <v>80</v>
      </c>
      <c r="J126" s="3">
        <v>44993</v>
      </c>
      <c r="M126" t="str">
        <f t="shared" si="1"/>
        <v xml:space="preserve"> </v>
      </c>
    </row>
    <row r="127" spans="1:13" x14ac:dyDescent="0.35">
      <c r="A127" t="s">
        <v>1513</v>
      </c>
      <c r="B127" t="s">
        <v>4644</v>
      </c>
      <c r="C127" t="s">
        <v>3671</v>
      </c>
      <c r="D127" t="s">
        <v>1895</v>
      </c>
      <c r="E127" t="s">
        <v>3288</v>
      </c>
      <c r="F127" t="s">
        <v>90</v>
      </c>
      <c r="G127" t="s">
        <v>91</v>
      </c>
      <c r="H127">
        <v>10117</v>
      </c>
      <c r="I127" t="s">
        <v>71</v>
      </c>
      <c r="J127" s="3">
        <v>44512</v>
      </c>
      <c r="M127" t="str">
        <f t="shared" si="1"/>
        <v xml:space="preserve"> </v>
      </c>
    </row>
    <row r="128" spans="1:13" x14ac:dyDescent="0.35">
      <c r="A128" t="s">
        <v>1517</v>
      </c>
      <c r="B128" t="s">
        <v>4645</v>
      </c>
      <c r="C128" t="s">
        <v>3672</v>
      </c>
      <c r="D128" t="s">
        <v>2359</v>
      </c>
      <c r="E128" t="s">
        <v>3286</v>
      </c>
      <c r="F128" t="s">
        <v>1864</v>
      </c>
      <c r="G128" t="s">
        <v>70</v>
      </c>
      <c r="H128">
        <v>30303</v>
      </c>
      <c r="I128" t="s">
        <v>74</v>
      </c>
      <c r="J128" s="3">
        <v>44829</v>
      </c>
      <c r="M128" t="str">
        <f t="shared" si="1"/>
        <v xml:space="preserve"> </v>
      </c>
    </row>
    <row r="129" spans="1:13" x14ac:dyDescent="0.35">
      <c r="A129" t="s">
        <v>1520</v>
      </c>
      <c r="B129" t="s">
        <v>4646</v>
      </c>
      <c r="C129" t="s">
        <v>3673</v>
      </c>
      <c r="D129" t="s">
        <v>2150</v>
      </c>
      <c r="E129" t="s">
        <v>3284</v>
      </c>
      <c r="F129" t="s">
        <v>1299</v>
      </c>
      <c r="G129" t="s">
        <v>1090</v>
      </c>
      <c r="H129">
        <v>54810</v>
      </c>
      <c r="I129" t="s">
        <v>80</v>
      </c>
      <c r="J129" s="3">
        <v>44979</v>
      </c>
      <c r="M129" t="str">
        <f t="shared" si="1"/>
        <v xml:space="preserve"> </v>
      </c>
    </row>
    <row r="130" spans="1:13" x14ac:dyDescent="0.35">
      <c r="A130" t="s">
        <v>1525</v>
      </c>
      <c r="B130" t="s">
        <v>4647</v>
      </c>
      <c r="C130" t="s">
        <v>3674</v>
      </c>
      <c r="D130" t="s">
        <v>1383</v>
      </c>
      <c r="E130" t="s">
        <v>3282</v>
      </c>
      <c r="F130" t="s">
        <v>75</v>
      </c>
      <c r="G130" t="s">
        <v>76</v>
      </c>
      <c r="H130" t="s">
        <v>1385</v>
      </c>
      <c r="I130" t="s">
        <v>71</v>
      </c>
      <c r="J130" s="3">
        <v>44548</v>
      </c>
      <c r="M130" t="str">
        <f t="shared" si="1"/>
        <v xml:space="preserve"> </v>
      </c>
    </row>
    <row r="131" spans="1:13" x14ac:dyDescent="0.35">
      <c r="A131" t="s">
        <v>1528</v>
      </c>
      <c r="B131" t="s">
        <v>4648</v>
      </c>
      <c r="C131" t="s">
        <v>3675</v>
      </c>
      <c r="D131" t="s">
        <v>2145</v>
      </c>
      <c r="E131" t="s">
        <v>3280</v>
      </c>
      <c r="F131" t="s">
        <v>1198</v>
      </c>
      <c r="G131" t="s">
        <v>1070</v>
      </c>
      <c r="H131" t="s">
        <v>1199</v>
      </c>
      <c r="I131" t="s">
        <v>74</v>
      </c>
      <c r="J131" s="3">
        <v>44846</v>
      </c>
      <c r="M131" t="str">
        <f t="shared" si="1"/>
        <v xml:space="preserve"> </v>
      </c>
    </row>
    <row r="132" spans="1:13" x14ac:dyDescent="0.35">
      <c r="A132" t="s">
        <v>1531</v>
      </c>
      <c r="B132" t="s">
        <v>4649</v>
      </c>
      <c r="C132" t="s">
        <v>3676</v>
      </c>
      <c r="D132" t="s">
        <v>2142</v>
      </c>
      <c r="E132" t="s">
        <v>3278</v>
      </c>
      <c r="F132" t="s">
        <v>1075</v>
      </c>
      <c r="G132" t="s">
        <v>1076</v>
      </c>
      <c r="H132">
        <v>11341</v>
      </c>
      <c r="I132" t="s">
        <v>80</v>
      </c>
      <c r="J132" s="3">
        <v>44944</v>
      </c>
      <c r="M132" t="str">
        <f t="shared" ref="M132:M195" si="2">V132&amp;" "&amp;W132</f>
        <v xml:space="preserve"> </v>
      </c>
    </row>
    <row r="133" spans="1:13" x14ac:dyDescent="0.35">
      <c r="A133" t="s">
        <v>1534</v>
      </c>
      <c r="B133" t="s">
        <v>4650</v>
      </c>
      <c r="C133" t="s">
        <v>3677</v>
      </c>
      <c r="D133" t="s">
        <v>1786</v>
      </c>
      <c r="E133" t="s">
        <v>3276</v>
      </c>
      <c r="F133" t="s">
        <v>1159</v>
      </c>
      <c r="G133" t="s">
        <v>73</v>
      </c>
      <c r="H133">
        <v>8008</v>
      </c>
      <c r="I133" t="s">
        <v>71</v>
      </c>
      <c r="J133" s="3">
        <v>44451</v>
      </c>
      <c r="M133" t="str">
        <f t="shared" si="2"/>
        <v xml:space="preserve"> </v>
      </c>
    </row>
    <row r="134" spans="1:13" x14ac:dyDescent="0.35">
      <c r="A134" t="s">
        <v>1536</v>
      </c>
      <c r="B134" t="s">
        <v>4651</v>
      </c>
      <c r="C134" t="s">
        <v>3678</v>
      </c>
      <c r="D134" t="s">
        <v>1396</v>
      </c>
      <c r="E134" t="s">
        <v>3274</v>
      </c>
      <c r="F134" t="s">
        <v>1170</v>
      </c>
      <c r="G134" t="s">
        <v>76</v>
      </c>
      <c r="H134" t="s">
        <v>1171</v>
      </c>
      <c r="I134" t="s">
        <v>74</v>
      </c>
      <c r="J134" s="3">
        <v>44887</v>
      </c>
      <c r="M134" t="str">
        <f t="shared" si="2"/>
        <v xml:space="preserve"> </v>
      </c>
    </row>
    <row r="135" spans="1:13" x14ac:dyDescent="0.35">
      <c r="A135" t="s">
        <v>1539</v>
      </c>
      <c r="B135" t="s">
        <v>3539</v>
      </c>
      <c r="C135" t="s">
        <v>3679</v>
      </c>
      <c r="D135" t="s">
        <v>1875</v>
      </c>
      <c r="E135" t="s">
        <v>3272</v>
      </c>
      <c r="F135" t="s">
        <v>72</v>
      </c>
      <c r="G135" t="s">
        <v>73</v>
      </c>
      <c r="H135">
        <v>28006</v>
      </c>
      <c r="I135" t="s">
        <v>80</v>
      </c>
      <c r="J135" s="3">
        <v>45268</v>
      </c>
      <c r="M135" t="str">
        <f t="shared" si="2"/>
        <v xml:space="preserve"> </v>
      </c>
    </row>
    <row r="136" spans="1:13" x14ac:dyDescent="0.35">
      <c r="A136" t="s">
        <v>1542</v>
      </c>
      <c r="B136" t="s">
        <v>4652</v>
      </c>
      <c r="C136" t="s">
        <v>3680</v>
      </c>
      <c r="D136" t="s">
        <v>1430</v>
      </c>
      <c r="E136" t="s">
        <v>3270</v>
      </c>
      <c r="F136" t="s">
        <v>90</v>
      </c>
      <c r="G136" t="s">
        <v>91</v>
      </c>
      <c r="H136">
        <v>10117</v>
      </c>
      <c r="I136" t="s">
        <v>71</v>
      </c>
      <c r="J136" s="3">
        <v>44477</v>
      </c>
      <c r="M136" t="str">
        <f t="shared" si="2"/>
        <v xml:space="preserve"> </v>
      </c>
    </row>
    <row r="137" spans="1:13" x14ac:dyDescent="0.35">
      <c r="A137" t="s">
        <v>1547</v>
      </c>
      <c r="B137" t="s">
        <v>4653</v>
      </c>
      <c r="C137" t="s">
        <v>3681</v>
      </c>
      <c r="D137" t="s">
        <v>2379</v>
      </c>
      <c r="E137" t="s">
        <v>3268</v>
      </c>
      <c r="F137" t="s">
        <v>1922</v>
      </c>
      <c r="G137" t="s">
        <v>70</v>
      </c>
      <c r="H137">
        <v>19106</v>
      </c>
      <c r="I137" t="s">
        <v>74</v>
      </c>
      <c r="J137" s="3">
        <v>44862</v>
      </c>
      <c r="M137" t="str">
        <f t="shared" si="2"/>
        <v xml:space="preserve"> </v>
      </c>
    </row>
    <row r="138" spans="1:13" x14ac:dyDescent="0.35">
      <c r="A138" t="s">
        <v>1550</v>
      </c>
      <c r="B138" t="s">
        <v>4570</v>
      </c>
      <c r="C138" t="s">
        <v>3682</v>
      </c>
      <c r="D138" t="s">
        <v>2128</v>
      </c>
      <c r="E138" t="s">
        <v>3266</v>
      </c>
      <c r="F138" t="s">
        <v>78</v>
      </c>
      <c r="G138" t="s">
        <v>79</v>
      </c>
      <c r="H138">
        <v>123456</v>
      </c>
      <c r="I138" t="s">
        <v>80</v>
      </c>
      <c r="J138" s="3">
        <v>45242</v>
      </c>
      <c r="M138" t="str">
        <f t="shared" si="2"/>
        <v xml:space="preserve"> </v>
      </c>
    </row>
    <row r="139" spans="1:13" x14ac:dyDescent="0.35">
      <c r="A139" t="s">
        <v>1554</v>
      </c>
      <c r="B139" t="s">
        <v>4654</v>
      </c>
      <c r="C139" t="s">
        <v>3683</v>
      </c>
      <c r="D139" t="s">
        <v>2125</v>
      </c>
      <c r="E139" t="s">
        <v>3264</v>
      </c>
      <c r="F139" t="s">
        <v>75</v>
      </c>
      <c r="G139" t="s">
        <v>76</v>
      </c>
      <c r="H139" t="s">
        <v>1767</v>
      </c>
      <c r="I139" t="s">
        <v>71</v>
      </c>
      <c r="J139" s="3">
        <v>44522</v>
      </c>
      <c r="M139" t="str">
        <f t="shared" si="2"/>
        <v xml:space="preserve"> </v>
      </c>
    </row>
    <row r="140" spans="1:13" x14ac:dyDescent="0.35">
      <c r="A140" t="s">
        <v>1558</v>
      </c>
      <c r="B140" t="s">
        <v>4547</v>
      </c>
      <c r="C140" t="s">
        <v>3684</v>
      </c>
      <c r="D140" t="s">
        <v>2122</v>
      </c>
      <c r="E140" t="s">
        <v>3262</v>
      </c>
      <c r="F140" t="s">
        <v>1129</v>
      </c>
      <c r="G140" t="s">
        <v>1070</v>
      </c>
      <c r="H140" t="s">
        <v>1883</v>
      </c>
      <c r="I140" t="s">
        <v>74</v>
      </c>
      <c r="J140" s="3">
        <v>44826</v>
      </c>
      <c r="M140" t="str">
        <f t="shared" si="2"/>
        <v xml:space="preserve"> </v>
      </c>
    </row>
    <row r="141" spans="1:13" x14ac:dyDescent="0.35">
      <c r="A141" t="s">
        <v>1561</v>
      </c>
      <c r="B141" t="s">
        <v>4655</v>
      </c>
      <c r="C141" t="s">
        <v>3685</v>
      </c>
      <c r="D141" t="s">
        <v>2119</v>
      </c>
      <c r="E141" t="s">
        <v>3260</v>
      </c>
      <c r="F141" t="s">
        <v>1166</v>
      </c>
      <c r="G141" t="s">
        <v>1076</v>
      </c>
      <c r="H141">
        <v>21599</v>
      </c>
      <c r="I141" t="s">
        <v>80</v>
      </c>
      <c r="J141" s="3">
        <v>45207</v>
      </c>
      <c r="M141" t="str">
        <f t="shared" si="2"/>
        <v xml:space="preserve"> </v>
      </c>
    </row>
    <row r="142" spans="1:13" x14ac:dyDescent="0.35">
      <c r="A142" t="s">
        <v>1565</v>
      </c>
      <c r="B142" t="s">
        <v>4656</v>
      </c>
      <c r="C142" t="s">
        <v>3686</v>
      </c>
      <c r="D142" t="s">
        <v>1433</v>
      </c>
      <c r="E142" t="s">
        <v>3258</v>
      </c>
      <c r="F142" t="s">
        <v>1159</v>
      </c>
      <c r="G142" t="s">
        <v>73</v>
      </c>
      <c r="H142">
        <v>8018</v>
      </c>
      <c r="I142" t="s">
        <v>71</v>
      </c>
      <c r="J142" s="3">
        <v>44558</v>
      </c>
      <c r="M142" t="str">
        <f t="shared" si="2"/>
        <v xml:space="preserve"> </v>
      </c>
    </row>
    <row r="143" spans="1:13" x14ac:dyDescent="0.35">
      <c r="A143" t="s">
        <v>1570</v>
      </c>
      <c r="B143" t="s">
        <v>4657</v>
      </c>
      <c r="C143" t="s">
        <v>3687</v>
      </c>
      <c r="D143" t="s">
        <v>1168</v>
      </c>
      <c r="E143" t="s">
        <v>3256</v>
      </c>
      <c r="F143" t="s">
        <v>1170</v>
      </c>
      <c r="G143" t="s">
        <v>76</v>
      </c>
      <c r="H143" t="s">
        <v>1989</v>
      </c>
      <c r="I143" t="s">
        <v>74</v>
      </c>
      <c r="J143" s="3">
        <v>44842</v>
      </c>
      <c r="M143" t="str">
        <f t="shared" si="2"/>
        <v xml:space="preserve"> </v>
      </c>
    </row>
    <row r="144" spans="1:13" x14ac:dyDescent="0.35">
      <c r="A144" t="s">
        <v>1575</v>
      </c>
      <c r="B144" t="s">
        <v>4658</v>
      </c>
      <c r="C144" t="s">
        <v>3688</v>
      </c>
      <c r="D144" t="s">
        <v>1540</v>
      </c>
      <c r="E144" t="s">
        <v>3254</v>
      </c>
      <c r="F144" t="s">
        <v>72</v>
      </c>
      <c r="G144" t="s">
        <v>73</v>
      </c>
      <c r="H144">
        <v>28001</v>
      </c>
      <c r="I144" t="s">
        <v>80</v>
      </c>
      <c r="J144" s="3">
        <v>45191</v>
      </c>
      <c r="M144" t="str">
        <f t="shared" si="2"/>
        <v xml:space="preserve"> </v>
      </c>
    </row>
    <row r="145" spans="1:13" x14ac:dyDescent="0.35">
      <c r="A145" t="s">
        <v>1577</v>
      </c>
      <c r="B145" t="s">
        <v>4659</v>
      </c>
      <c r="C145" t="s">
        <v>3689</v>
      </c>
      <c r="D145" t="s">
        <v>2110</v>
      </c>
      <c r="E145" t="s">
        <v>3252</v>
      </c>
      <c r="F145" t="s">
        <v>90</v>
      </c>
      <c r="G145" t="s">
        <v>91</v>
      </c>
      <c r="H145">
        <v>10178</v>
      </c>
      <c r="I145" t="s">
        <v>71</v>
      </c>
      <c r="J145" s="3">
        <v>44457</v>
      </c>
      <c r="M145" t="str">
        <f t="shared" si="2"/>
        <v xml:space="preserve"> </v>
      </c>
    </row>
    <row r="146" spans="1:13" x14ac:dyDescent="0.35">
      <c r="A146" t="s">
        <v>1581</v>
      </c>
      <c r="B146" t="s">
        <v>4660</v>
      </c>
      <c r="C146" t="s">
        <v>3690</v>
      </c>
      <c r="D146" t="s">
        <v>2340</v>
      </c>
      <c r="E146" t="s">
        <v>3073</v>
      </c>
      <c r="F146" t="s">
        <v>1834</v>
      </c>
      <c r="G146" t="s">
        <v>70</v>
      </c>
      <c r="H146">
        <v>75202</v>
      </c>
      <c r="I146" t="s">
        <v>74</v>
      </c>
      <c r="J146" s="3">
        <v>44883</v>
      </c>
      <c r="M146" t="str">
        <f t="shared" si="2"/>
        <v xml:space="preserve"> </v>
      </c>
    </row>
    <row r="147" spans="1:13" x14ac:dyDescent="0.35">
      <c r="A147" t="s">
        <v>1584</v>
      </c>
      <c r="B147" t="s">
        <v>4638</v>
      </c>
      <c r="C147" t="s">
        <v>3691</v>
      </c>
      <c r="D147" t="s">
        <v>2104</v>
      </c>
      <c r="E147" t="s">
        <v>3249</v>
      </c>
      <c r="F147" t="s">
        <v>1089</v>
      </c>
      <c r="G147" t="s">
        <v>1090</v>
      </c>
      <c r="H147">
        <v>75600</v>
      </c>
      <c r="I147" t="s">
        <v>80</v>
      </c>
      <c r="J147" s="3">
        <v>45146</v>
      </c>
      <c r="M147" t="str">
        <f t="shared" si="2"/>
        <v xml:space="preserve"> </v>
      </c>
    </row>
    <row r="148" spans="1:13" x14ac:dyDescent="0.35">
      <c r="A148" t="s">
        <v>1588</v>
      </c>
      <c r="B148" t="s">
        <v>4661</v>
      </c>
      <c r="C148" t="s">
        <v>3692</v>
      </c>
      <c r="D148" t="s">
        <v>2101</v>
      </c>
      <c r="E148" t="s">
        <v>3247</v>
      </c>
      <c r="F148" t="s">
        <v>75</v>
      </c>
      <c r="G148" t="s">
        <v>76</v>
      </c>
      <c r="H148" t="s">
        <v>1385</v>
      </c>
      <c r="I148" t="s">
        <v>71</v>
      </c>
      <c r="J148" s="3">
        <v>44481</v>
      </c>
      <c r="M148" t="str">
        <f t="shared" si="2"/>
        <v xml:space="preserve"> </v>
      </c>
    </row>
    <row r="149" spans="1:13" x14ac:dyDescent="0.35">
      <c r="A149" t="s">
        <v>1594</v>
      </c>
      <c r="B149" t="s">
        <v>4662</v>
      </c>
      <c r="C149" t="s">
        <v>3693</v>
      </c>
      <c r="D149" t="s">
        <v>2098</v>
      </c>
      <c r="E149" t="s">
        <v>3245</v>
      </c>
      <c r="F149" t="s">
        <v>1198</v>
      </c>
      <c r="G149" t="s">
        <v>1070</v>
      </c>
      <c r="H149" t="s">
        <v>1199</v>
      </c>
      <c r="I149" t="s">
        <v>74</v>
      </c>
      <c r="J149" s="3">
        <v>44903</v>
      </c>
      <c r="M149" t="str">
        <f t="shared" si="2"/>
        <v xml:space="preserve"> </v>
      </c>
    </row>
    <row r="150" spans="1:13" x14ac:dyDescent="0.35">
      <c r="A150" t="s">
        <v>1599</v>
      </c>
      <c r="B150" t="s">
        <v>4663</v>
      </c>
      <c r="C150" t="s">
        <v>3694</v>
      </c>
      <c r="D150" t="s">
        <v>2095</v>
      </c>
      <c r="E150" t="s">
        <v>3243</v>
      </c>
      <c r="F150" t="s">
        <v>1075</v>
      </c>
      <c r="G150" t="s">
        <v>1076</v>
      </c>
      <c r="H150">
        <v>12311</v>
      </c>
      <c r="I150" t="s">
        <v>80</v>
      </c>
      <c r="J150" s="3">
        <v>45119</v>
      </c>
      <c r="M150" t="str">
        <f t="shared" si="2"/>
        <v xml:space="preserve"> </v>
      </c>
    </row>
    <row r="151" spans="1:13" x14ac:dyDescent="0.35">
      <c r="A151" t="s">
        <v>1603</v>
      </c>
      <c r="B151" t="s">
        <v>4664</v>
      </c>
      <c r="C151" t="s">
        <v>3695</v>
      </c>
      <c r="D151" t="s">
        <v>1157</v>
      </c>
      <c r="E151" t="s">
        <v>3241</v>
      </c>
      <c r="F151" t="s">
        <v>1159</v>
      </c>
      <c r="G151" t="s">
        <v>73</v>
      </c>
      <c r="H151">
        <v>8008</v>
      </c>
      <c r="I151" t="s">
        <v>71</v>
      </c>
      <c r="J151" s="3">
        <v>44508</v>
      </c>
      <c r="M151" t="str">
        <f t="shared" si="2"/>
        <v xml:space="preserve"> </v>
      </c>
    </row>
    <row r="152" spans="1:13" x14ac:dyDescent="0.35">
      <c r="A152" t="s">
        <v>1607</v>
      </c>
      <c r="B152" t="s">
        <v>4665</v>
      </c>
      <c r="C152" t="s">
        <v>3696</v>
      </c>
      <c r="D152" t="s">
        <v>2090</v>
      </c>
      <c r="E152" t="s">
        <v>3239</v>
      </c>
      <c r="F152" t="s">
        <v>1170</v>
      </c>
      <c r="G152" t="s">
        <v>76</v>
      </c>
      <c r="H152" t="s">
        <v>1873</v>
      </c>
      <c r="I152" t="s">
        <v>74</v>
      </c>
      <c r="J152" s="3">
        <v>44812</v>
      </c>
      <c r="M152" t="str">
        <f t="shared" si="2"/>
        <v xml:space="preserve"> </v>
      </c>
    </row>
    <row r="153" spans="1:13" x14ac:dyDescent="0.35">
      <c r="A153" t="s">
        <v>1612</v>
      </c>
      <c r="B153" t="s">
        <v>4666</v>
      </c>
      <c r="C153" t="s">
        <v>3697</v>
      </c>
      <c r="D153" t="s">
        <v>1484</v>
      </c>
      <c r="E153" t="s">
        <v>3237</v>
      </c>
      <c r="F153" t="s">
        <v>72</v>
      </c>
      <c r="G153" t="s">
        <v>73</v>
      </c>
      <c r="H153">
        <v>28006</v>
      </c>
      <c r="I153" t="s">
        <v>80</v>
      </c>
      <c r="J153" s="3">
        <v>45095</v>
      </c>
      <c r="M153" t="str">
        <f t="shared" si="2"/>
        <v xml:space="preserve"> </v>
      </c>
    </row>
    <row r="154" spans="1:13" x14ac:dyDescent="0.35">
      <c r="A154" t="s">
        <v>1617</v>
      </c>
      <c r="B154" t="s">
        <v>4667</v>
      </c>
      <c r="C154" t="s">
        <v>3698</v>
      </c>
      <c r="D154" t="s">
        <v>2085</v>
      </c>
      <c r="E154" t="s">
        <v>3235</v>
      </c>
      <c r="F154" t="s">
        <v>90</v>
      </c>
      <c r="G154" t="s">
        <v>91</v>
      </c>
      <c r="H154">
        <v>10719</v>
      </c>
      <c r="I154" t="s">
        <v>71</v>
      </c>
      <c r="J154" s="3">
        <v>44552</v>
      </c>
      <c r="M154" t="str">
        <f t="shared" si="2"/>
        <v xml:space="preserve"> </v>
      </c>
    </row>
    <row r="155" spans="1:13" x14ac:dyDescent="0.35">
      <c r="A155" t="s">
        <v>1622</v>
      </c>
      <c r="B155" t="s">
        <v>4636</v>
      </c>
      <c r="C155" t="s">
        <v>3699</v>
      </c>
      <c r="D155" t="s">
        <v>2300</v>
      </c>
      <c r="E155" t="s">
        <v>3233</v>
      </c>
      <c r="F155" t="s">
        <v>1512</v>
      </c>
      <c r="G155" t="s">
        <v>70</v>
      </c>
      <c r="H155">
        <v>77002</v>
      </c>
      <c r="I155" t="s">
        <v>74</v>
      </c>
      <c r="J155" s="3">
        <v>44856</v>
      </c>
      <c r="M155" t="str">
        <f t="shared" si="2"/>
        <v xml:space="preserve"> </v>
      </c>
    </row>
    <row r="156" spans="1:13" x14ac:dyDescent="0.35">
      <c r="A156" t="s">
        <v>1627</v>
      </c>
      <c r="B156" t="s">
        <v>4668</v>
      </c>
      <c r="C156" t="s">
        <v>3700</v>
      </c>
      <c r="D156" t="s">
        <v>2079</v>
      </c>
      <c r="E156" t="s">
        <v>3231</v>
      </c>
      <c r="F156" t="s">
        <v>1299</v>
      </c>
      <c r="G156" t="s">
        <v>1090</v>
      </c>
      <c r="H156">
        <v>54810</v>
      </c>
      <c r="I156" t="s">
        <v>80</v>
      </c>
      <c r="J156" s="3">
        <v>45074</v>
      </c>
      <c r="M156" t="str">
        <f t="shared" si="2"/>
        <v xml:space="preserve"> </v>
      </c>
    </row>
    <row r="157" spans="1:13" x14ac:dyDescent="0.35">
      <c r="A157" t="s">
        <v>1632</v>
      </c>
      <c r="B157" t="s">
        <v>4669</v>
      </c>
      <c r="C157" t="s">
        <v>3701</v>
      </c>
      <c r="D157" t="s">
        <v>1765</v>
      </c>
      <c r="E157" t="s">
        <v>3229</v>
      </c>
      <c r="F157" t="s">
        <v>75</v>
      </c>
      <c r="G157" t="s">
        <v>76</v>
      </c>
      <c r="H157" t="s">
        <v>1767</v>
      </c>
      <c r="I157" t="s">
        <v>71</v>
      </c>
      <c r="J157" s="3">
        <v>44467</v>
      </c>
      <c r="M157" t="str">
        <f t="shared" si="2"/>
        <v xml:space="preserve"> </v>
      </c>
    </row>
    <row r="158" spans="1:13" x14ac:dyDescent="0.35">
      <c r="A158" t="s">
        <v>1636</v>
      </c>
      <c r="B158" t="s">
        <v>4670</v>
      </c>
      <c r="C158" t="s">
        <v>3702</v>
      </c>
      <c r="D158" t="s">
        <v>2074</v>
      </c>
      <c r="E158" t="s">
        <v>3227</v>
      </c>
      <c r="F158" t="s">
        <v>1129</v>
      </c>
      <c r="G158" t="s">
        <v>1070</v>
      </c>
      <c r="H158" t="s">
        <v>1130</v>
      </c>
      <c r="I158" t="s">
        <v>74</v>
      </c>
      <c r="J158" s="3">
        <v>44873</v>
      </c>
      <c r="M158" t="str">
        <f t="shared" si="2"/>
        <v xml:space="preserve"> </v>
      </c>
    </row>
    <row r="159" spans="1:13" x14ac:dyDescent="0.35">
      <c r="A159" t="s">
        <v>1641</v>
      </c>
      <c r="B159" t="s">
        <v>4671</v>
      </c>
      <c r="C159" t="s">
        <v>3703</v>
      </c>
      <c r="D159" t="s">
        <v>2071</v>
      </c>
      <c r="E159" t="s">
        <v>3225</v>
      </c>
      <c r="F159" t="s">
        <v>1075</v>
      </c>
      <c r="G159" t="s">
        <v>1076</v>
      </c>
      <c r="H159">
        <v>12311</v>
      </c>
      <c r="I159" t="s">
        <v>80</v>
      </c>
      <c r="J159" s="3">
        <v>45024</v>
      </c>
      <c r="M159" t="str">
        <f t="shared" si="2"/>
        <v xml:space="preserve"> </v>
      </c>
    </row>
    <row r="160" spans="1:13" x14ac:dyDescent="0.35">
      <c r="A160" t="s">
        <v>1645</v>
      </c>
      <c r="B160" t="s">
        <v>4672</v>
      </c>
      <c r="C160" t="s">
        <v>3704</v>
      </c>
      <c r="D160" t="s">
        <v>2068</v>
      </c>
      <c r="E160" t="s">
        <v>3223</v>
      </c>
      <c r="F160" t="s">
        <v>1159</v>
      </c>
      <c r="G160" t="s">
        <v>73</v>
      </c>
      <c r="H160">
        <v>8018</v>
      </c>
      <c r="I160" t="s">
        <v>71</v>
      </c>
      <c r="J160" s="3">
        <v>44487</v>
      </c>
      <c r="M160" t="str">
        <f t="shared" si="2"/>
        <v xml:space="preserve"> </v>
      </c>
    </row>
    <row r="161" spans="1:13" x14ac:dyDescent="0.35">
      <c r="A161" t="s">
        <v>1649</v>
      </c>
      <c r="B161" t="s">
        <v>4587</v>
      </c>
      <c r="C161" t="s">
        <v>3705</v>
      </c>
      <c r="D161" t="s">
        <v>2065</v>
      </c>
      <c r="E161" t="s">
        <v>3221</v>
      </c>
      <c r="F161" t="s">
        <v>1170</v>
      </c>
      <c r="G161" t="s">
        <v>76</v>
      </c>
      <c r="H161" t="s">
        <v>1171</v>
      </c>
      <c r="I161" t="s">
        <v>74</v>
      </c>
      <c r="J161" s="3">
        <v>44907</v>
      </c>
      <c r="M161" t="str">
        <f t="shared" si="2"/>
        <v xml:space="preserve"> </v>
      </c>
    </row>
    <row r="162" spans="1:13" x14ac:dyDescent="0.35">
      <c r="A162" t="s">
        <v>1654</v>
      </c>
      <c r="B162" t="s">
        <v>4625</v>
      </c>
      <c r="C162" t="s">
        <v>3706</v>
      </c>
      <c r="D162" t="s">
        <v>1380</v>
      </c>
      <c r="E162" t="s">
        <v>3219</v>
      </c>
      <c r="F162" t="s">
        <v>72</v>
      </c>
      <c r="G162" t="s">
        <v>73</v>
      </c>
      <c r="H162">
        <v>28001</v>
      </c>
      <c r="I162" t="s">
        <v>80</v>
      </c>
      <c r="J162" s="3">
        <v>45013</v>
      </c>
      <c r="M162" t="str">
        <f t="shared" si="2"/>
        <v xml:space="preserve"> </v>
      </c>
    </row>
    <row r="163" spans="1:13" x14ac:dyDescent="0.35">
      <c r="A163" t="s">
        <v>1659</v>
      </c>
      <c r="B163" t="s">
        <v>4673</v>
      </c>
      <c r="C163" t="s">
        <v>3707</v>
      </c>
      <c r="D163" t="s">
        <v>2060</v>
      </c>
      <c r="E163" t="s">
        <v>3217</v>
      </c>
      <c r="F163" t="s">
        <v>90</v>
      </c>
      <c r="G163" t="s">
        <v>91</v>
      </c>
      <c r="H163">
        <v>10178</v>
      </c>
      <c r="I163" t="s">
        <v>71</v>
      </c>
      <c r="J163" s="3">
        <v>44518</v>
      </c>
      <c r="M163" t="str">
        <f t="shared" si="2"/>
        <v xml:space="preserve"> </v>
      </c>
    </row>
    <row r="164" spans="1:13" x14ac:dyDescent="0.35">
      <c r="A164" t="s">
        <v>1663</v>
      </c>
      <c r="B164" t="s">
        <v>4674</v>
      </c>
      <c r="C164" t="s">
        <v>3708</v>
      </c>
      <c r="D164" t="s">
        <v>2195</v>
      </c>
      <c r="E164" t="s">
        <v>3215</v>
      </c>
      <c r="F164" t="s">
        <v>1404</v>
      </c>
      <c r="G164" t="s">
        <v>70</v>
      </c>
      <c r="H164">
        <v>33139</v>
      </c>
      <c r="I164" t="s">
        <v>74</v>
      </c>
      <c r="J164" s="3">
        <v>44829</v>
      </c>
      <c r="M164" t="str">
        <f t="shared" si="2"/>
        <v xml:space="preserve"> </v>
      </c>
    </row>
    <row r="165" spans="1:13" x14ac:dyDescent="0.35">
      <c r="A165" t="s">
        <v>1667</v>
      </c>
      <c r="B165" t="s">
        <v>4675</v>
      </c>
      <c r="C165" t="s">
        <v>3709</v>
      </c>
      <c r="D165" t="s">
        <v>2054</v>
      </c>
      <c r="E165" t="s">
        <v>3213</v>
      </c>
      <c r="F165" t="s">
        <v>78</v>
      </c>
      <c r="G165" t="s">
        <v>79</v>
      </c>
      <c r="H165">
        <v>123456</v>
      </c>
      <c r="I165" t="s">
        <v>80</v>
      </c>
      <c r="J165" s="3">
        <v>44969</v>
      </c>
      <c r="M165" t="str">
        <f t="shared" si="2"/>
        <v xml:space="preserve"> </v>
      </c>
    </row>
    <row r="166" spans="1:13" x14ac:dyDescent="0.35">
      <c r="A166" t="s">
        <v>1673</v>
      </c>
      <c r="B166" t="s">
        <v>4574</v>
      </c>
      <c r="C166" t="s">
        <v>3710</v>
      </c>
      <c r="D166" t="s">
        <v>2051</v>
      </c>
      <c r="E166" t="s">
        <v>3211</v>
      </c>
      <c r="F166" t="s">
        <v>75</v>
      </c>
      <c r="G166" t="s">
        <v>76</v>
      </c>
      <c r="H166" t="s">
        <v>1385</v>
      </c>
      <c r="I166" t="s">
        <v>71</v>
      </c>
      <c r="J166" s="3">
        <v>44542</v>
      </c>
      <c r="M166" t="str">
        <f t="shared" si="2"/>
        <v xml:space="preserve"> </v>
      </c>
    </row>
    <row r="167" spans="1:13" x14ac:dyDescent="0.35">
      <c r="A167" t="s">
        <v>1678</v>
      </c>
      <c r="B167" t="s">
        <v>4676</v>
      </c>
      <c r="C167" t="s">
        <v>3711</v>
      </c>
      <c r="D167" t="s">
        <v>2048</v>
      </c>
      <c r="E167" t="s">
        <v>3209</v>
      </c>
      <c r="F167" t="s">
        <v>1198</v>
      </c>
      <c r="G167" t="s">
        <v>1070</v>
      </c>
      <c r="H167" t="s">
        <v>1199</v>
      </c>
      <c r="I167" t="s">
        <v>74</v>
      </c>
      <c r="J167" s="3">
        <v>44862</v>
      </c>
      <c r="M167" t="str">
        <f t="shared" si="2"/>
        <v xml:space="preserve"> </v>
      </c>
    </row>
    <row r="168" spans="1:13" x14ac:dyDescent="0.35">
      <c r="A168" t="s">
        <v>1681</v>
      </c>
      <c r="B168" t="s">
        <v>4677</v>
      </c>
      <c r="C168" t="s">
        <v>3712</v>
      </c>
      <c r="D168" t="s">
        <v>2020</v>
      </c>
      <c r="E168" t="s">
        <v>3207</v>
      </c>
      <c r="F168" t="s">
        <v>1075</v>
      </c>
      <c r="G168" t="s">
        <v>1076</v>
      </c>
      <c r="H168">
        <v>11341</v>
      </c>
      <c r="I168" t="s">
        <v>80</v>
      </c>
      <c r="J168" s="3">
        <v>44948</v>
      </c>
      <c r="M168" t="str">
        <f t="shared" si="2"/>
        <v xml:space="preserve"> </v>
      </c>
    </row>
    <row r="169" spans="1:13" x14ac:dyDescent="0.35">
      <c r="A169" t="s">
        <v>1686</v>
      </c>
      <c r="B169" t="s">
        <v>4583</v>
      </c>
      <c r="C169" t="s">
        <v>3713</v>
      </c>
      <c r="D169" t="s">
        <v>2042</v>
      </c>
      <c r="E169" t="s">
        <v>3205</v>
      </c>
      <c r="F169" t="s">
        <v>1159</v>
      </c>
      <c r="G169" t="s">
        <v>73</v>
      </c>
      <c r="H169">
        <v>8008</v>
      </c>
      <c r="I169" t="s">
        <v>71</v>
      </c>
      <c r="J169" s="3">
        <v>44454</v>
      </c>
      <c r="M169" t="str">
        <f t="shared" si="2"/>
        <v xml:space="preserve"> </v>
      </c>
    </row>
    <row r="170" spans="1:13" x14ac:dyDescent="0.35">
      <c r="A170" t="s">
        <v>1690</v>
      </c>
      <c r="B170" t="s">
        <v>4572</v>
      </c>
      <c r="C170" t="s">
        <v>3714</v>
      </c>
      <c r="D170" t="s">
        <v>2039</v>
      </c>
      <c r="E170" t="s">
        <v>3203</v>
      </c>
      <c r="F170" t="s">
        <v>1170</v>
      </c>
      <c r="G170" t="s">
        <v>76</v>
      </c>
      <c r="H170" t="s">
        <v>1989</v>
      </c>
      <c r="I170" t="s">
        <v>74</v>
      </c>
      <c r="J170" s="3">
        <v>44877</v>
      </c>
      <c r="M170" t="str">
        <f t="shared" si="2"/>
        <v xml:space="preserve"> </v>
      </c>
    </row>
    <row r="171" spans="1:13" x14ac:dyDescent="0.35">
      <c r="A171" t="s">
        <v>1695</v>
      </c>
      <c r="B171" t="s">
        <v>4678</v>
      </c>
      <c r="C171" t="s">
        <v>3715</v>
      </c>
      <c r="D171" t="s">
        <v>1268</v>
      </c>
      <c r="E171" t="s">
        <v>3201</v>
      </c>
      <c r="F171" t="s">
        <v>72</v>
      </c>
      <c r="G171" t="s">
        <v>73</v>
      </c>
      <c r="H171">
        <v>28006</v>
      </c>
      <c r="I171" t="s">
        <v>80</v>
      </c>
      <c r="J171" s="3">
        <v>45272</v>
      </c>
      <c r="M171" t="str">
        <f t="shared" si="2"/>
        <v xml:space="preserve"> </v>
      </c>
    </row>
    <row r="172" spans="1:13" x14ac:dyDescent="0.35">
      <c r="A172" t="s">
        <v>1700</v>
      </c>
      <c r="B172" t="s">
        <v>4679</v>
      </c>
      <c r="C172" t="s">
        <v>3716</v>
      </c>
      <c r="D172" t="s">
        <v>2034</v>
      </c>
      <c r="E172" t="s">
        <v>3199</v>
      </c>
      <c r="F172" t="s">
        <v>90</v>
      </c>
      <c r="G172" t="s">
        <v>91</v>
      </c>
      <c r="H172">
        <v>10785</v>
      </c>
      <c r="I172" t="s">
        <v>71</v>
      </c>
      <c r="J172" s="3">
        <v>44497</v>
      </c>
      <c r="M172" t="str">
        <f t="shared" si="2"/>
        <v xml:space="preserve"> </v>
      </c>
    </row>
    <row r="173" spans="1:13" x14ac:dyDescent="0.35">
      <c r="A173" t="s">
        <v>1704</v>
      </c>
      <c r="B173" t="s">
        <v>4680</v>
      </c>
      <c r="C173" t="s">
        <v>3717</v>
      </c>
      <c r="D173" t="s">
        <v>2237</v>
      </c>
      <c r="E173" t="s">
        <v>3197</v>
      </c>
      <c r="F173" t="s">
        <v>1864</v>
      </c>
      <c r="G173" t="s">
        <v>70</v>
      </c>
      <c r="H173">
        <v>30303</v>
      </c>
      <c r="I173" t="s">
        <v>74</v>
      </c>
      <c r="J173" s="3">
        <v>44917</v>
      </c>
      <c r="M173" t="str">
        <f t="shared" si="2"/>
        <v xml:space="preserve"> </v>
      </c>
    </row>
    <row r="174" spans="1:13" x14ac:dyDescent="0.35">
      <c r="A174" t="s">
        <v>1708</v>
      </c>
      <c r="B174" t="s">
        <v>4681</v>
      </c>
      <c r="C174" t="s">
        <v>3718</v>
      </c>
      <c r="D174" t="s">
        <v>2028</v>
      </c>
      <c r="E174" t="s">
        <v>3195</v>
      </c>
      <c r="F174" t="s">
        <v>1089</v>
      </c>
      <c r="G174" t="s">
        <v>1090</v>
      </c>
      <c r="H174">
        <v>75600</v>
      </c>
      <c r="I174" t="s">
        <v>80</v>
      </c>
      <c r="J174" s="3">
        <v>45238</v>
      </c>
      <c r="M174" t="str">
        <f t="shared" si="2"/>
        <v xml:space="preserve"> </v>
      </c>
    </row>
    <row r="175" spans="1:13" x14ac:dyDescent="0.35">
      <c r="A175" t="s">
        <v>1711</v>
      </c>
      <c r="B175" t="s">
        <v>4682</v>
      </c>
      <c r="C175" t="s">
        <v>3719</v>
      </c>
      <c r="D175" t="s">
        <v>1514</v>
      </c>
      <c r="E175" t="s">
        <v>3193</v>
      </c>
      <c r="F175" t="s">
        <v>75</v>
      </c>
      <c r="G175" t="s">
        <v>76</v>
      </c>
      <c r="H175" t="s">
        <v>1767</v>
      </c>
      <c r="I175" t="s">
        <v>71</v>
      </c>
      <c r="J175" s="3">
        <v>44512</v>
      </c>
      <c r="M175" t="str">
        <f t="shared" si="2"/>
        <v xml:space="preserve"> </v>
      </c>
    </row>
    <row r="176" spans="1:13" x14ac:dyDescent="0.35">
      <c r="A176" t="s">
        <v>1716</v>
      </c>
      <c r="B176" t="s">
        <v>4683</v>
      </c>
      <c r="C176" t="s">
        <v>3720</v>
      </c>
      <c r="D176" t="s">
        <v>2023</v>
      </c>
      <c r="E176" t="s">
        <v>3191</v>
      </c>
      <c r="F176" t="s">
        <v>1129</v>
      </c>
      <c r="G176" t="s">
        <v>1070</v>
      </c>
      <c r="H176" t="s">
        <v>1883</v>
      </c>
      <c r="I176" t="s">
        <v>74</v>
      </c>
      <c r="J176" s="3">
        <v>44816</v>
      </c>
      <c r="M176" t="str">
        <f t="shared" si="2"/>
        <v xml:space="preserve"> </v>
      </c>
    </row>
    <row r="177" spans="1:13" x14ac:dyDescent="0.35">
      <c r="A177" t="s">
        <v>1721</v>
      </c>
      <c r="B177" t="s">
        <v>4684</v>
      </c>
      <c r="C177" t="s">
        <v>3721</v>
      </c>
      <c r="D177" t="s">
        <v>1966</v>
      </c>
      <c r="E177" t="s">
        <v>3189</v>
      </c>
      <c r="F177" t="s">
        <v>1166</v>
      </c>
      <c r="G177" t="s">
        <v>1076</v>
      </c>
      <c r="H177">
        <v>21599</v>
      </c>
      <c r="I177" t="s">
        <v>80</v>
      </c>
      <c r="J177" s="3">
        <v>45217</v>
      </c>
      <c r="M177" t="str">
        <f t="shared" si="2"/>
        <v xml:space="preserve"> </v>
      </c>
    </row>
    <row r="178" spans="1:13" x14ac:dyDescent="0.35">
      <c r="A178" t="s">
        <v>1725</v>
      </c>
      <c r="B178" t="s">
        <v>4685</v>
      </c>
      <c r="C178" t="s">
        <v>3722</v>
      </c>
      <c r="D178" t="s">
        <v>2017</v>
      </c>
      <c r="E178" t="s">
        <v>3187</v>
      </c>
      <c r="F178" t="s">
        <v>1159</v>
      </c>
      <c r="G178" t="s">
        <v>73</v>
      </c>
      <c r="H178">
        <v>8018</v>
      </c>
      <c r="I178" t="s">
        <v>71</v>
      </c>
      <c r="J178" s="3">
        <v>44545</v>
      </c>
      <c r="M178" t="str">
        <f t="shared" si="2"/>
        <v xml:space="preserve"> </v>
      </c>
    </row>
    <row r="179" spans="1:13" x14ac:dyDescent="0.35">
      <c r="A179" t="s">
        <v>1728</v>
      </c>
      <c r="B179" t="s">
        <v>4676</v>
      </c>
      <c r="C179" t="s">
        <v>3723</v>
      </c>
      <c r="D179" t="s">
        <v>2014</v>
      </c>
      <c r="E179" t="s">
        <v>3185</v>
      </c>
      <c r="F179" t="s">
        <v>1170</v>
      </c>
      <c r="G179" t="s">
        <v>76</v>
      </c>
      <c r="H179" t="s">
        <v>1873</v>
      </c>
      <c r="I179" t="s">
        <v>74</v>
      </c>
      <c r="J179" s="3">
        <v>44852</v>
      </c>
      <c r="M179" t="str">
        <f t="shared" si="2"/>
        <v xml:space="preserve"> </v>
      </c>
    </row>
    <row r="180" spans="1:13" x14ac:dyDescent="0.35">
      <c r="A180" t="s">
        <v>1733</v>
      </c>
      <c r="B180" t="s">
        <v>4686</v>
      </c>
      <c r="C180" t="s">
        <v>3724</v>
      </c>
      <c r="D180" t="s">
        <v>2011</v>
      </c>
      <c r="E180" t="s">
        <v>3183</v>
      </c>
      <c r="F180" t="s">
        <v>72</v>
      </c>
      <c r="G180" t="s">
        <v>73</v>
      </c>
      <c r="H180">
        <v>28001</v>
      </c>
      <c r="I180" t="s">
        <v>80</v>
      </c>
      <c r="J180" s="3">
        <v>45177</v>
      </c>
      <c r="M180" t="str">
        <f t="shared" si="2"/>
        <v xml:space="preserve"> </v>
      </c>
    </row>
    <row r="181" spans="1:13" x14ac:dyDescent="0.35">
      <c r="A181" t="s">
        <v>1738</v>
      </c>
      <c r="B181" t="s">
        <v>4687</v>
      </c>
      <c r="C181" t="s">
        <v>3725</v>
      </c>
      <c r="D181" t="s">
        <v>2008</v>
      </c>
      <c r="E181" t="s">
        <v>3181</v>
      </c>
      <c r="F181" t="s">
        <v>90</v>
      </c>
      <c r="G181" t="s">
        <v>91</v>
      </c>
      <c r="H181">
        <v>10178</v>
      </c>
      <c r="I181" t="s">
        <v>71</v>
      </c>
      <c r="J181" s="3">
        <v>44461</v>
      </c>
      <c r="M181" t="str">
        <f t="shared" si="2"/>
        <v xml:space="preserve"> </v>
      </c>
    </row>
    <row r="182" spans="1:13" x14ac:dyDescent="0.35">
      <c r="A182" t="s">
        <v>1742</v>
      </c>
      <c r="B182" t="s">
        <v>4688</v>
      </c>
      <c r="C182" t="s">
        <v>3726</v>
      </c>
      <c r="D182" t="s">
        <v>2216</v>
      </c>
      <c r="E182" t="s">
        <v>2980</v>
      </c>
      <c r="F182" t="s">
        <v>1834</v>
      </c>
      <c r="G182" t="s">
        <v>70</v>
      </c>
      <c r="H182">
        <v>75202</v>
      </c>
      <c r="I182" t="s">
        <v>74</v>
      </c>
      <c r="J182" s="3">
        <v>44887</v>
      </c>
      <c r="M182" t="str">
        <f t="shared" si="2"/>
        <v xml:space="preserve"> </v>
      </c>
    </row>
    <row r="183" spans="1:13" x14ac:dyDescent="0.35">
      <c r="A183" t="s">
        <v>1746</v>
      </c>
      <c r="B183" t="s">
        <v>4689</v>
      </c>
      <c r="C183" t="s">
        <v>3727</v>
      </c>
      <c r="D183" t="s">
        <v>2002</v>
      </c>
      <c r="E183" t="s">
        <v>3178</v>
      </c>
      <c r="F183" t="s">
        <v>1299</v>
      </c>
      <c r="G183" t="s">
        <v>1090</v>
      </c>
      <c r="H183">
        <v>54810</v>
      </c>
      <c r="I183" t="s">
        <v>80</v>
      </c>
      <c r="J183" s="3">
        <v>45160</v>
      </c>
      <c r="M183" t="str">
        <f t="shared" si="2"/>
        <v xml:space="preserve"> </v>
      </c>
    </row>
    <row r="184" spans="1:13" x14ac:dyDescent="0.35">
      <c r="A184" t="s">
        <v>1749</v>
      </c>
      <c r="B184" t="s">
        <v>4690</v>
      </c>
      <c r="C184" t="s">
        <v>3728</v>
      </c>
      <c r="D184" t="s">
        <v>1487</v>
      </c>
      <c r="E184" t="s">
        <v>3176</v>
      </c>
      <c r="F184" t="s">
        <v>75</v>
      </c>
      <c r="G184" t="s">
        <v>76</v>
      </c>
      <c r="H184" t="s">
        <v>1385</v>
      </c>
      <c r="I184" t="s">
        <v>71</v>
      </c>
      <c r="J184" s="3">
        <v>44477</v>
      </c>
      <c r="M184" t="str">
        <f t="shared" si="2"/>
        <v xml:space="preserve"> </v>
      </c>
    </row>
    <row r="185" spans="1:13" x14ac:dyDescent="0.35">
      <c r="A185" t="s">
        <v>1751</v>
      </c>
      <c r="B185" t="s">
        <v>4552</v>
      </c>
      <c r="C185" t="s">
        <v>3729</v>
      </c>
      <c r="D185" t="s">
        <v>1997</v>
      </c>
      <c r="E185" t="s">
        <v>3174</v>
      </c>
      <c r="F185" t="s">
        <v>1198</v>
      </c>
      <c r="G185" t="s">
        <v>1070</v>
      </c>
      <c r="H185" t="s">
        <v>1199</v>
      </c>
      <c r="I185" t="s">
        <v>74</v>
      </c>
      <c r="J185" s="3">
        <v>44907</v>
      </c>
      <c r="M185" t="str">
        <f t="shared" si="2"/>
        <v xml:space="preserve"> </v>
      </c>
    </row>
    <row r="186" spans="1:13" x14ac:dyDescent="0.35">
      <c r="A186" t="s">
        <v>1754</v>
      </c>
      <c r="B186" t="s">
        <v>4691</v>
      </c>
      <c r="C186" t="s">
        <v>3730</v>
      </c>
      <c r="D186" t="s">
        <v>1908</v>
      </c>
      <c r="E186" t="s">
        <v>3172</v>
      </c>
      <c r="F186" t="s">
        <v>1075</v>
      </c>
      <c r="G186" t="s">
        <v>1076</v>
      </c>
      <c r="H186">
        <v>12311</v>
      </c>
      <c r="I186" t="s">
        <v>80</v>
      </c>
      <c r="J186" s="3">
        <v>45135</v>
      </c>
      <c r="M186" t="str">
        <f t="shared" si="2"/>
        <v xml:space="preserve"> </v>
      </c>
    </row>
    <row r="187" spans="1:13" x14ac:dyDescent="0.35">
      <c r="A187" t="s">
        <v>1757</v>
      </c>
      <c r="B187" t="s">
        <v>4692</v>
      </c>
      <c r="C187" t="s">
        <v>3731</v>
      </c>
      <c r="D187" t="s">
        <v>1991</v>
      </c>
      <c r="E187" t="s">
        <v>3170</v>
      </c>
      <c r="F187" t="s">
        <v>1159</v>
      </c>
      <c r="G187" t="s">
        <v>73</v>
      </c>
      <c r="H187">
        <v>8008</v>
      </c>
      <c r="I187" t="s">
        <v>71</v>
      </c>
      <c r="J187" s="3">
        <v>44528</v>
      </c>
      <c r="M187" t="str">
        <f t="shared" si="2"/>
        <v xml:space="preserve"> </v>
      </c>
    </row>
    <row r="188" spans="1:13" x14ac:dyDescent="0.35">
      <c r="A188" t="s">
        <v>1760</v>
      </c>
      <c r="B188" t="s">
        <v>4693</v>
      </c>
      <c r="C188" t="s">
        <v>3732</v>
      </c>
      <c r="D188" t="s">
        <v>1987</v>
      </c>
      <c r="E188" t="s">
        <v>3168</v>
      </c>
      <c r="F188" t="s">
        <v>1170</v>
      </c>
      <c r="G188" t="s">
        <v>76</v>
      </c>
      <c r="H188" t="s">
        <v>1171</v>
      </c>
      <c r="I188" t="s">
        <v>74</v>
      </c>
      <c r="J188" s="3">
        <v>44832</v>
      </c>
      <c r="M188" t="str">
        <f t="shared" si="2"/>
        <v xml:space="preserve"> </v>
      </c>
    </row>
    <row r="189" spans="1:13" x14ac:dyDescent="0.35">
      <c r="A189" t="s">
        <v>1764</v>
      </c>
      <c r="B189" t="s">
        <v>4694</v>
      </c>
      <c r="C189" t="s">
        <v>3733</v>
      </c>
      <c r="D189" t="s">
        <v>1984</v>
      </c>
      <c r="E189" t="s">
        <v>3166</v>
      </c>
      <c r="F189" t="s">
        <v>72</v>
      </c>
      <c r="G189" t="s">
        <v>73</v>
      </c>
      <c r="H189">
        <v>28006</v>
      </c>
      <c r="I189" t="s">
        <v>80</v>
      </c>
      <c r="J189" s="3">
        <v>45085</v>
      </c>
      <c r="M189" t="str">
        <f t="shared" si="2"/>
        <v xml:space="preserve"> </v>
      </c>
    </row>
    <row r="190" spans="1:13" x14ac:dyDescent="0.35">
      <c r="A190" t="s">
        <v>1768</v>
      </c>
      <c r="B190" t="s">
        <v>4695</v>
      </c>
      <c r="C190" t="s">
        <v>3734</v>
      </c>
      <c r="D190" t="s">
        <v>1981</v>
      </c>
      <c r="E190" t="s">
        <v>3164</v>
      </c>
      <c r="F190" t="s">
        <v>90</v>
      </c>
      <c r="G190" t="s">
        <v>91</v>
      </c>
      <c r="H190">
        <v>10117</v>
      </c>
      <c r="I190" t="s">
        <v>71</v>
      </c>
      <c r="J190" s="3">
        <v>44552</v>
      </c>
      <c r="M190" t="str">
        <f t="shared" si="2"/>
        <v xml:space="preserve"> </v>
      </c>
    </row>
    <row r="191" spans="1:13" x14ac:dyDescent="0.35">
      <c r="A191" t="s">
        <v>1771</v>
      </c>
      <c r="B191" t="s">
        <v>1890</v>
      </c>
      <c r="C191" t="s">
        <v>3735</v>
      </c>
      <c r="D191" t="s">
        <v>2131</v>
      </c>
      <c r="E191" t="s">
        <v>3162</v>
      </c>
      <c r="F191" t="s">
        <v>1922</v>
      </c>
      <c r="G191" t="s">
        <v>70</v>
      </c>
      <c r="H191">
        <v>19106</v>
      </c>
      <c r="I191" t="s">
        <v>74</v>
      </c>
      <c r="J191" s="3">
        <v>44842</v>
      </c>
      <c r="M191" t="str">
        <f t="shared" si="2"/>
        <v xml:space="preserve"> </v>
      </c>
    </row>
    <row r="192" spans="1:13" x14ac:dyDescent="0.35">
      <c r="A192" t="s">
        <v>1775</v>
      </c>
      <c r="B192" t="s">
        <v>4696</v>
      </c>
      <c r="C192" t="s">
        <v>3736</v>
      </c>
      <c r="D192" t="s">
        <v>1974</v>
      </c>
      <c r="E192" t="s">
        <v>3160</v>
      </c>
      <c r="F192" t="s">
        <v>78</v>
      </c>
      <c r="G192" t="s">
        <v>79</v>
      </c>
      <c r="H192">
        <v>123456</v>
      </c>
      <c r="I192" t="s">
        <v>80</v>
      </c>
      <c r="J192" s="3">
        <v>45061</v>
      </c>
      <c r="M192" t="str">
        <f t="shared" si="2"/>
        <v xml:space="preserve"> </v>
      </c>
    </row>
    <row r="193" spans="1:13" x14ac:dyDescent="0.35">
      <c r="A193" t="s">
        <v>1778</v>
      </c>
      <c r="B193" t="s">
        <v>4566</v>
      </c>
      <c r="C193" t="s">
        <v>3737</v>
      </c>
      <c r="D193" t="s">
        <v>1460</v>
      </c>
      <c r="E193" t="s">
        <v>3158</v>
      </c>
      <c r="F193" t="s">
        <v>75</v>
      </c>
      <c r="G193" t="s">
        <v>76</v>
      </c>
      <c r="H193" t="s">
        <v>1767</v>
      </c>
      <c r="I193" t="s">
        <v>71</v>
      </c>
      <c r="J193" s="3">
        <v>44451</v>
      </c>
      <c r="M193" t="str">
        <f t="shared" si="2"/>
        <v xml:space="preserve"> </v>
      </c>
    </row>
    <row r="194" spans="1:13" x14ac:dyDescent="0.35">
      <c r="A194" t="s">
        <v>1783</v>
      </c>
      <c r="B194" t="s">
        <v>4697</v>
      </c>
      <c r="C194" t="s">
        <v>3738</v>
      </c>
      <c r="D194" t="s">
        <v>1969</v>
      </c>
      <c r="E194" t="s">
        <v>3156</v>
      </c>
      <c r="F194" t="s">
        <v>1129</v>
      </c>
      <c r="G194" t="s">
        <v>1070</v>
      </c>
      <c r="H194" t="s">
        <v>1130</v>
      </c>
      <c r="I194" t="s">
        <v>74</v>
      </c>
      <c r="J194" s="3">
        <v>44883</v>
      </c>
      <c r="M194" t="str">
        <f t="shared" si="2"/>
        <v xml:space="preserve"> </v>
      </c>
    </row>
    <row r="195" spans="1:13" x14ac:dyDescent="0.35">
      <c r="A195" t="s">
        <v>1785</v>
      </c>
      <c r="B195" t="s">
        <v>4698</v>
      </c>
      <c r="C195" t="s">
        <v>3739</v>
      </c>
      <c r="D195" t="s">
        <v>1859</v>
      </c>
      <c r="E195" t="s">
        <v>3154</v>
      </c>
      <c r="F195" t="s">
        <v>1075</v>
      </c>
      <c r="G195" t="s">
        <v>1076</v>
      </c>
      <c r="H195">
        <v>12311</v>
      </c>
      <c r="I195" t="s">
        <v>80</v>
      </c>
      <c r="J195" s="3">
        <v>45044</v>
      </c>
      <c r="M195" t="str">
        <f t="shared" si="2"/>
        <v xml:space="preserve"> </v>
      </c>
    </row>
    <row r="196" spans="1:13" x14ac:dyDescent="0.35">
      <c r="A196" t="s">
        <v>1788</v>
      </c>
      <c r="B196" t="s">
        <v>4699</v>
      </c>
      <c r="C196" t="s">
        <v>3740</v>
      </c>
      <c r="D196" t="s">
        <v>1963</v>
      </c>
      <c r="E196" t="s">
        <v>3152</v>
      </c>
      <c r="F196" t="s">
        <v>1159</v>
      </c>
      <c r="G196" t="s">
        <v>73</v>
      </c>
      <c r="H196">
        <v>8018</v>
      </c>
      <c r="I196" t="s">
        <v>71</v>
      </c>
      <c r="J196" s="3">
        <v>44481</v>
      </c>
      <c r="M196" t="str">
        <f t="shared" ref="M196:M259" si="3">V196&amp;" "&amp;W196</f>
        <v xml:space="preserve"> </v>
      </c>
    </row>
    <row r="197" spans="1:13" x14ac:dyDescent="0.35">
      <c r="A197" t="s">
        <v>1791</v>
      </c>
      <c r="B197" t="s">
        <v>4618</v>
      </c>
      <c r="C197" t="s">
        <v>3741</v>
      </c>
      <c r="D197" t="s">
        <v>1960</v>
      </c>
      <c r="E197" t="s">
        <v>3150</v>
      </c>
      <c r="F197" t="s">
        <v>1170</v>
      </c>
      <c r="G197" t="s">
        <v>76</v>
      </c>
      <c r="H197" t="s">
        <v>1989</v>
      </c>
      <c r="I197" t="s">
        <v>74</v>
      </c>
      <c r="J197" s="3">
        <v>44903</v>
      </c>
      <c r="M197" t="str">
        <f t="shared" si="3"/>
        <v xml:space="preserve"> </v>
      </c>
    </row>
    <row r="198" spans="1:13" x14ac:dyDescent="0.35">
      <c r="A198" t="s">
        <v>1794</v>
      </c>
      <c r="B198" t="s">
        <v>4700</v>
      </c>
      <c r="C198" t="s">
        <v>3742</v>
      </c>
      <c r="D198" t="s">
        <v>1957</v>
      </c>
      <c r="E198" t="s">
        <v>3148</v>
      </c>
      <c r="F198" t="s">
        <v>72</v>
      </c>
      <c r="G198" t="s">
        <v>73</v>
      </c>
      <c r="H198">
        <v>28001</v>
      </c>
      <c r="I198" t="s">
        <v>80</v>
      </c>
      <c r="J198" s="3">
        <v>45000</v>
      </c>
      <c r="M198" t="str">
        <f t="shared" si="3"/>
        <v xml:space="preserve"> </v>
      </c>
    </row>
    <row r="199" spans="1:13" x14ac:dyDescent="0.35">
      <c r="A199" t="s">
        <v>1798</v>
      </c>
      <c r="B199" t="s">
        <v>4660</v>
      </c>
      <c r="C199" t="s">
        <v>3743</v>
      </c>
      <c r="D199" t="s">
        <v>1954</v>
      </c>
      <c r="E199" t="s">
        <v>3146</v>
      </c>
      <c r="F199" t="s">
        <v>90</v>
      </c>
      <c r="G199" t="s">
        <v>91</v>
      </c>
      <c r="H199">
        <v>10785</v>
      </c>
      <c r="I199" t="s">
        <v>71</v>
      </c>
      <c r="J199" s="3">
        <v>44522</v>
      </c>
      <c r="M199" t="str">
        <f t="shared" si="3"/>
        <v xml:space="preserve"> </v>
      </c>
    </row>
    <row r="200" spans="1:13" x14ac:dyDescent="0.35">
      <c r="A200" t="s">
        <v>1801</v>
      </c>
      <c r="B200" t="s">
        <v>4701</v>
      </c>
      <c r="C200" t="s">
        <v>3744</v>
      </c>
      <c r="D200" t="s">
        <v>2174</v>
      </c>
      <c r="E200" t="s">
        <v>3144</v>
      </c>
      <c r="F200" t="s">
        <v>1512</v>
      </c>
      <c r="G200" t="s">
        <v>70</v>
      </c>
      <c r="H200">
        <v>77002</v>
      </c>
      <c r="I200" t="s">
        <v>74</v>
      </c>
      <c r="J200" s="3">
        <v>44819</v>
      </c>
      <c r="M200" t="str">
        <f t="shared" si="3"/>
        <v xml:space="preserve"> </v>
      </c>
    </row>
    <row r="201" spans="1:13" x14ac:dyDescent="0.35">
      <c r="A201" t="s">
        <v>1805</v>
      </c>
      <c r="B201" t="s">
        <v>4702</v>
      </c>
      <c r="C201" t="s">
        <v>3745</v>
      </c>
      <c r="D201" t="s">
        <v>1887</v>
      </c>
      <c r="E201" t="s">
        <v>3142</v>
      </c>
      <c r="F201" t="s">
        <v>1089</v>
      </c>
      <c r="G201" t="s">
        <v>1090</v>
      </c>
      <c r="H201">
        <v>75600</v>
      </c>
      <c r="I201" t="s">
        <v>80</v>
      </c>
      <c r="J201" s="3">
        <v>44985</v>
      </c>
      <c r="M201" t="str">
        <f t="shared" si="3"/>
        <v xml:space="preserve"> </v>
      </c>
    </row>
    <row r="202" spans="1:13" x14ac:dyDescent="0.35">
      <c r="A202" t="s">
        <v>1808</v>
      </c>
      <c r="B202" t="s">
        <v>4703</v>
      </c>
      <c r="C202" t="s">
        <v>3746</v>
      </c>
      <c r="D202" t="s">
        <v>1914</v>
      </c>
      <c r="E202" t="s">
        <v>3140</v>
      </c>
      <c r="F202" t="s">
        <v>75</v>
      </c>
      <c r="G202" t="s">
        <v>76</v>
      </c>
      <c r="H202" t="s">
        <v>1385</v>
      </c>
      <c r="I202" t="s">
        <v>71</v>
      </c>
      <c r="J202" s="3">
        <v>44558</v>
      </c>
      <c r="M202" t="str">
        <f t="shared" si="3"/>
        <v xml:space="preserve"> </v>
      </c>
    </row>
    <row r="203" spans="1:13" x14ac:dyDescent="0.35">
      <c r="A203" t="s">
        <v>1813</v>
      </c>
      <c r="B203" t="s">
        <v>4704</v>
      </c>
      <c r="C203" t="s">
        <v>3747</v>
      </c>
      <c r="D203" t="s">
        <v>1911</v>
      </c>
      <c r="E203" t="s">
        <v>3138</v>
      </c>
      <c r="F203" t="s">
        <v>1198</v>
      </c>
      <c r="G203" t="s">
        <v>1070</v>
      </c>
      <c r="H203" t="s">
        <v>1199</v>
      </c>
      <c r="I203" t="s">
        <v>74</v>
      </c>
      <c r="J203" s="3">
        <v>44856</v>
      </c>
      <c r="M203" t="str">
        <f t="shared" si="3"/>
        <v xml:space="preserve"> </v>
      </c>
    </row>
    <row r="204" spans="1:13" x14ac:dyDescent="0.35">
      <c r="A204" t="s">
        <v>1816</v>
      </c>
      <c r="B204" t="s">
        <v>4705</v>
      </c>
      <c r="C204" t="s">
        <v>3748</v>
      </c>
      <c r="D204" t="s">
        <v>1819</v>
      </c>
      <c r="E204" t="s">
        <v>3136</v>
      </c>
      <c r="F204" t="s">
        <v>1075</v>
      </c>
      <c r="G204" t="s">
        <v>1076</v>
      </c>
      <c r="H204">
        <v>11341</v>
      </c>
      <c r="I204" t="s">
        <v>80</v>
      </c>
      <c r="J204" s="3">
        <v>44934</v>
      </c>
      <c r="M204" t="str">
        <f t="shared" si="3"/>
        <v xml:space="preserve"> </v>
      </c>
    </row>
    <row r="205" spans="1:13" x14ac:dyDescent="0.35">
      <c r="A205" t="s">
        <v>1818</v>
      </c>
      <c r="B205" t="s">
        <v>4706</v>
      </c>
      <c r="C205" t="s">
        <v>3749</v>
      </c>
      <c r="D205" t="s">
        <v>1934</v>
      </c>
      <c r="E205" t="s">
        <v>3134</v>
      </c>
      <c r="F205" t="s">
        <v>1159</v>
      </c>
      <c r="G205" t="s">
        <v>73</v>
      </c>
      <c r="H205">
        <v>8008</v>
      </c>
      <c r="I205" t="s">
        <v>71</v>
      </c>
      <c r="J205" s="3">
        <v>44457</v>
      </c>
      <c r="M205" t="str">
        <f t="shared" si="3"/>
        <v xml:space="preserve"> </v>
      </c>
    </row>
    <row r="206" spans="1:13" x14ac:dyDescent="0.35">
      <c r="A206" t="s">
        <v>1821</v>
      </c>
      <c r="B206" t="s">
        <v>4707</v>
      </c>
      <c r="C206" t="s">
        <v>3750</v>
      </c>
      <c r="D206" t="s">
        <v>1930</v>
      </c>
      <c r="E206" t="s">
        <v>3132</v>
      </c>
      <c r="F206" t="s">
        <v>1170</v>
      </c>
      <c r="G206" t="s">
        <v>76</v>
      </c>
      <c r="H206" t="s">
        <v>1873</v>
      </c>
      <c r="I206" t="s">
        <v>74</v>
      </c>
      <c r="J206" s="3">
        <v>44873</v>
      </c>
      <c r="M206" t="str">
        <f t="shared" si="3"/>
        <v xml:space="preserve"> </v>
      </c>
    </row>
    <row r="207" spans="1:13" x14ac:dyDescent="0.35">
      <c r="A207" t="s">
        <v>1824</v>
      </c>
      <c r="B207" t="s">
        <v>4708</v>
      </c>
      <c r="C207" t="s">
        <v>3751</v>
      </c>
      <c r="D207" t="s">
        <v>1927</v>
      </c>
      <c r="E207" t="s">
        <v>3130</v>
      </c>
      <c r="F207" t="s">
        <v>72</v>
      </c>
      <c r="G207" t="s">
        <v>73</v>
      </c>
      <c r="H207">
        <v>28006</v>
      </c>
      <c r="I207" t="s">
        <v>80</v>
      </c>
      <c r="J207" s="3">
        <v>45282</v>
      </c>
      <c r="M207" t="str">
        <f t="shared" si="3"/>
        <v xml:space="preserve"> </v>
      </c>
    </row>
    <row r="208" spans="1:13" x14ac:dyDescent="0.35">
      <c r="A208" t="s">
        <v>1828</v>
      </c>
      <c r="B208" t="s">
        <v>4709</v>
      </c>
      <c r="C208" t="s">
        <v>3752</v>
      </c>
      <c r="D208" t="s">
        <v>1924</v>
      </c>
      <c r="E208" t="s">
        <v>3128</v>
      </c>
      <c r="F208" t="s">
        <v>90</v>
      </c>
      <c r="G208" t="s">
        <v>91</v>
      </c>
      <c r="H208">
        <v>10178</v>
      </c>
      <c r="I208" t="s">
        <v>71</v>
      </c>
      <c r="J208" s="3">
        <v>44491</v>
      </c>
      <c r="M208" t="str">
        <f t="shared" si="3"/>
        <v xml:space="preserve"> </v>
      </c>
    </row>
    <row r="209" spans="1:13" x14ac:dyDescent="0.35">
      <c r="A209" t="s">
        <v>1831</v>
      </c>
      <c r="B209" t="s">
        <v>4637</v>
      </c>
      <c r="C209" t="s">
        <v>3753</v>
      </c>
      <c r="D209" t="s">
        <v>2107</v>
      </c>
      <c r="E209" t="s">
        <v>3126</v>
      </c>
      <c r="F209" t="s">
        <v>1864</v>
      </c>
      <c r="G209" t="s">
        <v>70</v>
      </c>
      <c r="H209">
        <v>30303</v>
      </c>
      <c r="I209" t="s">
        <v>74</v>
      </c>
      <c r="J209" s="3">
        <v>44910</v>
      </c>
      <c r="M209" t="str">
        <f t="shared" si="3"/>
        <v xml:space="preserve"> </v>
      </c>
    </row>
    <row r="210" spans="1:13" x14ac:dyDescent="0.35">
      <c r="A210" t="s">
        <v>1835</v>
      </c>
      <c r="B210" t="s">
        <v>3541</v>
      </c>
      <c r="C210" t="s">
        <v>3754</v>
      </c>
      <c r="D210" t="s">
        <v>1946</v>
      </c>
      <c r="E210" t="s">
        <v>3124</v>
      </c>
      <c r="F210" t="s">
        <v>1299</v>
      </c>
      <c r="G210" t="s">
        <v>1090</v>
      </c>
      <c r="H210">
        <v>54810</v>
      </c>
      <c r="I210" t="s">
        <v>80</v>
      </c>
      <c r="J210" s="3">
        <v>45248</v>
      </c>
      <c r="M210" t="str">
        <f t="shared" si="3"/>
        <v xml:space="preserve"> </v>
      </c>
    </row>
    <row r="211" spans="1:13" x14ac:dyDescent="0.35">
      <c r="A211" t="s">
        <v>1838</v>
      </c>
      <c r="B211" t="s">
        <v>4710</v>
      </c>
      <c r="C211" t="s">
        <v>3755</v>
      </c>
      <c r="D211" t="s">
        <v>1885</v>
      </c>
      <c r="E211" t="s">
        <v>3122</v>
      </c>
      <c r="F211" t="s">
        <v>75</v>
      </c>
      <c r="G211" t="s">
        <v>76</v>
      </c>
      <c r="H211" t="s">
        <v>1767</v>
      </c>
      <c r="I211" t="s">
        <v>71</v>
      </c>
      <c r="J211" s="3">
        <v>44522</v>
      </c>
      <c r="M211" t="str">
        <f t="shared" si="3"/>
        <v xml:space="preserve"> </v>
      </c>
    </row>
    <row r="212" spans="1:13" x14ac:dyDescent="0.35">
      <c r="A212" t="s">
        <v>1842</v>
      </c>
      <c r="B212" t="s">
        <v>4711</v>
      </c>
      <c r="C212" t="s">
        <v>3756</v>
      </c>
      <c r="D212" t="s">
        <v>1881</v>
      </c>
      <c r="E212" t="s">
        <v>3120</v>
      </c>
      <c r="F212" t="s">
        <v>1129</v>
      </c>
      <c r="G212" t="s">
        <v>1070</v>
      </c>
      <c r="H212" t="s">
        <v>1883</v>
      </c>
      <c r="I212" t="s">
        <v>74</v>
      </c>
      <c r="J212" s="3">
        <v>44826</v>
      </c>
      <c r="M212" t="str">
        <f t="shared" si="3"/>
        <v xml:space="preserve"> </v>
      </c>
    </row>
    <row r="213" spans="1:13" x14ac:dyDescent="0.35">
      <c r="A213" t="s">
        <v>1845</v>
      </c>
      <c r="B213" t="s">
        <v>4712</v>
      </c>
      <c r="C213" t="s">
        <v>3757</v>
      </c>
      <c r="D213" t="s">
        <v>1758</v>
      </c>
      <c r="E213" t="s">
        <v>3118</v>
      </c>
      <c r="F213" t="s">
        <v>1166</v>
      </c>
      <c r="G213" t="s">
        <v>1076</v>
      </c>
      <c r="H213">
        <v>21599</v>
      </c>
      <c r="I213" t="s">
        <v>80</v>
      </c>
      <c r="J213" s="3">
        <v>45211</v>
      </c>
      <c r="M213" t="str">
        <f t="shared" si="3"/>
        <v xml:space="preserve"> </v>
      </c>
    </row>
    <row r="214" spans="1:13" x14ac:dyDescent="0.35">
      <c r="A214" t="s">
        <v>1848</v>
      </c>
      <c r="B214" t="s">
        <v>4607</v>
      </c>
      <c r="C214" t="s">
        <v>3758</v>
      </c>
      <c r="D214" t="s">
        <v>1898</v>
      </c>
      <c r="E214" t="s">
        <v>3116</v>
      </c>
      <c r="F214" t="s">
        <v>1159</v>
      </c>
      <c r="G214" t="s">
        <v>73</v>
      </c>
      <c r="H214">
        <v>8018</v>
      </c>
      <c r="I214" t="s">
        <v>71</v>
      </c>
      <c r="J214" s="3">
        <v>44538</v>
      </c>
      <c r="M214" t="str">
        <f t="shared" si="3"/>
        <v xml:space="preserve"> </v>
      </c>
    </row>
    <row r="215" spans="1:13" x14ac:dyDescent="0.35">
      <c r="A215" t="s">
        <v>1851</v>
      </c>
      <c r="B215" t="s">
        <v>4713</v>
      </c>
      <c r="C215" t="s">
        <v>3759</v>
      </c>
      <c r="D215" t="s">
        <v>1871</v>
      </c>
      <c r="E215" t="s">
        <v>3114</v>
      </c>
      <c r="F215" t="s">
        <v>1170</v>
      </c>
      <c r="G215" t="s">
        <v>76</v>
      </c>
      <c r="H215" t="s">
        <v>1171</v>
      </c>
      <c r="I215" t="s">
        <v>74</v>
      </c>
      <c r="J215" s="3">
        <v>44846</v>
      </c>
      <c r="M215" t="str">
        <f t="shared" si="3"/>
        <v xml:space="preserve"> </v>
      </c>
    </row>
    <row r="216" spans="1:13" x14ac:dyDescent="0.35">
      <c r="A216" t="s">
        <v>1855</v>
      </c>
      <c r="B216" t="s">
        <v>4714</v>
      </c>
      <c r="C216" t="s">
        <v>3760</v>
      </c>
      <c r="D216" t="s">
        <v>1905</v>
      </c>
      <c r="E216" t="s">
        <v>3112</v>
      </c>
      <c r="F216" t="s">
        <v>72</v>
      </c>
      <c r="G216" t="s">
        <v>73</v>
      </c>
      <c r="H216">
        <v>28001</v>
      </c>
      <c r="I216" t="s">
        <v>80</v>
      </c>
      <c r="J216" s="3">
        <v>45181</v>
      </c>
      <c r="M216" t="str">
        <f t="shared" si="3"/>
        <v xml:space="preserve"> </v>
      </c>
    </row>
    <row r="217" spans="1:13" x14ac:dyDescent="0.35">
      <c r="A217" t="s">
        <v>1858</v>
      </c>
      <c r="B217" t="s">
        <v>4715</v>
      </c>
      <c r="C217" t="s">
        <v>3761</v>
      </c>
      <c r="D217" t="s">
        <v>1895</v>
      </c>
      <c r="E217" t="s">
        <v>3110</v>
      </c>
      <c r="F217" t="s">
        <v>90</v>
      </c>
      <c r="G217" t="s">
        <v>91</v>
      </c>
      <c r="H217">
        <v>10785</v>
      </c>
      <c r="I217" t="s">
        <v>71</v>
      </c>
      <c r="J217" s="3">
        <v>44467</v>
      </c>
      <c r="M217" t="str">
        <f t="shared" si="3"/>
        <v xml:space="preserve"> </v>
      </c>
    </row>
    <row r="218" spans="1:13" x14ac:dyDescent="0.35">
      <c r="A218" t="s">
        <v>1861</v>
      </c>
      <c r="B218" t="s">
        <v>4716</v>
      </c>
      <c r="C218" t="s">
        <v>3762</v>
      </c>
      <c r="D218" t="s">
        <v>2057</v>
      </c>
      <c r="E218" t="s">
        <v>3108</v>
      </c>
      <c r="F218" t="s">
        <v>1404</v>
      </c>
      <c r="G218" t="s">
        <v>70</v>
      </c>
      <c r="H218">
        <v>33139</v>
      </c>
      <c r="I218" t="s">
        <v>74</v>
      </c>
      <c r="J218" s="3">
        <v>44893</v>
      </c>
      <c r="M218" t="str">
        <f t="shared" si="3"/>
        <v xml:space="preserve"> </v>
      </c>
    </row>
    <row r="219" spans="1:13" x14ac:dyDescent="0.35">
      <c r="A219" t="s">
        <v>1865</v>
      </c>
      <c r="B219" t="s">
        <v>4717</v>
      </c>
      <c r="C219" t="s">
        <v>3763</v>
      </c>
      <c r="D219" t="s">
        <v>1917</v>
      </c>
      <c r="E219" t="s">
        <v>3106</v>
      </c>
      <c r="F219" t="s">
        <v>78</v>
      </c>
      <c r="G219" t="s">
        <v>79</v>
      </c>
      <c r="H219">
        <v>123456</v>
      </c>
      <c r="I219" t="s">
        <v>80</v>
      </c>
      <c r="J219" s="3">
        <v>45146</v>
      </c>
      <c r="M219" t="str">
        <f t="shared" si="3"/>
        <v xml:space="preserve"> </v>
      </c>
    </row>
    <row r="220" spans="1:13" x14ac:dyDescent="0.35">
      <c r="A220" t="s">
        <v>1868</v>
      </c>
      <c r="B220" t="s">
        <v>4718</v>
      </c>
      <c r="C220" t="s">
        <v>3764</v>
      </c>
      <c r="D220" t="s">
        <v>1383</v>
      </c>
      <c r="E220" t="s">
        <v>3104</v>
      </c>
      <c r="F220" t="s">
        <v>75</v>
      </c>
      <c r="G220" t="s">
        <v>76</v>
      </c>
      <c r="H220" t="s">
        <v>1385</v>
      </c>
      <c r="I220" t="s">
        <v>71</v>
      </c>
      <c r="J220" s="3">
        <v>44497</v>
      </c>
      <c r="M220" t="str">
        <f t="shared" si="3"/>
        <v xml:space="preserve"> </v>
      </c>
    </row>
    <row r="221" spans="1:13" x14ac:dyDescent="0.35">
      <c r="A221" t="s">
        <v>1870</v>
      </c>
      <c r="B221" t="s">
        <v>4623</v>
      </c>
      <c r="C221" t="s">
        <v>3765</v>
      </c>
      <c r="D221" t="s">
        <v>1822</v>
      </c>
      <c r="E221" t="s">
        <v>3102</v>
      </c>
      <c r="F221" t="s">
        <v>1198</v>
      </c>
      <c r="G221" t="s">
        <v>1070</v>
      </c>
      <c r="H221" t="s">
        <v>1199</v>
      </c>
      <c r="I221" t="s">
        <v>74</v>
      </c>
      <c r="J221" s="3">
        <v>44907</v>
      </c>
      <c r="M221" t="str">
        <f t="shared" si="3"/>
        <v xml:space="preserve"> </v>
      </c>
    </row>
    <row r="222" spans="1:13" x14ac:dyDescent="0.35">
      <c r="A222" t="s">
        <v>1874</v>
      </c>
      <c r="B222" t="s">
        <v>4650</v>
      </c>
      <c r="C222" t="s">
        <v>3766</v>
      </c>
      <c r="D222" t="s">
        <v>2142</v>
      </c>
      <c r="E222" t="s">
        <v>3100</v>
      </c>
      <c r="F222" t="s">
        <v>1075</v>
      </c>
      <c r="G222" t="s">
        <v>1076</v>
      </c>
      <c r="H222">
        <v>12311</v>
      </c>
      <c r="I222" t="s">
        <v>80</v>
      </c>
      <c r="J222" s="3">
        <v>45119</v>
      </c>
      <c r="M222" t="str">
        <f t="shared" si="3"/>
        <v xml:space="preserve"> </v>
      </c>
    </row>
    <row r="223" spans="1:13" x14ac:dyDescent="0.35">
      <c r="A223" t="s">
        <v>1877</v>
      </c>
      <c r="B223" t="s">
        <v>4719</v>
      </c>
      <c r="C223" t="s">
        <v>3767</v>
      </c>
      <c r="D223" t="s">
        <v>1786</v>
      </c>
      <c r="E223" t="s">
        <v>3098</v>
      </c>
      <c r="F223" t="s">
        <v>1159</v>
      </c>
      <c r="G223" t="s">
        <v>73</v>
      </c>
      <c r="H223">
        <v>8008</v>
      </c>
      <c r="I223" t="s">
        <v>71</v>
      </c>
      <c r="J223" s="3">
        <v>44518</v>
      </c>
      <c r="M223" t="str">
        <f t="shared" si="3"/>
        <v xml:space="preserve"> </v>
      </c>
    </row>
    <row r="224" spans="1:13" x14ac:dyDescent="0.35">
      <c r="A224" t="s">
        <v>1880</v>
      </c>
      <c r="B224" t="s">
        <v>4720</v>
      </c>
      <c r="C224" t="s">
        <v>3768</v>
      </c>
      <c r="D224" t="s">
        <v>1396</v>
      </c>
      <c r="E224" t="s">
        <v>3096</v>
      </c>
      <c r="F224" t="s">
        <v>1170</v>
      </c>
      <c r="G224" t="s">
        <v>76</v>
      </c>
      <c r="H224" t="s">
        <v>1989</v>
      </c>
      <c r="I224" t="s">
        <v>74</v>
      </c>
      <c r="J224" s="3">
        <v>44812</v>
      </c>
      <c r="M224" t="str">
        <f t="shared" si="3"/>
        <v xml:space="preserve"> </v>
      </c>
    </row>
    <row r="225" spans="1:13" x14ac:dyDescent="0.35">
      <c r="A225" t="s">
        <v>1884</v>
      </c>
      <c r="B225" t="s">
        <v>4721</v>
      </c>
      <c r="C225" t="s">
        <v>3769</v>
      </c>
      <c r="D225" t="s">
        <v>1875</v>
      </c>
      <c r="E225" t="s">
        <v>3094</v>
      </c>
      <c r="F225" t="s">
        <v>72</v>
      </c>
      <c r="G225" t="s">
        <v>73</v>
      </c>
      <c r="H225">
        <v>28006</v>
      </c>
      <c r="I225" t="s">
        <v>80</v>
      </c>
      <c r="J225" s="3">
        <v>45105</v>
      </c>
      <c r="M225" t="str">
        <f t="shared" si="3"/>
        <v xml:space="preserve"> </v>
      </c>
    </row>
    <row r="226" spans="1:13" x14ac:dyDescent="0.35">
      <c r="A226" t="s">
        <v>1886</v>
      </c>
      <c r="B226" t="s">
        <v>4722</v>
      </c>
      <c r="C226" t="s">
        <v>3770</v>
      </c>
      <c r="D226" t="s">
        <v>1430</v>
      </c>
      <c r="E226" t="s">
        <v>3092</v>
      </c>
      <c r="F226" t="s">
        <v>90</v>
      </c>
      <c r="G226" t="s">
        <v>91</v>
      </c>
      <c r="H226">
        <v>10178</v>
      </c>
      <c r="I226" t="s">
        <v>71</v>
      </c>
      <c r="J226" s="3">
        <v>44552</v>
      </c>
      <c r="M226" t="str">
        <f t="shared" si="3"/>
        <v xml:space="preserve"> </v>
      </c>
    </row>
    <row r="227" spans="1:13" x14ac:dyDescent="0.35">
      <c r="A227" t="s">
        <v>1889</v>
      </c>
      <c r="B227" t="s">
        <v>4723</v>
      </c>
      <c r="C227" t="s">
        <v>3771</v>
      </c>
      <c r="D227" t="s">
        <v>2082</v>
      </c>
      <c r="E227" t="s">
        <v>2905</v>
      </c>
      <c r="F227" t="s">
        <v>1834</v>
      </c>
      <c r="G227" t="s">
        <v>70</v>
      </c>
      <c r="H227">
        <v>75202</v>
      </c>
      <c r="I227" t="s">
        <v>74</v>
      </c>
      <c r="J227" s="3">
        <v>44852</v>
      </c>
      <c r="M227" t="str">
        <f t="shared" si="3"/>
        <v xml:space="preserve"> </v>
      </c>
    </row>
    <row r="228" spans="1:13" x14ac:dyDescent="0.35">
      <c r="A228" t="s">
        <v>1894</v>
      </c>
      <c r="B228" t="s">
        <v>4724</v>
      </c>
      <c r="C228" t="s">
        <v>3772</v>
      </c>
      <c r="D228" t="s">
        <v>2530</v>
      </c>
      <c r="E228" t="s">
        <v>3089</v>
      </c>
      <c r="F228" t="s">
        <v>1089</v>
      </c>
      <c r="G228" t="s">
        <v>1090</v>
      </c>
      <c r="H228">
        <v>75600</v>
      </c>
      <c r="I228" t="s">
        <v>80</v>
      </c>
      <c r="J228" s="3">
        <v>45068</v>
      </c>
      <c r="M228" t="str">
        <f t="shared" si="3"/>
        <v xml:space="preserve"> </v>
      </c>
    </row>
    <row r="229" spans="1:13" x14ac:dyDescent="0.35">
      <c r="A229" t="s">
        <v>1897</v>
      </c>
      <c r="B229" t="s">
        <v>4725</v>
      </c>
      <c r="C229" t="s">
        <v>3773</v>
      </c>
      <c r="D229" t="s">
        <v>2125</v>
      </c>
      <c r="E229" t="s">
        <v>3087</v>
      </c>
      <c r="F229" t="s">
        <v>75</v>
      </c>
      <c r="G229" t="s">
        <v>76</v>
      </c>
      <c r="H229" t="s">
        <v>1767</v>
      </c>
      <c r="I229" t="s">
        <v>71</v>
      </c>
      <c r="J229" s="3">
        <v>44447</v>
      </c>
      <c r="M229" t="str">
        <f t="shared" si="3"/>
        <v xml:space="preserve"> </v>
      </c>
    </row>
    <row r="230" spans="1:13" x14ac:dyDescent="0.35">
      <c r="A230" t="s">
        <v>1900</v>
      </c>
      <c r="B230" t="s">
        <v>4726</v>
      </c>
      <c r="C230" t="s">
        <v>3774</v>
      </c>
      <c r="D230" t="s">
        <v>1792</v>
      </c>
      <c r="E230" t="s">
        <v>3085</v>
      </c>
      <c r="F230" t="s">
        <v>1129</v>
      </c>
      <c r="G230" t="s">
        <v>1070</v>
      </c>
      <c r="H230" t="s">
        <v>1130</v>
      </c>
      <c r="I230" t="s">
        <v>74</v>
      </c>
      <c r="J230" s="3">
        <v>44877</v>
      </c>
      <c r="M230" t="str">
        <f t="shared" si="3"/>
        <v xml:space="preserve"> </v>
      </c>
    </row>
    <row r="231" spans="1:13" x14ac:dyDescent="0.35">
      <c r="A231" t="s">
        <v>1904</v>
      </c>
      <c r="B231" t="s">
        <v>4727</v>
      </c>
      <c r="C231" t="s">
        <v>3775</v>
      </c>
      <c r="D231" t="s">
        <v>2119</v>
      </c>
      <c r="E231" t="s">
        <v>3083</v>
      </c>
      <c r="F231" t="s">
        <v>1075</v>
      </c>
      <c r="G231" t="s">
        <v>1076</v>
      </c>
      <c r="H231">
        <v>12311</v>
      </c>
      <c r="I231" t="s">
        <v>80</v>
      </c>
      <c r="J231" s="3">
        <v>45031</v>
      </c>
      <c r="M231" t="str">
        <f t="shared" si="3"/>
        <v xml:space="preserve"> </v>
      </c>
    </row>
    <row r="232" spans="1:13" x14ac:dyDescent="0.35">
      <c r="A232" t="s">
        <v>1907</v>
      </c>
      <c r="B232" t="s">
        <v>4728</v>
      </c>
      <c r="C232" t="s">
        <v>3776</v>
      </c>
      <c r="D232" t="s">
        <v>1433</v>
      </c>
      <c r="E232" t="s">
        <v>3081</v>
      </c>
      <c r="F232" t="s">
        <v>1159</v>
      </c>
      <c r="G232" t="s">
        <v>73</v>
      </c>
      <c r="H232">
        <v>8018</v>
      </c>
      <c r="I232" t="s">
        <v>71</v>
      </c>
      <c r="J232" s="3">
        <v>44491</v>
      </c>
      <c r="M232" t="str">
        <f t="shared" si="3"/>
        <v xml:space="preserve"> </v>
      </c>
    </row>
    <row r="233" spans="1:13" x14ac:dyDescent="0.35">
      <c r="A233" t="s">
        <v>1910</v>
      </c>
      <c r="B233" t="s">
        <v>4729</v>
      </c>
      <c r="C233" t="s">
        <v>3777</v>
      </c>
      <c r="D233" t="s">
        <v>1168</v>
      </c>
      <c r="E233" t="s">
        <v>3079</v>
      </c>
      <c r="F233" t="s">
        <v>1170</v>
      </c>
      <c r="G233" t="s">
        <v>76</v>
      </c>
      <c r="H233" t="s">
        <v>1873</v>
      </c>
      <c r="I233" t="s">
        <v>74</v>
      </c>
      <c r="J233" s="3">
        <v>44913</v>
      </c>
      <c r="M233" t="str">
        <f t="shared" si="3"/>
        <v xml:space="preserve"> </v>
      </c>
    </row>
    <row r="234" spans="1:13" x14ac:dyDescent="0.35">
      <c r="A234" t="s">
        <v>1913</v>
      </c>
      <c r="B234" t="s">
        <v>4601</v>
      </c>
      <c r="C234" t="s">
        <v>3778</v>
      </c>
      <c r="D234" t="s">
        <v>1540</v>
      </c>
      <c r="E234" t="s">
        <v>3077</v>
      </c>
      <c r="F234" t="s">
        <v>72</v>
      </c>
      <c r="G234" t="s">
        <v>73</v>
      </c>
      <c r="H234">
        <v>28001</v>
      </c>
      <c r="I234" t="s">
        <v>80</v>
      </c>
      <c r="J234" s="3">
        <v>44993</v>
      </c>
      <c r="M234" t="str">
        <f t="shared" si="3"/>
        <v xml:space="preserve"> </v>
      </c>
    </row>
    <row r="235" spans="1:13" x14ac:dyDescent="0.35">
      <c r="A235" t="s">
        <v>1916</v>
      </c>
      <c r="B235" t="s">
        <v>4730</v>
      </c>
      <c r="C235" t="s">
        <v>3779</v>
      </c>
      <c r="D235" t="s">
        <v>2110</v>
      </c>
      <c r="E235" t="s">
        <v>3075</v>
      </c>
      <c r="F235" t="s">
        <v>90</v>
      </c>
      <c r="G235" t="s">
        <v>91</v>
      </c>
      <c r="H235">
        <v>10117</v>
      </c>
      <c r="I235" t="s">
        <v>71</v>
      </c>
      <c r="J235" s="3">
        <v>44512</v>
      </c>
      <c r="M235" t="str">
        <f t="shared" si="3"/>
        <v xml:space="preserve"> </v>
      </c>
    </row>
    <row r="236" spans="1:13" x14ac:dyDescent="0.35">
      <c r="A236" t="s">
        <v>1919</v>
      </c>
      <c r="B236" t="s">
        <v>4698</v>
      </c>
      <c r="C236" t="s">
        <v>3780</v>
      </c>
      <c r="D236" t="s">
        <v>1510</v>
      </c>
      <c r="E236" t="s">
        <v>3073</v>
      </c>
      <c r="F236" t="s">
        <v>1512</v>
      </c>
      <c r="G236" t="s">
        <v>70</v>
      </c>
      <c r="H236">
        <v>77002</v>
      </c>
      <c r="I236" t="s">
        <v>74</v>
      </c>
      <c r="J236" s="3">
        <v>44829</v>
      </c>
      <c r="M236" t="str">
        <f t="shared" si="3"/>
        <v xml:space="preserve"> </v>
      </c>
    </row>
    <row r="237" spans="1:13" x14ac:dyDescent="0.35">
      <c r="A237" t="s">
        <v>1923</v>
      </c>
      <c r="B237" t="s">
        <v>4731</v>
      </c>
      <c r="C237" t="s">
        <v>3781</v>
      </c>
      <c r="D237" t="s">
        <v>1799</v>
      </c>
      <c r="E237" t="s">
        <v>3071</v>
      </c>
      <c r="F237" t="s">
        <v>1299</v>
      </c>
      <c r="G237" t="s">
        <v>1090</v>
      </c>
      <c r="H237">
        <v>54810</v>
      </c>
      <c r="I237" t="s">
        <v>80</v>
      </c>
      <c r="J237" s="3">
        <v>44979</v>
      </c>
      <c r="M237" t="str">
        <f t="shared" si="3"/>
        <v xml:space="preserve"> </v>
      </c>
    </row>
    <row r="238" spans="1:13" x14ac:dyDescent="0.35">
      <c r="A238" t="s">
        <v>1926</v>
      </c>
      <c r="B238" t="s">
        <v>4732</v>
      </c>
      <c r="C238" t="s">
        <v>3782</v>
      </c>
      <c r="D238" t="s">
        <v>2101</v>
      </c>
      <c r="E238" t="s">
        <v>3069</v>
      </c>
      <c r="F238" t="s">
        <v>75</v>
      </c>
      <c r="G238" t="s">
        <v>76</v>
      </c>
      <c r="H238" t="s">
        <v>1385</v>
      </c>
      <c r="I238" t="s">
        <v>71</v>
      </c>
      <c r="J238" s="3">
        <v>44548</v>
      </c>
      <c r="M238" t="str">
        <f t="shared" si="3"/>
        <v xml:space="preserve"> </v>
      </c>
    </row>
    <row r="239" spans="1:13" x14ac:dyDescent="0.35">
      <c r="A239" t="s">
        <v>1929</v>
      </c>
      <c r="B239" t="s">
        <v>4733</v>
      </c>
      <c r="C239" t="s">
        <v>3783</v>
      </c>
      <c r="D239" t="s">
        <v>2313</v>
      </c>
      <c r="E239" t="s">
        <v>3067</v>
      </c>
      <c r="F239" t="s">
        <v>1198</v>
      </c>
      <c r="G239" t="s">
        <v>1070</v>
      </c>
      <c r="H239" t="s">
        <v>1199</v>
      </c>
      <c r="I239" t="s">
        <v>74</v>
      </c>
      <c r="J239" s="3">
        <v>44846</v>
      </c>
      <c r="M239" t="str">
        <f t="shared" si="3"/>
        <v xml:space="preserve"> </v>
      </c>
    </row>
    <row r="240" spans="1:13" x14ac:dyDescent="0.35">
      <c r="A240" t="s">
        <v>1933</v>
      </c>
      <c r="B240" t="s">
        <v>4729</v>
      </c>
      <c r="C240" t="s">
        <v>3784</v>
      </c>
      <c r="D240" t="s">
        <v>2095</v>
      </c>
      <c r="E240" t="s">
        <v>3065</v>
      </c>
      <c r="F240" t="s">
        <v>1075</v>
      </c>
      <c r="G240" t="s">
        <v>1076</v>
      </c>
      <c r="H240">
        <v>11341</v>
      </c>
      <c r="I240" t="s">
        <v>80</v>
      </c>
      <c r="J240" s="3">
        <v>44944</v>
      </c>
      <c r="M240" t="str">
        <f t="shared" si="3"/>
        <v xml:space="preserve"> </v>
      </c>
    </row>
    <row r="241" spans="1:13" x14ac:dyDescent="0.35">
      <c r="A241" t="s">
        <v>1936</v>
      </c>
      <c r="B241" t="s">
        <v>4734</v>
      </c>
      <c r="C241" t="s">
        <v>3785</v>
      </c>
      <c r="D241" t="s">
        <v>1157</v>
      </c>
      <c r="E241" t="s">
        <v>3063</v>
      </c>
      <c r="F241" t="s">
        <v>1159</v>
      </c>
      <c r="G241" t="s">
        <v>73</v>
      </c>
      <c r="H241">
        <v>8008</v>
      </c>
      <c r="I241" t="s">
        <v>71</v>
      </c>
      <c r="J241" s="3">
        <v>44451</v>
      </c>
      <c r="M241" t="str">
        <f t="shared" si="3"/>
        <v xml:space="preserve"> </v>
      </c>
    </row>
    <row r="242" spans="1:13" x14ac:dyDescent="0.35">
      <c r="A242" t="s">
        <v>1939</v>
      </c>
      <c r="B242" t="s">
        <v>4735</v>
      </c>
      <c r="C242" t="s">
        <v>3786</v>
      </c>
      <c r="D242" t="s">
        <v>2090</v>
      </c>
      <c r="E242" t="s">
        <v>3061</v>
      </c>
      <c r="F242" t="s">
        <v>1170</v>
      </c>
      <c r="G242" t="s">
        <v>76</v>
      </c>
      <c r="H242" t="s">
        <v>1171</v>
      </c>
      <c r="I242" t="s">
        <v>74</v>
      </c>
      <c r="J242" s="3">
        <v>44887</v>
      </c>
      <c r="M242" t="str">
        <f t="shared" si="3"/>
        <v xml:space="preserve"> </v>
      </c>
    </row>
    <row r="243" spans="1:13" x14ac:dyDescent="0.35">
      <c r="A243" t="s">
        <v>1942</v>
      </c>
      <c r="B243" t="s">
        <v>4736</v>
      </c>
      <c r="C243" t="s">
        <v>3787</v>
      </c>
      <c r="D243" t="s">
        <v>1484</v>
      </c>
      <c r="E243" t="s">
        <v>3059</v>
      </c>
      <c r="F243" t="s">
        <v>72</v>
      </c>
      <c r="G243" t="s">
        <v>73</v>
      </c>
      <c r="H243">
        <v>28006</v>
      </c>
      <c r="I243" t="s">
        <v>80</v>
      </c>
      <c r="J243" s="3">
        <v>45268</v>
      </c>
      <c r="M243" t="str">
        <f t="shared" si="3"/>
        <v xml:space="preserve"> </v>
      </c>
    </row>
    <row r="244" spans="1:13" x14ac:dyDescent="0.35">
      <c r="A244" t="s">
        <v>1945</v>
      </c>
      <c r="B244" t="s">
        <v>4737</v>
      </c>
      <c r="C244" t="s">
        <v>3788</v>
      </c>
      <c r="D244" t="s">
        <v>2085</v>
      </c>
      <c r="E244" t="s">
        <v>3057</v>
      </c>
      <c r="F244" t="s">
        <v>90</v>
      </c>
      <c r="G244" t="s">
        <v>91</v>
      </c>
      <c r="H244">
        <v>10117</v>
      </c>
      <c r="I244" t="s">
        <v>71</v>
      </c>
      <c r="J244" s="3">
        <v>44477</v>
      </c>
      <c r="M244" t="str">
        <f t="shared" si="3"/>
        <v xml:space="preserve"> </v>
      </c>
    </row>
    <row r="245" spans="1:13" x14ac:dyDescent="0.35">
      <c r="A245" t="s">
        <v>1948</v>
      </c>
      <c r="B245" t="s">
        <v>4738</v>
      </c>
      <c r="C245" t="s">
        <v>3789</v>
      </c>
      <c r="D245" t="s">
        <v>3054</v>
      </c>
      <c r="E245" t="s">
        <v>3055</v>
      </c>
      <c r="F245" t="s">
        <v>1922</v>
      </c>
      <c r="G245" t="s">
        <v>70</v>
      </c>
      <c r="H245">
        <v>19106</v>
      </c>
      <c r="I245" t="s">
        <v>74</v>
      </c>
      <c r="J245" s="3">
        <v>44862</v>
      </c>
      <c r="M245" t="str">
        <f t="shared" si="3"/>
        <v xml:space="preserve"> </v>
      </c>
    </row>
    <row r="246" spans="1:13" x14ac:dyDescent="0.35">
      <c r="A246" t="s">
        <v>1953</v>
      </c>
      <c r="B246" t="s">
        <v>4739</v>
      </c>
      <c r="C246" t="s">
        <v>3790</v>
      </c>
      <c r="D246" t="s">
        <v>1829</v>
      </c>
      <c r="E246" t="s">
        <v>3052</v>
      </c>
      <c r="F246" t="s">
        <v>78</v>
      </c>
      <c r="G246" t="s">
        <v>79</v>
      </c>
      <c r="H246">
        <v>123456</v>
      </c>
      <c r="I246" t="s">
        <v>80</v>
      </c>
      <c r="J246" s="3">
        <v>45242</v>
      </c>
      <c r="M246" t="str">
        <f t="shared" si="3"/>
        <v xml:space="preserve"> </v>
      </c>
    </row>
    <row r="247" spans="1:13" x14ac:dyDescent="0.35">
      <c r="A247" t="s">
        <v>1956</v>
      </c>
      <c r="B247" t="s">
        <v>1287</v>
      </c>
      <c r="C247" t="s">
        <v>3791</v>
      </c>
      <c r="D247" t="s">
        <v>1765</v>
      </c>
      <c r="E247" t="s">
        <v>3050</v>
      </c>
      <c r="F247" t="s">
        <v>75</v>
      </c>
      <c r="G247" t="s">
        <v>76</v>
      </c>
      <c r="H247" t="s">
        <v>1767</v>
      </c>
      <c r="I247" t="s">
        <v>71</v>
      </c>
      <c r="J247" s="3">
        <v>44522</v>
      </c>
      <c r="M247" t="str">
        <f t="shared" si="3"/>
        <v xml:space="preserve"> </v>
      </c>
    </row>
    <row r="248" spans="1:13" x14ac:dyDescent="0.35">
      <c r="A248" t="s">
        <v>1959</v>
      </c>
      <c r="B248" t="s">
        <v>4582</v>
      </c>
      <c r="C248" t="s">
        <v>3792</v>
      </c>
      <c r="D248" t="s">
        <v>2292</v>
      </c>
      <c r="E248" t="s">
        <v>3048</v>
      </c>
      <c r="F248" t="s">
        <v>1129</v>
      </c>
      <c r="G248" t="s">
        <v>1070</v>
      </c>
      <c r="H248" t="s">
        <v>1883</v>
      </c>
      <c r="I248" t="s">
        <v>74</v>
      </c>
      <c r="J248" s="3">
        <v>44826</v>
      </c>
      <c r="M248" t="str">
        <f t="shared" si="3"/>
        <v xml:space="preserve"> </v>
      </c>
    </row>
    <row r="249" spans="1:13" x14ac:dyDescent="0.35">
      <c r="A249" t="s">
        <v>1962</v>
      </c>
      <c r="B249" t="s">
        <v>4740</v>
      </c>
      <c r="C249" t="s">
        <v>3793</v>
      </c>
      <c r="D249" t="s">
        <v>2071</v>
      </c>
      <c r="E249" t="s">
        <v>3046</v>
      </c>
      <c r="F249" t="s">
        <v>1166</v>
      </c>
      <c r="G249" t="s">
        <v>1076</v>
      </c>
      <c r="H249">
        <v>21599</v>
      </c>
      <c r="I249" t="s">
        <v>80</v>
      </c>
      <c r="J249" s="3">
        <v>45207</v>
      </c>
      <c r="M249" t="str">
        <f t="shared" si="3"/>
        <v xml:space="preserve"> </v>
      </c>
    </row>
    <row r="250" spans="1:13" x14ac:dyDescent="0.35">
      <c r="A250" t="s">
        <v>1965</v>
      </c>
      <c r="B250" t="s">
        <v>4530</v>
      </c>
      <c r="C250" t="s">
        <v>3794</v>
      </c>
      <c r="D250" t="s">
        <v>2068</v>
      </c>
      <c r="E250" t="s">
        <v>3044</v>
      </c>
      <c r="F250" t="s">
        <v>1159</v>
      </c>
      <c r="G250" t="s">
        <v>73</v>
      </c>
      <c r="H250">
        <v>8018</v>
      </c>
      <c r="I250" t="s">
        <v>71</v>
      </c>
      <c r="J250" s="3">
        <v>44558</v>
      </c>
      <c r="M250" t="str">
        <f t="shared" si="3"/>
        <v xml:space="preserve"> </v>
      </c>
    </row>
    <row r="251" spans="1:13" x14ac:dyDescent="0.35">
      <c r="A251" t="s">
        <v>1968</v>
      </c>
      <c r="B251" t="s">
        <v>4741</v>
      </c>
      <c r="C251" t="s">
        <v>3795</v>
      </c>
      <c r="D251" t="s">
        <v>2065</v>
      </c>
      <c r="E251" t="s">
        <v>3042</v>
      </c>
      <c r="F251" t="s">
        <v>1170</v>
      </c>
      <c r="G251" t="s">
        <v>76</v>
      </c>
      <c r="H251" t="s">
        <v>1989</v>
      </c>
      <c r="I251" t="s">
        <v>74</v>
      </c>
      <c r="J251" s="3">
        <v>44842</v>
      </c>
      <c r="M251" t="str">
        <f t="shared" si="3"/>
        <v xml:space="preserve"> </v>
      </c>
    </row>
    <row r="252" spans="1:13" x14ac:dyDescent="0.35">
      <c r="A252" t="s">
        <v>1971</v>
      </c>
      <c r="B252" t="s">
        <v>4742</v>
      </c>
      <c r="C252" t="s">
        <v>3796</v>
      </c>
      <c r="D252" t="s">
        <v>1380</v>
      </c>
      <c r="E252" t="s">
        <v>3040</v>
      </c>
      <c r="F252" t="s">
        <v>72</v>
      </c>
      <c r="G252" t="s">
        <v>73</v>
      </c>
      <c r="H252">
        <v>28001</v>
      </c>
      <c r="I252" t="s">
        <v>80</v>
      </c>
      <c r="J252" s="3">
        <v>45191</v>
      </c>
      <c r="M252" t="str">
        <f t="shared" si="3"/>
        <v xml:space="preserve"> </v>
      </c>
    </row>
    <row r="253" spans="1:13" x14ac:dyDescent="0.35">
      <c r="A253" t="s">
        <v>1973</v>
      </c>
      <c r="B253" t="s">
        <v>4676</v>
      </c>
      <c r="C253" t="s">
        <v>3797</v>
      </c>
      <c r="D253" t="s">
        <v>2060</v>
      </c>
      <c r="E253" t="s">
        <v>3038</v>
      </c>
      <c r="F253" t="s">
        <v>90</v>
      </c>
      <c r="G253" t="s">
        <v>91</v>
      </c>
      <c r="H253">
        <v>10178</v>
      </c>
      <c r="I253" t="s">
        <v>71</v>
      </c>
      <c r="J253" s="3">
        <v>44457</v>
      </c>
      <c r="M253" t="str">
        <f t="shared" si="3"/>
        <v xml:space="preserve"> </v>
      </c>
    </row>
    <row r="254" spans="1:13" x14ac:dyDescent="0.35">
      <c r="A254" t="s">
        <v>1976</v>
      </c>
      <c r="B254" t="s">
        <v>4743</v>
      </c>
      <c r="C254" t="s">
        <v>3798</v>
      </c>
      <c r="D254" t="s">
        <v>3035</v>
      </c>
      <c r="E254" t="s">
        <v>3036</v>
      </c>
      <c r="F254" t="s">
        <v>1864</v>
      </c>
      <c r="G254" t="s">
        <v>70</v>
      </c>
      <c r="H254">
        <v>30303</v>
      </c>
      <c r="I254" t="s">
        <v>74</v>
      </c>
      <c r="J254" s="3">
        <v>44883</v>
      </c>
      <c r="M254" t="str">
        <f t="shared" si="3"/>
        <v xml:space="preserve"> </v>
      </c>
    </row>
    <row r="255" spans="1:13" x14ac:dyDescent="0.35">
      <c r="A255" t="s">
        <v>1980</v>
      </c>
      <c r="B255" t="s">
        <v>4744</v>
      </c>
      <c r="C255" t="s">
        <v>3799</v>
      </c>
      <c r="D255" t="s">
        <v>2475</v>
      </c>
      <c r="E255" t="s">
        <v>3033</v>
      </c>
      <c r="F255" t="s">
        <v>1089</v>
      </c>
      <c r="G255" t="s">
        <v>1090</v>
      </c>
      <c r="H255">
        <v>75600</v>
      </c>
      <c r="I255" t="s">
        <v>80</v>
      </c>
      <c r="J255" s="3">
        <v>45146</v>
      </c>
      <c r="M255" t="str">
        <f t="shared" si="3"/>
        <v xml:space="preserve"> </v>
      </c>
    </row>
    <row r="256" spans="1:13" x14ac:dyDescent="0.35">
      <c r="A256" t="s">
        <v>1983</v>
      </c>
      <c r="B256" t="s">
        <v>4745</v>
      </c>
      <c r="C256" t="s">
        <v>3800</v>
      </c>
      <c r="D256" t="s">
        <v>2051</v>
      </c>
      <c r="E256" t="s">
        <v>3031</v>
      </c>
      <c r="F256" t="s">
        <v>75</v>
      </c>
      <c r="G256" t="s">
        <v>76</v>
      </c>
      <c r="H256" t="s">
        <v>1385</v>
      </c>
      <c r="I256" t="s">
        <v>71</v>
      </c>
      <c r="J256" s="3">
        <v>44481</v>
      </c>
      <c r="M256" t="str">
        <f t="shared" si="3"/>
        <v xml:space="preserve"> </v>
      </c>
    </row>
    <row r="257" spans="1:13" x14ac:dyDescent="0.35">
      <c r="A257" t="s">
        <v>1986</v>
      </c>
      <c r="B257" t="s">
        <v>4557</v>
      </c>
      <c r="C257" t="s">
        <v>3801</v>
      </c>
      <c r="D257" t="s">
        <v>2271</v>
      </c>
      <c r="E257" t="s">
        <v>3029</v>
      </c>
      <c r="F257" t="s">
        <v>1198</v>
      </c>
      <c r="G257" t="s">
        <v>1070</v>
      </c>
      <c r="H257" t="s">
        <v>1199</v>
      </c>
      <c r="I257" t="s">
        <v>74</v>
      </c>
      <c r="J257" s="3">
        <v>44903</v>
      </c>
      <c r="M257" t="str">
        <f t="shared" si="3"/>
        <v xml:space="preserve"> </v>
      </c>
    </row>
    <row r="258" spans="1:13" x14ac:dyDescent="0.35">
      <c r="A258" t="s">
        <v>1990</v>
      </c>
      <c r="B258" t="s">
        <v>4746</v>
      </c>
      <c r="C258" t="s">
        <v>3802</v>
      </c>
      <c r="D258" t="s">
        <v>2020</v>
      </c>
      <c r="E258" t="s">
        <v>3027</v>
      </c>
      <c r="F258" t="s">
        <v>1075</v>
      </c>
      <c r="G258" t="s">
        <v>1076</v>
      </c>
      <c r="H258">
        <v>12311</v>
      </c>
      <c r="I258" t="s">
        <v>80</v>
      </c>
      <c r="J258" s="3">
        <v>45119</v>
      </c>
      <c r="M258" t="str">
        <f t="shared" si="3"/>
        <v xml:space="preserve"> </v>
      </c>
    </row>
    <row r="259" spans="1:13" x14ac:dyDescent="0.35">
      <c r="A259" t="s">
        <v>1993</v>
      </c>
      <c r="B259" t="s">
        <v>4747</v>
      </c>
      <c r="C259" t="s">
        <v>3803</v>
      </c>
      <c r="D259" t="s">
        <v>2042</v>
      </c>
      <c r="E259" t="s">
        <v>3025</v>
      </c>
      <c r="F259" t="s">
        <v>1159</v>
      </c>
      <c r="G259" t="s">
        <v>73</v>
      </c>
      <c r="H259">
        <v>8008</v>
      </c>
      <c r="I259" t="s">
        <v>71</v>
      </c>
      <c r="J259" s="3">
        <v>44508</v>
      </c>
      <c r="M259" t="str">
        <f t="shared" si="3"/>
        <v xml:space="preserve"> </v>
      </c>
    </row>
    <row r="260" spans="1:13" x14ac:dyDescent="0.35">
      <c r="A260" t="s">
        <v>1996</v>
      </c>
      <c r="B260" t="s">
        <v>4748</v>
      </c>
      <c r="C260" t="s">
        <v>3804</v>
      </c>
      <c r="D260" t="s">
        <v>2039</v>
      </c>
      <c r="E260" t="s">
        <v>3023</v>
      </c>
      <c r="F260" t="s">
        <v>1170</v>
      </c>
      <c r="G260" t="s">
        <v>76</v>
      </c>
      <c r="H260" t="s">
        <v>1873</v>
      </c>
      <c r="I260" t="s">
        <v>74</v>
      </c>
      <c r="J260" s="3">
        <v>44812</v>
      </c>
      <c r="M260" t="str">
        <f t="shared" ref="M260:M323" si="4">V260&amp;" "&amp;W260</f>
        <v xml:space="preserve"> </v>
      </c>
    </row>
    <row r="261" spans="1:13" x14ac:dyDescent="0.35">
      <c r="A261" t="s">
        <v>1999</v>
      </c>
      <c r="B261" t="s">
        <v>4740</v>
      </c>
      <c r="C261" t="s">
        <v>3805</v>
      </c>
      <c r="D261" t="s">
        <v>1268</v>
      </c>
      <c r="E261" t="s">
        <v>3021</v>
      </c>
      <c r="F261" t="s">
        <v>72</v>
      </c>
      <c r="G261" t="s">
        <v>73</v>
      </c>
      <c r="H261">
        <v>28006</v>
      </c>
      <c r="I261" t="s">
        <v>80</v>
      </c>
      <c r="J261" s="3">
        <v>45095</v>
      </c>
      <c r="M261" t="str">
        <f t="shared" si="4"/>
        <v xml:space="preserve"> </v>
      </c>
    </row>
    <row r="262" spans="1:13" x14ac:dyDescent="0.35">
      <c r="A262" t="s">
        <v>2001</v>
      </c>
      <c r="B262" t="s">
        <v>4695</v>
      </c>
      <c r="C262" t="s">
        <v>3806</v>
      </c>
      <c r="D262" t="s">
        <v>2034</v>
      </c>
      <c r="E262" t="s">
        <v>3019</v>
      </c>
      <c r="F262" t="s">
        <v>90</v>
      </c>
      <c r="G262" t="s">
        <v>91</v>
      </c>
      <c r="H262">
        <v>10719</v>
      </c>
      <c r="I262" t="s">
        <v>71</v>
      </c>
      <c r="J262" s="3">
        <v>44552</v>
      </c>
      <c r="M262" t="str">
        <f t="shared" si="4"/>
        <v xml:space="preserve"> </v>
      </c>
    </row>
    <row r="263" spans="1:13" x14ac:dyDescent="0.35">
      <c r="A263" t="s">
        <v>2004</v>
      </c>
      <c r="B263" t="s">
        <v>4749</v>
      </c>
      <c r="C263" t="s">
        <v>3807</v>
      </c>
      <c r="D263" t="s">
        <v>3017</v>
      </c>
      <c r="E263" t="s">
        <v>2814</v>
      </c>
      <c r="F263" t="s">
        <v>1834</v>
      </c>
      <c r="G263" t="s">
        <v>70</v>
      </c>
      <c r="H263">
        <v>75202</v>
      </c>
      <c r="I263" t="s">
        <v>74</v>
      </c>
      <c r="J263" s="3">
        <v>44856</v>
      </c>
      <c r="M263" t="str">
        <f t="shared" si="4"/>
        <v xml:space="preserve"> </v>
      </c>
    </row>
    <row r="264" spans="1:13" x14ac:dyDescent="0.35">
      <c r="A264" t="s">
        <v>2007</v>
      </c>
      <c r="B264" t="s">
        <v>4750</v>
      </c>
      <c r="C264" t="s">
        <v>3808</v>
      </c>
      <c r="D264" t="s">
        <v>2456</v>
      </c>
      <c r="E264" t="s">
        <v>3015</v>
      </c>
      <c r="F264" t="s">
        <v>1299</v>
      </c>
      <c r="G264" t="s">
        <v>1090</v>
      </c>
      <c r="H264">
        <v>54810</v>
      </c>
      <c r="I264" t="s">
        <v>80</v>
      </c>
      <c r="J264" s="3">
        <v>45074</v>
      </c>
      <c r="M264" t="str">
        <f t="shared" si="4"/>
        <v xml:space="preserve"> </v>
      </c>
    </row>
    <row r="265" spans="1:13" x14ac:dyDescent="0.35">
      <c r="A265" t="s">
        <v>2010</v>
      </c>
      <c r="B265" t="s">
        <v>4751</v>
      </c>
      <c r="C265" t="s">
        <v>3809</v>
      </c>
      <c r="D265" t="s">
        <v>1514</v>
      </c>
      <c r="E265" t="s">
        <v>3013</v>
      </c>
      <c r="F265" t="s">
        <v>75</v>
      </c>
      <c r="G265" t="s">
        <v>76</v>
      </c>
      <c r="H265" t="s">
        <v>1767</v>
      </c>
      <c r="I265" t="s">
        <v>71</v>
      </c>
      <c r="J265" s="3">
        <v>44467</v>
      </c>
      <c r="M265" t="str">
        <f t="shared" si="4"/>
        <v xml:space="preserve"> </v>
      </c>
    </row>
    <row r="266" spans="1:13" x14ac:dyDescent="0.35">
      <c r="A266" t="s">
        <v>2013</v>
      </c>
      <c r="B266" t="s">
        <v>4752</v>
      </c>
      <c r="C266" t="s">
        <v>3810</v>
      </c>
      <c r="D266" t="s">
        <v>2250</v>
      </c>
      <c r="E266" t="s">
        <v>3011</v>
      </c>
      <c r="F266" t="s">
        <v>1129</v>
      </c>
      <c r="G266" t="s">
        <v>1070</v>
      </c>
      <c r="H266" t="s">
        <v>1130</v>
      </c>
      <c r="I266" t="s">
        <v>74</v>
      </c>
      <c r="J266" s="3">
        <v>44873</v>
      </c>
      <c r="M266" t="str">
        <f t="shared" si="4"/>
        <v xml:space="preserve"> </v>
      </c>
    </row>
    <row r="267" spans="1:13" x14ac:dyDescent="0.35">
      <c r="A267" t="s">
        <v>2016</v>
      </c>
      <c r="B267" t="s">
        <v>4753</v>
      </c>
      <c r="C267" t="s">
        <v>3811</v>
      </c>
      <c r="D267" t="s">
        <v>1966</v>
      </c>
      <c r="E267" t="s">
        <v>3009</v>
      </c>
      <c r="F267" t="s">
        <v>1075</v>
      </c>
      <c r="G267" t="s">
        <v>1076</v>
      </c>
      <c r="H267">
        <v>12311</v>
      </c>
      <c r="I267" t="s">
        <v>80</v>
      </c>
      <c r="J267" s="3">
        <v>45024</v>
      </c>
      <c r="M267" t="str">
        <f t="shared" si="4"/>
        <v xml:space="preserve"> </v>
      </c>
    </row>
    <row r="268" spans="1:13" x14ac:dyDescent="0.35">
      <c r="A268" t="s">
        <v>2019</v>
      </c>
      <c r="B268" t="s">
        <v>4754</v>
      </c>
      <c r="C268" t="s">
        <v>3812</v>
      </c>
      <c r="D268" t="s">
        <v>2017</v>
      </c>
      <c r="E268" t="s">
        <v>3007</v>
      </c>
      <c r="F268" t="s">
        <v>1159</v>
      </c>
      <c r="G268" t="s">
        <v>73</v>
      </c>
      <c r="H268">
        <v>8018</v>
      </c>
      <c r="I268" t="s">
        <v>71</v>
      </c>
      <c r="J268" s="3">
        <v>44487</v>
      </c>
      <c r="M268" t="str">
        <f t="shared" si="4"/>
        <v xml:space="preserve"> </v>
      </c>
    </row>
    <row r="269" spans="1:13" x14ac:dyDescent="0.35">
      <c r="A269" t="s">
        <v>2022</v>
      </c>
      <c r="B269" t="s">
        <v>4755</v>
      </c>
      <c r="C269" t="s">
        <v>3813</v>
      </c>
      <c r="D269" t="s">
        <v>2014</v>
      </c>
      <c r="E269" t="s">
        <v>3005</v>
      </c>
      <c r="F269" t="s">
        <v>1170</v>
      </c>
      <c r="G269" t="s">
        <v>76</v>
      </c>
      <c r="H269" t="s">
        <v>1171</v>
      </c>
      <c r="I269" t="s">
        <v>74</v>
      </c>
      <c r="J269" s="3">
        <v>44907</v>
      </c>
      <c r="M269" t="str">
        <f t="shared" si="4"/>
        <v xml:space="preserve"> </v>
      </c>
    </row>
    <row r="270" spans="1:13" x14ac:dyDescent="0.35">
      <c r="A270" t="s">
        <v>2025</v>
      </c>
      <c r="B270" t="s">
        <v>4756</v>
      </c>
      <c r="C270" t="s">
        <v>3814</v>
      </c>
      <c r="D270" t="s">
        <v>2011</v>
      </c>
      <c r="E270" t="s">
        <v>3003</v>
      </c>
      <c r="F270" t="s">
        <v>72</v>
      </c>
      <c r="G270" t="s">
        <v>73</v>
      </c>
      <c r="H270">
        <v>28001</v>
      </c>
      <c r="I270" t="s">
        <v>80</v>
      </c>
      <c r="J270" s="3">
        <v>45013</v>
      </c>
      <c r="M270" t="str">
        <f t="shared" si="4"/>
        <v xml:space="preserve"> </v>
      </c>
    </row>
    <row r="271" spans="1:13" x14ac:dyDescent="0.35">
      <c r="A271" t="s">
        <v>2027</v>
      </c>
      <c r="B271" t="s">
        <v>4649</v>
      </c>
      <c r="C271" t="s">
        <v>3815</v>
      </c>
      <c r="D271" t="s">
        <v>2008</v>
      </c>
      <c r="E271" t="s">
        <v>3001</v>
      </c>
      <c r="F271" t="s">
        <v>90</v>
      </c>
      <c r="G271" t="s">
        <v>91</v>
      </c>
      <c r="H271">
        <v>10178</v>
      </c>
      <c r="I271" t="s">
        <v>71</v>
      </c>
      <c r="J271" s="3">
        <v>44518</v>
      </c>
      <c r="M271" t="str">
        <f t="shared" si="4"/>
        <v xml:space="preserve"> </v>
      </c>
    </row>
    <row r="272" spans="1:13" x14ac:dyDescent="0.35">
      <c r="A272" t="s">
        <v>2030</v>
      </c>
      <c r="B272" t="s">
        <v>4757</v>
      </c>
      <c r="C272" t="s">
        <v>3816</v>
      </c>
      <c r="D272" t="s">
        <v>2998</v>
      </c>
      <c r="E272" t="s">
        <v>2999</v>
      </c>
      <c r="F272" t="s">
        <v>1404</v>
      </c>
      <c r="G272" t="s">
        <v>70</v>
      </c>
      <c r="H272">
        <v>33139</v>
      </c>
      <c r="I272" t="s">
        <v>74</v>
      </c>
      <c r="J272" s="3">
        <v>44829</v>
      </c>
      <c r="M272" t="str">
        <f t="shared" si="4"/>
        <v xml:space="preserve"> </v>
      </c>
    </row>
    <row r="273" spans="1:13" x14ac:dyDescent="0.35">
      <c r="A273" t="s">
        <v>2033</v>
      </c>
      <c r="B273" t="s">
        <v>4758</v>
      </c>
      <c r="C273" t="s">
        <v>3817</v>
      </c>
      <c r="D273" t="s">
        <v>2436</v>
      </c>
      <c r="E273" t="s">
        <v>2996</v>
      </c>
      <c r="F273" t="s">
        <v>78</v>
      </c>
      <c r="G273" t="s">
        <v>79</v>
      </c>
      <c r="H273">
        <v>123456</v>
      </c>
      <c r="I273" t="s">
        <v>80</v>
      </c>
      <c r="J273" s="3">
        <v>44969</v>
      </c>
      <c r="M273" t="str">
        <f t="shared" si="4"/>
        <v xml:space="preserve"> </v>
      </c>
    </row>
    <row r="274" spans="1:13" x14ac:dyDescent="0.35">
      <c r="A274" t="s">
        <v>2036</v>
      </c>
      <c r="B274" t="s">
        <v>4759</v>
      </c>
      <c r="C274" t="s">
        <v>3818</v>
      </c>
      <c r="D274" t="s">
        <v>1487</v>
      </c>
      <c r="E274" t="s">
        <v>2994</v>
      </c>
      <c r="F274" t="s">
        <v>75</v>
      </c>
      <c r="G274" t="s">
        <v>76</v>
      </c>
      <c r="H274" t="s">
        <v>1385</v>
      </c>
      <c r="I274" t="s">
        <v>71</v>
      </c>
      <c r="J274" s="3">
        <v>44542</v>
      </c>
      <c r="M274" t="str">
        <f t="shared" si="4"/>
        <v xml:space="preserve"> </v>
      </c>
    </row>
    <row r="275" spans="1:13" x14ac:dyDescent="0.35">
      <c r="A275" t="s">
        <v>2038</v>
      </c>
      <c r="B275" t="s">
        <v>4760</v>
      </c>
      <c r="C275" t="s">
        <v>3819</v>
      </c>
      <c r="D275" t="s">
        <v>2229</v>
      </c>
      <c r="E275" t="s">
        <v>2992</v>
      </c>
      <c r="F275" t="s">
        <v>1198</v>
      </c>
      <c r="G275" t="s">
        <v>1070</v>
      </c>
      <c r="H275" t="s">
        <v>1199</v>
      </c>
      <c r="I275" t="s">
        <v>74</v>
      </c>
      <c r="J275" s="3">
        <v>44862</v>
      </c>
      <c r="M275" t="str">
        <f t="shared" si="4"/>
        <v xml:space="preserve"> </v>
      </c>
    </row>
    <row r="276" spans="1:13" x14ac:dyDescent="0.35">
      <c r="A276" t="s">
        <v>2041</v>
      </c>
      <c r="B276" t="s">
        <v>4761</v>
      </c>
      <c r="C276" t="s">
        <v>3820</v>
      </c>
      <c r="D276" t="s">
        <v>1908</v>
      </c>
      <c r="E276" t="s">
        <v>2990</v>
      </c>
      <c r="F276" t="s">
        <v>1075</v>
      </c>
      <c r="G276" t="s">
        <v>1076</v>
      </c>
      <c r="H276">
        <v>11341</v>
      </c>
      <c r="I276" t="s">
        <v>80</v>
      </c>
      <c r="J276" s="3">
        <v>44948</v>
      </c>
      <c r="M276" t="str">
        <f t="shared" si="4"/>
        <v xml:space="preserve"> </v>
      </c>
    </row>
    <row r="277" spans="1:13" x14ac:dyDescent="0.35">
      <c r="A277" t="s">
        <v>2044</v>
      </c>
      <c r="B277" t="s">
        <v>4762</v>
      </c>
      <c r="C277" t="s">
        <v>3821</v>
      </c>
      <c r="D277" t="s">
        <v>1991</v>
      </c>
      <c r="E277" t="s">
        <v>2988</v>
      </c>
      <c r="F277" t="s">
        <v>1159</v>
      </c>
      <c r="G277" t="s">
        <v>73</v>
      </c>
      <c r="H277">
        <v>8008</v>
      </c>
      <c r="I277" t="s">
        <v>71</v>
      </c>
      <c r="J277" s="3">
        <v>44454</v>
      </c>
      <c r="M277" t="str">
        <f t="shared" si="4"/>
        <v xml:space="preserve"> </v>
      </c>
    </row>
    <row r="278" spans="1:13" x14ac:dyDescent="0.35">
      <c r="A278" t="s">
        <v>2047</v>
      </c>
      <c r="B278" t="s">
        <v>4732</v>
      </c>
      <c r="C278" t="s">
        <v>3822</v>
      </c>
      <c r="D278" t="s">
        <v>1987</v>
      </c>
      <c r="E278" t="s">
        <v>2986</v>
      </c>
      <c r="F278" t="s">
        <v>1170</v>
      </c>
      <c r="G278" t="s">
        <v>76</v>
      </c>
      <c r="H278" t="s">
        <v>1989</v>
      </c>
      <c r="I278" t="s">
        <v>74</v>
      </c>
      <c r="J278" s="3">
        <v>44877</v>
      </c>
      <c r="M278" t="str">
        <f t="shared" si="4"/>
        <v xml:space="preserve"> </v>
      </c>
    </row>
    <row r="279" spans="1:13" x14ac:dyDescent="0.35">
      <c r="A279" t="s">
        <v>2050</v>
      </c>
      <c r="B279" t="s">
        <v>4763</v>
      </c>
      <c r="C279" t="s">
        <v>3823</v>
      </c>
      <c r="D279" t="s">
        <v>1984</v>
      </c>
      <c r="E279" t="s">
        <v>2984</v>
      </c>
      <c r="F279" t="s">
        <v>72</v>
      </c>
      <c r="G279" t="s">
        <v>73</v>
      </c>
      <c r="H279">
        <v>28006</v>
      </c>
      <c r="I279" t="s">
        <v>80</v>
      </c>
      <c r="J279" s="3">
        <v>45272</v>
      </c>
      <c r="M279" t="str">
        <f t="shared" si="4"/>
        <v xml:space="preserve"> </v>
      </c>
    </row>
    <row r="280" spans="1:13" x14ac:dyDescent="0.35">
      <c r="A280" t="s">
        <v>2053</v>
      </c>
      <c r="B280" t="s">
        <v>4764</v>
      </c>
      <c r="C280" t="s">
        <v>3824</v>
      </c>
      <c r="D280" t="s">
        <v>1981</v>
      </c>
      <c r="E280" t="s">
        <v>2982</v>
      </c>
      <c r="F280" t="s">
        <v>90</v>
      </c>
      <c r="G280" t="s">
        <v>91</v>
      </c>
      <c r="H280">
        <v>10785</v>
      </c>
      <c r="I280" t="s">
        <v>71</v>
      </c>
      <c r="J280" s="3">
        <v>44497</v>
      </c>
      <c r="M280" t="str">
        <f t="shared" si="4"/>
        <v xml:space="preserve"> </v>
      </c>
    </row>
    <row r="281" spans="1:13" x14ac:dyDescent="0.35">
      <c r="A281" t="s">
        <v>2056</v>
      </c>
      <c r="B281" t="s">
        <v>4765</v>
      </c>
      <c r="C281" t="s">
        <v>3825</v>
      </c>
      <c r="D281" t="s">
        <v>2979</v>
      </c>
      <c r="E281" t="s">
        <v>2980</v>
      </c>
      <c r="F281" t="s">
        <v>1512</v>
      </c>
      <c r="G281" t="s">
        <v>70</v>
      </c>
      <c r="H281">
        <v>77002</v>
      </c>
      <c r="I281" t="s">
        <v>74</v>
      </c>
      <c r="J281" s="3">
        <v>44917</v>
      </c>
      <c r="M281" t="str">
        <f t="shared" si="4"/>
        <v xml:space="preserve"> </v>
      </c>
    </row>
    <row r="282" spans="1:13" x14ac:dyDescent="0.35">
      <c r="A282" t="s">
        <v>2059</v>
      </c>
      <c r="B282" t="s">
        <v>4766</v>
      </c>
      <c r="C282" t="s">
        <v>3826</v>
      </c>
      <c r="D282" t="s">
        <v>2416</v>
      </c>
      <c r="E282" t="s">
        <v>2977</v>
      </c>
      <c r="F282" t="s">
        <v>1089</v>
      </c>
      <c r="G282" t="s">
        <v>1090</v>
      </c>
      <c r="H282">
        <v>75600</v>
      </c>
      <c r="I282" t="s">
        <v>80</v>
      </c>
      <c r="J282" s="3">
        <v>45238</v>
      </c>
      <c r="M282" t="str">
        <f t="shared" si="4"/>
        <v xml:space="preserve"> </v>
      </c>
    </row>
    <row r="283" spans="1:13" x14ac:dyDescent="0.35">
      <c r="A283" t="s">
        <v>2062</v>
      </c>
      <c r="B283" t="s">
        <v>4767</v>
      </c>
      <c r="C283" t="s">
        <v>3827</v>
      </c>
      <c r="D283" t="s">
        <v>1460</v>
      </c>
      <c r="E283" t="s">
        <v>2975</v>
      </c>
      <c r="F283" t="s">
        <v>75</v>
      </c>
      <c r="G283" t="s">
        <v>76</v>
      </c>
      <c r="H283" t="s">
        <v>1767</v>
      </c>
      <c r="I283" t="s">
        <v>71</v>
      </c>
      <c r="J283" s="3">
        <v>44512</v>
      </c>
      <c r="M283" t="str">
        <f t="shared" si="4"/>
        <v xml:space="preserve"> </v>
      </c>
    </row>
    <row r="284" spans="1:13" x14ac:dyDescent="0.35">
      <c r="A284" t="s">
        <v>2064</v>
      </c>
      <c r="B284" t="s">
        <v>4691</v>
      </c>
      <c r="C284" t="s">
        <v>3828</v>
      </c>
      <c r="D284" t="s">
        <v>2208</v>
      </c>
      <c r="E284" t="s">
        <v>2973</v>
      </c>
      <c r="F284" t="s">
        <v>1129</v>
      </c>
      <c r="G284" t="s">
        <v>1070</v>
      </c>
      <c r="H284" t="s">
        <v>1883</v>
      </c>
      <c r="I284" t="s">
        <v>74</v>
      </c>
      <c r="J284" s="3">
        <v>44816</v>
      </c>
      <c r="M284" t="str">
        <f t="shared" si="4"/>
        <v xml:space="preserve"> </v>
      </c>
    </row>
    <row r="285" spans="1:13" x14ac:dyDescent="0.35">
      <c r="A285" t="s">
        <v>2067</v>
      </c>
      <c r="B285" t="s">
        <v>4768</v>
      </c>
      <c r="C285" t="s">
        <v>3829</v>
      </c>
      <c r="D285" t="s">
        <v>1859</v>
      </c>
      <c r="E285" t="s">
        <v>2971</v>
      </c>
      <c r="F285" t="s">
        <v>1166</v>
      </c>
      <c r="G285" t="s">
        <v>1076</v>
      </c>
      <c r="H285">
        <v>21599</v>
      </c>
      <c r="I285" t="s">
        <v>80</v>
      </c>
      <c r="J285" s="3">
        <v>45217</v>
      </c>
      <c r="M285" t="str">
        <f t="shared" si="4"/>
        <v xml:space="preserve"> </v>
      </c>
    </row>
    <row r="286" spans="1:13" x14ac:dyDescent="0.35">
      <c r="A286" t="s">
        <v>2070</v>
      </c>
      <c r="B286" t="s">
        <v>4769</v>
      </c>
      <c r="C286" t="s">
        <v>3830</v>
      </c>
      <c r="D286" t="s">
        <v>1963</v>
      </c>
      <c r="E286" t="s">
        <v>2969</v>
      </c>
      <c r="F286" t="s">
        <v>1159</v>
      </c>
      <c r="G286" t="s">
        <v>73</v>
      </c>
      <c r="H286">
        <v>8018</v>
      </c>
      <c r="I286" t="s">
        <v>71</v>
      </c>
      <c r="J286" s="3">
        <v>44545</v>
      </c>
      <c r="M286" t="str">
        <f t="shared" si="4"/>
        <v xml:space="preserve"> </v>
      </c>
    </row>
    <row r="287" spans="1:13" x14ac:dyDescent="0.35">
      <c r="A287" t="s">
        <v>2073</v>
      </c>
      <c r="B287" t="s">
        <v>4770</v>
      </c>
      <c r="C287" t="s">
        <v>3831</v>
      </c>
      <c r="D287" t="s">
        <v>1960</v>
      </c>
      <c r="E287" t="s">
        <v>2967</v>
      </c>
      <c r="F287" t="s">
        <v>1170</v>
      </c>
      <c r="G287" t="s">
        <v>76</v>
      </c>
      <c r="H287" t="s">
        <v>1873</v>
      </c>
      <c r="I287" t="s">
        <v>74</v>
      </c>
      <c r="J287" s="3">
        <v>44852</v>
      </c>
      <c r="M287" t="str">
        <f t="shared" si="4"/>
        <v xml:space="preserve"> </v>
      </c>
    </row>
    <row r="288" spans="1:13" x14ac:dyDescent="0.35">
      <c r="A288" t="s">
        <v>2076</v>
      </c>
      <c r="B288" t="s">
        <v>4771</v>
      </c>
      <c r="C288" t="s">
        <v>3832</v>
      </c>
      <c r="D288" t="s">
        <v>1957</v>
      </c>
      <c r="E288" t="s">
        <v>2965</v>
      </c>
      <c r="F288" t="s">
        <v>72</v>
      </c>
      <c r="G288" t="s">
        <v>73</v>
      </c>
      <c r="H288">
        <v>28001</v>
      </c>
      <c r="I288" t="s">
        <v>80</v>
      </c>
      <c r="J288" s="3">
        <v>45177</v>
      </c>
      <c r="M288" t="str">
        <f t="shared" si="4"/>
        <v xml:space="preserve"> </v>
      </c>
    </row>
    <row r="289" spans="1:13" x14ac:dyDescent="0.35">
      <c r="A289" t="s">
        <v>2078</v>
      </c>
      <c r="B289" t="s">
        <v>4772</v>
      </c>
      <c r="C289" t="s">
        <v>3833</v>
      </c>
      <c r="D289" t="s">
        <v>1954</v>
      </c>
      <c r="E289" t="s">
        <v>2963</v>
      </c>
      <c r="F289" t="s">
        <v>90</v>
      </c>
      <c r="G289" t="s">
        <v>91</v>
      </c>
      <c r="H289">
        <v>10178</v>
      </c>
      <c r="I289" t="s">
        <v>71</v>
      </c>
      <c r="J289" s="3">
        <v>44461</v>
      </c>
      <c r="M289" t="str">
        <f t="shared" si="4"/>
        <v xml:space="preserve"> </v>
      </c>
    </row>
    <row r="290" spans="1:13" x14ac:dyDescent="0.35">
      <c r="A290" t="s">
        <v>2081</v>
      </c>
      <c r="B290" t="s">
        <v>4609</v>
      </c>
      <c r="C290" t="s">
        <v>3834</v>
      </c>
      <c r="D290" t="s">
        <v>2960</v>
      </c>
      <c r="E290" t="s">
        <v>2961</v>
      </c>
      <c r="F290" t="s">
        <v>1864</v>
      </c>
      <c r="G290" t="s">
        <v>70</v>
      </c>
      <c r="H290">
        <v>30303</v>
      </c>
      <c r="I290" t="s">
        <v>74</v>
      </c>
      <c r="J290" s="3">
        <v>44887</v>
      </c>
      <c r="M290" t="str">
        <f t="shared" si="4"/>
        <v xml:space="preserve"> </v>
      </c>
    </row>
    <row r="291" spans="1:13" x14ac:dyDescent="0.35">
      <c r="A291" t="s">
        <v>2084</v>
      </c>
      <c r="B291" t="s">
        <v>4556</v>
      </c>
      <c r="C291" t="s">
        <v>3835</v>
      </c>
      <c r="D291" t="s">
        <v>2396</v>
      </c>
      <c r="E291" t="s">
        <v>2958</v>
      </c>
      <c r="F291" t="s">
        <v>1299</v>
      </c>
      <c r="G291" t="s">
        <v>1090</v>
      </c>
      <c r="H291">
        <v>54810</v>
      </c>
      <c r="I291" t="s">
        <v>80</v>
      </c>
      <c r="J291" s="3">
        <v>45160</v>
      </c>
      <c r="M291" t="str">
        <f t="shared" si="4"/>
        <v xml:space="preserve"> </v>
      </c>
    </row>
    <row r="292" spans="1:13" x14ac:dyDescent="0.35">
      <c r="A292" t="s">
        <v>2087</v>
      </c>
      <c r="B292" t="s">
        <v>4773</v>
      </c>
      <c r="C292" t="s">
        <v>3836</v>
      </c>
      <c r="D292" t="s">
        <v>1914</v>
      </c>
      <c r="E292" t="s">
        <v>2956</v>
      </c>
      <c r="F292" t="s">
        <v>75</v>
      </c>
      <c r="G292" t="s">
        <v>76</v>
      </c>
      <c r="H292" t="s">
        <v>1385</v>
      </c>
      <c r="I292" t="s">
        <v>71</v>
      </c>
      <c r="J292" s="3">
        <v>44477</v>
      </c>
      <c r="M292" t="str">
        <f t="shared" si="4"/>
        <v xml:space="preserve"> </v>
      </c>
    </row>
    <row r="293" spans="1:13" x14ac:dyDescent="0.35">
      <c r="A293" t="s">
        <v>2089</v>
      </c>
      <c r="B293" t="s">
        <v>4774</v>
      </c>
      <c r="C293" t="s">
        <v>3837</v>
      </c>
      <c r="D293" t="s">
        <v>2187</v>
      </c>
      <c r="E293" t="s">
        <v>2954</v>
      </c>
      <c r="F293" t="s">
        <v>1198</v>
      </c>
      <c r="G293" t="s">
        <v>1070</v>
      </c>
      <c r="H293" t="s">
        <v>1199</v>
      </c>
      <c r="I293" t="s">
        <v>74</v>
      </c>
      <c r="J293" s="3">
        <v>44907</v>
      </c>
      <c r="M293" t="str">
        <f t="shared" si="4"/>
        <v xml:space="preserve"> </v>
      </c>
    </row>
    <row r="294" spans="1:13" x14ac:dyDescent="0.35">
      <c r="A294" t="s">
        <v>2092</v>
      </c>
      <c r="B294" t="s">
        <v>4775</v>
      </c>
      <c r="C294" t="s">
        <v>3838</v>
      </c>
      <c r="D294" t="s">
        <v>1819</v>
      </c>
      <c r="E294" t="s">
        <v>2952</v>
      </c>
      <c r="F294" t="s">
        <v>1075</v>
      </c>
      <c r="G294" t="s">
        <v>1076</v>
      </c>
      <c r="H294">
        <v>12311</v>
      </c>
      <c r="I294" t="s">
        <v>80</v>
      </c>
      <c r="J294" s="3">
        <v>45135</v>
      </c>
      <c r="M294" t="str">
        <f t="shared" si="4"/>
        <v xml:space="preserve"> </v>
      </c>
    </row>
    <row r="295" spans="1:13" x14ac:dyDescent="0.35">
      <c r="A295" t="s">
        <v>2094</v>
      </c>
      <c r="B295" t="s">
        <v>4541</v>
      </c>
      <c r="C295" t="s">
        <v>3839</v>
      </c>
      <c r="D295" t="s">
        <v>1934</v>
      </c>
      <c r="E295" t="s">
        <v>2950</v>
      </c>
      <c r="F295" t="s">
        <v>1159</v>
      </c>
      <c r="G295" t="s">
        <v>73</v>
      </c>
      <c r="H295">
        <v>8008</v>
      </c>
      <c r="I295" t="s">
        <v>71</v>
      </c>
      <c r="J295" s="3">
        <v>44528</v>
      </c>
      <c r="M295" t="str">
        <f t="shared" si="4"/>
        <v xml:space="preserve"> </v>
      </c>
    </row>
    <row r="296" spans="1:13" x14ac:dyDescent="0.35">
      <c r="A296" t="s">
        <v>2097</v>
      </c>
      <c r="B296" t="s">
        <v>4776</v>
      </c>
      <c r="C296" t="s">
        <v>3840</v>
      </c>
      <c r="D296" t="s">
        <v>1930</v>
      </c>
      <c r="E296" t="s">
        <v>2948</v>
      </c>
      <c r="F296" t="s">
        <v>1170</v>
      </c>
      <c r="G296" t="s">
        <v>76</v>
      </c>
      <c r="H296" t="s">
        <v>1171</v>
      </c>
      <c r="I296" t="s">
        <v>74</v>
      </c>
      <c r="J296" s="3">
        <v>44832</v>
      </c>
      <c r="M296" t="str">
        <f t="shared" si="4"/>
        <v xml:space="preserve"> </v>
      </c>
    </row>
    <row r="297" spans="1:13" x14ac:dyDescent="0.35">
      <c r="A297" t="s">
        <v>2100</v>
      </c>
      <c r="B297" t="s">
        <v>4777</v>
      </c>
      <c r="C297" t="s">
        <v>3841</v>
      </c>
      <c r="D297" t="s">
        <v>1927</v>
      </c>
      <c r="E297" t="s">
        <v>2946</v>
      </c>
      <c r="F297" t="s">
        <v>72</v>
      </c>
      <c r="G297" t="s">
        <v>73</v>
      </c>
      <c r="H297">
        <v>28006</v>
      </c>
      <c r="I297" t="s">
        <v>80</v>
      </c>
      <c r="J297" s="3">
        <v>45085</v>
      </c>
      <c r="M297" t="str">
        <f t="shared" si="4"/>
        <v xml:space="preserve"> </v>
      </c>
    </row>
    <row r="298" spans="1:13" x14ac:dyDescent="0.35">
      <c r="A298" t="s">
        <v>2103</v>
      </c>
      <c r="B298" t="s">
        <v>4778</v>
      </c>
      <c r="C298" t="s">
        <v>3842</v>
      </c>
      <c r="D298" t="s">
        <v>1924</v>
      </c>
      <c r="E298" t="s">
        <v>2944</v>
      </c>
      <c r="F298" t="s">
        <v>90</v>
      </c>
      <c r="G298" t="s">
        <v>91</v>
      </c>
      <c r="H298">
        <v>10117</v>
      </c>
      <c r="I298" t="s">
        <v>71</v>
      </c>
      <c r="J298" s="3">
        <v>44552</v>
      </c>
      <c r="M298" t="str">
        <f t="shared" si="4"/>
        <v xml:space="preserve"> </v>
      </c>
    </row>
    <row r="299" spans="1:13" x14ac:dyDescent="0.35">
      <c r="A299" t="s">
        <v>2106</v>
      </c>
      <c r="B299" t="s">
        <v>1890</v>
      </c>
      <c r="C299" t="s">
        <v>3843</v>
      </c>
      <c r="D299" t="s">
        <v>2941</v>
      </c>
      <c r="E299" t="s">
        <v>2942</v>
      </c>
      <c r="F299" t="s">
        <v>1922</v>
      </c>
      <c r="G299" t="s">
        <v>70</v>
      </c>
      <c r="H299">
        <v>19106</v>
      </c>
      <c r="I299" t="s">
        <v>74</v>
      </c>
      <c r="J299" s="3">
        <v>44842</v>
      </c>
      <c r="M299" t="str">
        <f t="shared" si="4"/>
        <v xml:space="preserve"> </v>
      </c>
    </row>
    <row r="300" spans="1:13" x14ac:dyDescent="0.35">
      <c r="A300" t="s">
        <v>2109</v>
      </c>
      <c r="B300" t="s">
        <v>4779</v>
      </c>
      <c r="C300" t="s">
        <v>3844</v>
      </c>
      <c r="D300" t="s">
        <v>2376</v>
      </c>
      <c r="E300" t="s">
        <v>2939</v>
      </c>
      <c r="F300" t="s">
        <v>78</v>
      </c>
      <c r="G300" t="s">
        <v>79</v>
      </c>
      <c r="H300">
        <v>123456</v>
      </c>
      <c r="I300" t="s">
        <v>80</v>
      </c>
      <c r="J300" s="3">
        <v>45061</v>
      </c>
      <c r="M300" t="str">
        <f t="shared" si="4"/>
        <v xml:space="preserve"> </v>
      </c>
    </row>
    <row r="301" spans="1:13" x14ac:dyDescent="0.35">
      <c r="A301" t="s">
        <v>2112</v>
      </c>
      <c r="B301" t="s">
        <v>4780</v>
      </c>
      <c r="C301" t="s">
        <v>3845</v>
      </c>
      <c r="D301" t="s">
        <v>1885</v>
      </c>
      <c r="E301" t="s">
        <v>2937</v>
      </c>
      <c r="F301" t="s">
        <v>75</v>
      </c>
      <c r="G301" t="s">
        <v>76</v>
      </c>
      <c r="H301" t="s">
        <v>1767</v>
      </c>
      <c r="I301" t="s">
        <v>71</v>
      </c>
      <c r="J301" s="3">
        <v>44451</v>
      </c>
      <c r="M301" t="str">
        <f t="shared" si="4"/>
        <v xml:space="preserve"> </v>
      </c>
    </row>
    <row r="302" spans="1:13" x14ac:dyDescent="0.35">
      <c r="A302" t="s">
        <v>2114</v>
      </c>
      <c r="B302" t="s">
        <v>4781</v>
      </c>
      <c r="C302" t="s">
        <v>3846</v>
      </c>
      <c r="D302" t="s">
        <v>2166</v>
      </c>
      <c r="E302" t="s">
        <v>2935</v>
      </c>
      <c r="F302" t="s">
        <v>1129</v>
      </c>
      <c r="G302" t="s">
        <v>1070</v>
      </c>
      <c r="H302" t="s">
        <v>1130</v>
      </c>
      <c r="I302" t="s">
        <v>74</v>
      </c>
      <c r="J302" s="3">
        <v>44883</v>
      </c>
      <c r="M302" t="str">
        <f t="shared" si="4"/>
        <v xml:space="preserve"> </v>
      </c>
    </row>
    <row r="303" spans="1:13" x14ac:dyDescent="0.35">
      <c r="A303" t="s">
        <v>2116</v>
      </c>
      <c r="B303" t="s">
        <v>4782</v>
      </c>
      <c r="C303" t="s">
        <v>3847</v>
      </c>
      <c r="D303" t="s">
        <v>1758</v>
      </c>
      <c r="E303" t="s">
        <v>2933</v>
      </c>
      <c r="F303" t="s">
        <v>1075</v>
      </c>
      <c r="G303" t="s">
        <v>1076</v>
      </c>
      <c r="H303">
        <v>12311</v>
      </c>
      <c r="I303" t="s">
        <v>80</v>
      </c>
      <c r="J303" s="3">
        <v>45044</v>
      </c>
      <c r="M303" t="str">
        <f t="shared" si="4"/>
        <v xml:space="preserve"> </v>
      </c>
    </row>
    <row r="304" spans="1:13" x14ac:dyDescent="0.35">
      <c r="A304" t="s">
        <v>2118</v>
      </c>
      <c r="B304" t="s">
        <v>4783</v>
      </c>
      <c r="C304" t="s">
        <v>3848</v>
      </c>
      <c r="D304" t="s">
        <v>1898</v>
      </c>
      <c r="E304" t="s">
        <v>2931</v>
      </c>
      <c r="F304" t="s">
        <v>1159</v>
      </c>
      <c r="G304" t="s">
        <v>73</v>
      </c>
      <c r="H304">
        <v>8018</v>
      </c>
      <c r="I304" t="s">
        <v>71</v>
      </c>
      <c r="J304" s="3">
        <v>44481</v>
      </c>
      <c r="M304" t="str">
        <f t="shared" si="4"/>
        <v xml:space="preserve"> </v>
      </c>
    </row>
    <row r="305" spans="1:13" x14ac:dyDescent="0.35">
      <c r="A305" t="s">
        <v>2121</v>
      </c>
      <c r="B305" t="s">
        <v>4535</v>
      </c>
      <c r="C305" t="s">
        <v>3849</v>
      </c>
      <c r="D305" t="s">
        <v>1871</v>
      </c>
      <c r="E305" t="s">
        <v>2929</v>
      </c>
      <c r="F305" t="s">
        <v>1170</v>
      </c>
      <c r="G305" t="s">
        <v>76</v>
      </c>
      <c r="H305" t="s">
        <v>1989</v>
      </c>
      <c r="I305" t="s">
        <v>74</v>
      </c>
      <c r="J305" s="3">
        <v>44903</v>
      </c>
      <c r="M305" t="str">
        <f t="shared" si="4"/>
        <v xml:space="preserve"> </v>
      </c>
    </row>
    <row r="306" spans="1:13" x14ac:dyDescent="0.35">
      <c r="A306" t="s">
        <v>2124</v>
      </c>
      <c r="B306" t="s">
        <v>4784</v>
      </c>
      <c r="C306" t="s">
        <v>3850</v>
      </c>
      <c r="D306" t="s">
        <v>1905</v>
      </c>
      <c r="E306" t="s">
        <v>2927</v>
      </c>
      <c r="F306" t="s">
        <v>72</v>
      </c>
      <c r="G306" t="s">
        <v>73</v>
      </c>
      <c r="H306">
        <v>28001</v>
      </c>
      <c r="I306" t="s">
        <v>80</v>
      </c>
      <c r="J306" s="3">
        <v>45000</v>
      </c>
      <c r="M306" t="str">
        <f t="shared" si="4"/>
        <v xml:space="preserve"> </v>
      </c>
    </row>
    <row r="307" spans="1:13" x14ac:dyDescent="0.35">
      <c r="A307" t="s">
        <v>2127</v>
      </c>
      <c r="B307" t="s">
        <v>4785</v>
      </c>
      <c r="C307" t="s">
        <v>3851</v>
      </c>
      <c r="D307" t="s">
        <v>1895</v>
      </c>
      <c r="E307" t="s">
        <v>2925</v>
      </c>
      <c r="F307" t="s">
        <v>90</v>
      </c>
      <c r="G307" t="s">
        <v>91</v>
      </c>
      <c r="H307">
        <v>10785</v>
      </c>
      <c r="I307" t="s">
        <v>71</v>
      </c>
      <c r="J307" s="3">
        <v>44522</v>
      </c>
      <c r="M307" t="str">
        <f t="shared" si="4"/>
        <v xml:space="preserve"> </v>
      </c>
    </row>
    <row r="308" spans="1:13" x14ac:dyDescent="0.35">
      <c r="A308" t="s">
        <v>2130</v>
      </c>
      <c r="B308" t="s">
        <v>4786</v>
      </c>
      <c r="C308" t="s">
        <v>3852</v>
      </c>
      <c r="D308" t="s">
        <v>2923</v>
      </c>
      <c r="E308" t="s">
        <v>2739</v>
      </c>
      <c r="F308" t="s">
        <v>1834</v>
      </c>
      <c r="G308" t="s">
        <v>70</v>
      </c>
      <c r="H308">
        <v>75202</v>
      </c>
      <c r="I308" t="s">
        <v>74</v>
      </c>
      <c r="J308" s="3">
        <v>44819</v>
      </c>
      <c r="M308" t="str">
        <f t="shared" si="4"/>
        <v xml:space="preserve"> </v>
      </c>
    </row>
    <row r="309" spans="1:13" x14ac:dyDescent="0.35">
      <c r="A309" t="s">
        <v>2133</v>
      </c>
      <c r="B309" t="s">
        <v>4760</v>
      </c>
      <c r="C309" t="s">
        <v>3853</v>
      </c>
      <c r="D309" t="s">
        <v>2356</v>
      </c>
      <c r="E309" t="s">
        <v>2921</v>
      </c>
      <c r="F309" t="s">
        <v>1089</v>
      </c>
      <c r="G309" t="s">
        <v>1090</v>
      </c>
      <c r="H309">
        <v>75600</v>
      </c>
      <c r="I309" t="s">
        <v>80</v>
      </c>
      <c r="J309" s="3">
        <v>44985</v>
      </c>
      <c r="M309" t="str">
        <f t="shared" si="4"/>
        <v xml:space="preserve"> </v>
      </c>
    </row>
    <row r="310" spans="1:13" x14ac:dyDescent="0.35">
      <c r="A310" t="s">
        <v>2135</v>
      </c>
      <c r="B310" t="s">
        <v>4787</v>
      </c>
      <c r="C310" t="s">
        <v>3854</v>
      </c>
      <c r="D310" t="s">
        <v>1383</v>
      </c>
      <c r="E310" t="s">
        <v>2919</v>
      </c>
      <c r="F310" t="s">
        <v>75</v>
      </c>
      <c r="G310" t="s">
        <v>76</v>
      </c>
      <c r="H310" t="s">
        <v>1385</v>
      </c>
      <c r="I310" t="s">
        <v>71</v>
      </c>
      <c r="J310" s="3">
        <v>44558</v>
      </c>
      <c r="M310" t="str">
        <f t="shared" si="4"/>
        <v xml:space="preserve"> </v>
      </c>
    </row>
    <row r="311" spans="1:13" x14ac:dyDescent="0.35">
      <c r="A311" t="s">
        <v>2137</v>
      </c>
      <c r="B311" t="s">
        <v>4788</v>
      </c>
      <c r="C311" t="s">
        <v>3855</v>
      </c>
      <c r="D311" t="s">
        <v>2145</v>
      </c>
      <c r="E311" t="s">
        <v>2917</v>
      </c>
      <c r="F311" t="s">
        <v>1198</v>
      </c>
      <c r="G311" t="s">
        <v>1070</v>
      </c>
      <c r="H311" t="s">
        <v>1199</v>
      </c>
      <c r="I311" t="s">
        <v>74</v>
      </c>
      <c r="J311" s="3">
        <v>44856</v>
      </c>
      <c r="M311" t="str">
        <f t="shared" si="4"/>
        <v xml:space="preserve"> </v>
      </c>
    </row>
    <row r="312" spans="1:13" x14ac:dyDescent="0.35">
      <c r="A312" t="s">
        <v>2139</v>
      </c>
      <c r="B312" t="s">
        <v>4789</v>
      </c>
      <c r="C312" t="s">
        <v>3856</v>
      </c>
      <c r="D312" t="s">
        <v>2142</v>
      </c>
      <c r="E312" t="s">
        <v>2915</v>
      </c>
      <c r="F312" t="s">
        <v>1075</v>
      </c>
      <c r="G312" t="s">
        <v>1076</v>
      </c>
      <c r="H312">
        <v>11341</v>
      </c>
      <c r="I312" t="s">
        <v>80</v>
      </c>
      <c r="J312" s="3">
        <v>44934</v>
      </c>
      <c r="M312" t="str">
        <f t="shared" si="4"/>
        <v xml:space="preserve"> </v>
      </c>
    </row>
    <row r="313" spans="1:13" x14ac:dyDescent="0.35">
      <c r="A313" t="s">
        <v>2141</v>
      </c>
      <c r="B313" t="s">
        <v>4660</v>
      </c>
      <c r="C313" t="s">
        <v>3857</v>
      </c>
      <c r="D313" t="s">
        <v>1786</v>
      </c>
      <c r="E313" t="s">
        <v>2913</v>
      </c>
      <c r="F313" t="s">
        <v>1159</v>
      </c>
      <c r="G313" t="s">
        <v>73</v>
      </c>
      <c r="H313">
        <v>8008</v>
      </c>
      <c r="I313" t="s">
        <v>71</v>
      </c>
      <c r="J313" s="3">
        <v>44457</v>
      </c>
      <c r="M313" t="str">
        <f t="shared" si="4"/>
        <v xml:space="preserve"> </v>
      </c>
    </row>
    <row r="314" spans="1:13" x14ac:dyDescent="0.35">
      <c r="A314" t="s">
        <v>2144</v>
      </c>
      <c r="B314" t="s">
        <v>4540</v>
      </c>
      <c r="C314" t="s">
        <v>3858</v>
      </c>
      <c r="D314" t="s">
        <v>1396</v>
      </c>
      <c r="E314" t="s">
        <v>2911</v>
      </c>
      <c r="F314" t="s">
        <v>1170</v>
      </c>
      <c r="G314" t="s">
        <v>76</v>
      </c>
      <c r="H314" t="s">
        <v>1873</v>
      </c>
      <c r="I314" t="s">
        <v>74</v>
      </c>
      <c r="J314" s="3">
        <v>44873</v>
      </c>
      <c r="M314" t="str">
        <f t="shared" si="4"/>
        <v xml:space="preserve"> </v>
      </c>
    </row>
    <row r="315" spans="1:13" x14ac:dyDescent="0.35">
      <c r="A315" t="s">
        <v>2147</v>
      </c>
      <c r="B315" t="s">
        <v>4691</v>
      </c>
      <c r="C315" t="s">
        <v>3859</v>
      </c>
      <c r="D315" t="s">
        <v>1875</v>
      </c>
      <c r="E315" t="s">
        <v>2909</v>
      </c>
      <c r="F315" t="s">
        <v>72</v>
      </c>
      <c r="G315" t="s">
        <v>73</v>
      </c>
      <c r="H315">
        <v>28006</v>
      </c>
      <c r="I315" t="s">
        <v>80</v>
      </c>
      <c r="J315" s="3">
        <v>45282</v>
      </c>
      <c r="M315" t="str">
        <f t="shared" si="4"/>
        <v xml:space="preserve"> </v>
      </c>
    </row>
    <row r="316" spans="1:13" x14ac:dyDescent="0.35">
      <c r="A316" t="s">
        <v>2149</v>
      </c>
      <c r="B316" t="s">
        <v>4790</v>
      </c>
      <c r="C316" t="s">
        <v>3860</v>
      </c>
      <c r="D316" t="s">
        <v>1430</v>
      </c>
      <c r="E316" t="s">
        <v>2907</v>
      </c>
      <c r="F316" t="s">
        <v>90</v>
      </c>
      <c r="G316" t="s">
        <v>91</v>
      </c>
      <c r="H316">
        <v>10178</v>
      </c>
      <c r="I316" t="s">
        <v>71</v>
      </c>
      <c r="J316" s="3">
        <v>44491</v>
      </c>
      <c r="M316" t="str">
        <f t="shared" si="4"/>
        <v xml:space="preserve"> </v>
      </c>
    </row>
    <row r="317" spans="1:13" x14ac:dyDescent="0.35">
      <c r="A317" t="s">
        <v>2152</v>
      </c>
      <c r="B317" t="s">
        <v>4791</v>
      </c>
      <c r="C317" t="s">
        <v>3861</v>
      </c>
      <c r="D317" t="s">
        <v>2031</v>
      </c>
      <c r="E317" t="s">
        <v>2905</v>
      </c>
      <c r="F317" t="s">
        <v>1512</v>
      </c>
      <c r="G317" t="s">
        <v>70</v>
      </c>
      <c r="H317">
        <v>77002</v>
      </c>
      <c r="I317" t="s">
        <v>74</v>
      </c>
      <c r="J317" s="3">
        <v>44910</v>
      </c>
      <c r="M317" t="str">
        <f t="shared" si="4"/>
        <v xml:space="preserve"> </v>
      </c>
    </row>
    <row r="318" spans="1:13" x14ac:dyDescent="0.35">
      <c r="A318" t="s">
        <v>2155</v>
      </c>
      <c r="B318" t="s">
        <v>4792</v>
      </c>
      <c r="C318" t="s">
        <v>3862</v>
      </c>
      <c r="D318" t="s">
        <v>2337</v>
      </c>
      <c r="E318" t="s">
        <v>2903</v>
      </c>
      <c r="F318" t="s">
        <v>1299</v>
      </c>
      <c r="G318" t="s">
        <v>1090</v>
      </c>
      <c r="H318">
        <v>54810</v>
      </c>
      <c r="I318" t="s">
        <v>80</v>
      </c>
      <c r="J318" s="3">
        <v>45248</v>
      </c>
      <c r="M318" t="str">
        <f t="shared" si="4"/>
        <v xml:space="preserve"> </v>
      </c>
    </row>
    <row r="319" spans="1:13" x14ac:dyDescent="0.35">
      <c r="A319" t="s">
        <v>2157</v>
      </c>
      <c r="B319" t="s">
        <v>4793</v>
      </c>
      <c r="C319" t="s">
        <v>3863</v>
      </c>
      <c r="D319" t="s">
        <v>2125</v>
      </c>
      <c r="E319" t="s">
        <v>2901</v>
      </c>
      <c r="F319" t="s">
        <v>75</v>
      </c>
      <c r="G319" t="s">
        <v>76</v>
      </c>
      <c r="H319" t="s">
        <v>1767</v>
      </c>
      <c r="I319" t="s">
        <v>71</v>
      </c>
      <c r="J319" s="3">
        <v>44508</v>
      </c>
      <c r="M319" t="str">
        <f t="shared" si="4"/>
        <v xml:space="preserve"> </v>
      </c>
    </row>
    <row r="320" spans="1:13" x14ac:dyDescent="0.35">
      <c r="A320" t="s">
        <v>2159</v>
      </c>
      <c r="B320" t="s">
        <v>4794</v>
      </c>
      <c r="C320" t="s">
        <v>3864</v>
      </c>
      <c r="D320" t="s">
        <v>2122</v>
      </c>
      <c r="E320" t="s">
        <v>2899</v>
      </c>
      <c r="F320" t="s">
        <v>1129</v>
      </c>
      <c r="G320" t="s">
        <v>1070</v>
      </c>
      <c r="H320" t="s">
        <v>1883</v>
      </c>
      <c r="I320" t="s">
        <v>74</v>
      </c>
      <c r="J320" s="3">
        <v>44826</v>
      </c>
      <c r="M320" t="str">
        <f t="shared" si="4"/>
        <v xml:space="preserve"> </v>
      </c>
    </row>
    <row r="321" spans="1:13" x14ac:dyDescent="0.35">
      <c r="A321" t="s">
        <v>2161</v>
      </c>
      <c r="B321" t="s">
        <v>4795</v>
      </c>
      <c r="C321" t="s">
        <v>3865</v>
      </c>
      <c r="D321" t="s">
        <v>2119</v>
      </c>
      <c r="E321" t="s">
        <v>2897</v>
      </c>
      <c r="F321" t="s">
        <v>1166</v>
      </c>
      <c r="G321" t="s">
        <v>1076</v>
      </c>
      <c r="H321">
        <v>21599</v>
      </c>
      <c r="I321" t="s">
        <v>80</v>
      </c>
      <c r="J321" s="3">
        <v>45211</v>
      </c>
      <c r="M321" t="str">
        <f t="shared" si="4"/>
        <v xml:space="preserve"> </v>
      </c>
    </row>
    <row r="322" spans="1:13" x14ac:dyDescent="0.35">
      <c r="A322" t="s">
        <v>2163</v>
      </c>
      <c r="B322" t="s">
        <v>4796</v>
      </c>
      <c r="C322" t="s">
        <v>3866</v>
      </c>
      <c r="D322" t="s">
        <v>1433</v>
      </c>
      <c r="E322" t="s">
        <v>2895</v>
      </c>
      <c r="F322" t="s">
        <v>1159</v>
      </c>
      <c r="G322" t="s">
        <v>73</v>
      </c>
      <c r="H322">
        <v>8018</v>
      </c>
      <c r="I322" t="s">
        <v>71</v>
      </c>
      <c r="J322" s="3">
        <v>44538</v>
      </c>
      <c r="M322" t="str">
        <f t="shared" si="4"/>
        <v xml:space="preserve"> </v>
      </c>
    </row>
    <row r="323" spans="1:13" x14ac:dyDescent="0.35">
      <c r="A323" t="s">
        <v>2165</v>
      </c>
      <c r="B323" t="s">
        <v>4797</v>
      </c>
      <c r="C323" t="s">
        <v>3867</v>
      </c>
      <c r="D323" t="s">
        <v>1168</v>
      </c>
      <c r="E323" t="s">
        <v>2893</v>
      </c>
      <c r="F323" t="s">
        <v>1170</v>
      </c>
      <c r="G323" t="s">
        <v>76</v>
      </c>
      <c r="H323" t="s">
        <v>1171</v>
      </c>
      <c r="I323" t="s">
        <v>74</v>
      </c>
      <c r="J323" s="3">
        <v>44846</v>
      </c>
      <c r="M323" t="str">
        <f t="shared" si="4"/>
        <v xml:space="preserve"> </v>
      </c>
    </row>
    <row r="324" spans="1:13" x14ac:dyDescent="0.35">
      <c r="A324" t="s">
        <v>2168</v>
      </c>
      <c r="B324" t="s">
        <v>4798</v>
      </c>
      <c r="C324" t="s">
        <v>3868</v>
      </c>
      <c r="D324" t="s">
        <v>1540</v>
      </c>
      <c r="E324" t="s">
        <v>2891</v>
      </c>
      <c r="F324" t="s">
        <v>72</v>
      </c>
      <c r="G324" t="s">
        <v>73</v>
      </c>
      <c r="H324">
        <v>28001</v>
      </c>
      <c r="I324" t="s">
        <v>80</v>
      </c>
      <c r="J324" s="3">
        <v>45181</v>
      </c>
      <c r="M324" t="str">
        <f t="shared" ref="M324:M387" si="5">V324&amp;" "&amp;W324</f>
        <v xml:space="preserve"> </v>
      </c>
    </row>
    <row r="325" spans="1:13" x14ac:dyDescent="0.35">
      <c r="A325" t="s">
        <v>2170</v>
      </c>
      <c r="B325" t="s">
        <v>4799</v>
      </c>
      <c r="C325" t="s">
        <v>3869</v>
      </c>
      <c r="D325" t="s">
        <v>2110</v>
      </c>
      <c r="E325" t="s">
        <v>2889</v>
      </c>
      <c r="F325" t="s">
        <v>90</v>
      </c>
      <c r="G325" t="s">
        <v>91</v>
      </c>
      <c r="H325">
        <v>10117</v>
      </c>
      <c r="I325" t="s">
        <v>71</v>
      </c>
      <c r="J325" s="3">
        <v>44467</v>
      </c>
      <c r="M325" t="str">
        <f t="shared" si="5"/>
        <v xml:space="preserve"> </v>
      </c>
    </row>
    <row r="326" spans="1:13" x14ac:dyDescent="0.35">
      <c r="A326" t="s">
        <v>2173</v>
      </c>
      <c r="B326" t="s">
        <v>3543</v>
      </c>
      <c r="C326" t="s">
        <v>3870</v>
      </c>
      <c r="D326" t="s">
        <v>1891</v>
      </c>
      <c r="E326" t="s">
        <v>2887</v>
      </c>
      <c r="F326" t="s">
        <v>1404</v>
      </c>
      <c r="G326" t="s">
        <v>70</v>
      </c>
      <c r="H326">
        <v>33139</v>
      </c>
      <c r="I326" t="s">
        <v>74</v>
      </c>
      <c r="J326" s="3">
        <v>44893</v>
      </c>
      <c r="M326" t="str">
        <f t="shared" si="5"/>
        <v xml:space="preserve"> </v>
      </c>
    </row>
    <row r="327" spans="1:13" x14ac:dyDescent="0.35">
      <c r="A327" t="s">
        <v>2176</v>
      </c>
      <c r="B327" t="s">
        <v>4790</v>
      </c>
      <c r="C327" t="s">
        <v>3871</v>
      </c>
      <c r="D327" t="s">
        <v>2318</v>
      </c>
      <c r="E327" t="s">
        <v>2885</v>
      </c>
      <c r="F327" t="s">
        <v>78</v>
      </c>
      <c r="G327" t="s">
        <v>79</v>
      </c>
      <c r="H327">
        <v>123456</v>
      </c>
      <c r="I327" t="s">
        <v>80</v>
      </c>
      <c r="J327" s="3">
        <v>45146</v>
      </c>
      <c r="M327" t="str">
        <f t="shared" si="5"/>
        <v xml:space="preserve"> </v>
      </c>
    </row>
    <row r="328" spans="1:13" x14ac:dyDescent="0.35">
      <c r="A328" t="s">
        <v>2178</v>
      </c>
      <c r="B328" t="s">
        <v>4800</v>
      </c>
      <c r="C328" t="s">
        <v>3872</v>
      </c>
      <c r="D328" t="s">
        <v>2101</v>
      </c>
      <c r="E328" t="s">
        <v>2883</v>
      </c>
      <c r="F328" t="s">
        <v>75</v>
      </c>
      <c r="G328" t="s">
        <v>76</v>
      </c>
      <c r="H328" t="s">
        <v>1385</v>
      </c>
      <c r="I328" t="s">
        <v>71</v>
      </c>
      <c r="J328" s="3">
        <v>44497</v>
      </c>
      <c r="M328" t="str">
        <f t="shared" si="5"/>
        <v xml:space="preserve"> </v>
      </c>
    </row>
    <row r="329" spans="1:13" x14ac:dyDescent="0.35">
      <c r="A329" t="s">
        <v>2180</v>
      </c>
      <c r="B329" t="s">
        <v>4660</v>
      </c>
      <c r="C329" t="s">
        <v>3873</v>
      </c>
      <c r="D329" t="s">
        <v>2098</v>
      </c>
      <c r="E329" t="s">
        <v>2881</v>
      </c>
      <c r="F329" t="s">
        <v>1198</v>
      </c>
      <c r="G329" t="s">
        <v>1070</v>
      </c>
      <c r="H329" t="s">
        <v>1199</v>
      </c>
      <c r="I329" t="s">
        <v>74</v>
      </c>
      <c r="J329" s="3">
        <v>44907</v>
      </c>
      <c r="M329" t="str">
        <f t="shared" si="5"/>
        <v xml:space="preserve"> </v>
      </c>
    </row>
    <row r="330" spans="1:13" x14ac:dyDescent="0.35">
      <c r="A330" t="s">
        <v>2182</v>
      </c>
      <c r="B330" t="s">
        <v>4801</v>
      </c>
      <c r="C330" t="s">
        <v>3874</v>
      </c>
      <c r="D330" t="s">
        <v>2095</v>
      </c>
      <c r="E330" t="s">
        <v>2879</v>
      </c>
      <c r="F330" t="s">
        <v>1075</v>
      </c>
      <c r="G330" t="s">
        <v>1076</v>
      </c>
      <c r="H330">
        <v>12311</v>
      </c>
      <c r="I330" t="s">
        <v>80</v>
      </c>
      <c r="J330" s="3">
        <v>45119</v>
      </c>
      <c r="M330" t="str">
        <f t="shared" si="5"/>
        <v xml:space="preserve"> </v>
      </c>
    </row>
    <row r="331" spans="1:13" x14ac:dyDescent="0.35">
      <c r="A331" t="s">
        <v>2184</v>
      </c>
      <c r="B331" t="s">
        <v>4802</v>
      </c>
      <c r="C331" t="s">
        <v>3875</v>
      </c>
      <c r="D331" t="s">
        <v>1157</v>
      </c>
      <c r="E331" t="s">
        <v>2877</v>
      </c>
      <c r="F331" t="s">
        <v>1159</v>
      </c>
      <c r="G331" t="s">
        <v>73</v>
      </c>
      <c r="H331">
        <v>8008</v>
      </c>
      <c r="I331" t="s">
        <v>71</v>
      </c>
      <c r="J331" s="3">
        <v>44518</v>
      </c>
      <c r="M331" t="str">
        <f t="shared" si="5"/>
        <v xml:space="preserve"> </v>
      </c>
    </row>
    <row r="332" spans="1:13" x14ac:dyDescent="0.35">
      <c r="A332" t="s">
        <v>2186</v>
      </c>
      <c r="B332" t="s">
        <v>4566</v>
      </c>
      <c r="C332" t="s">
        <v>3876</v>
      </c>
      <c r="D332" t="s">
        <v>2090</v>
      </c>
      <c r="E332" t="s">
        <v>2875</v>
      </c>
      <c r="F332" t="s">
        <v>1170</v>
      </c>
      <c r="G332" t="s">
        <v>76</v>
      </c>
      <c r="H332" t="s">
        <v>1989</v>
      </c>
      <c r="I332" t="s">
        <v>74</v>
      </c>
      <c r="J332" s="3">
        <v>44812</v>
      </c>
      <c r="M332" t="str">
        <f t="shared" si="5"/>
        <v xml:space="preserve"> </v>
      </c>
    </row>
    <row r="333" spans="1:13" x14ac:dyDescent="0.35">
      <c r="A333" t="s">
        <v>2189</v>
      </c>
      <c r="B333" t="s">
        <v>4803</v>
      </c>
      <c r="C333" t="s">
        <v>3877</v>
      </c>
      <c r="D333" t="s">
        <v>1484</v>
      </c>
      <c r="E333" t="s">
        <v>2873</v>
      </c>
      <c r="F333" t="s">
        <v>72</v>
      </c>
      <c r="G333" t="s">
        <v>73</v>
      </c>
      <c r="H333">
        <v>28006</v>
      </c>
      <c r="I333" t="s">
        <v>80</v>
      </c>
      <c r="J333" s="3">
        <v>45105</v>
      </c>
      <c r="M333" t="str">
        <f t="shared" si="5"/>
        <v xml:space="preserve"> </v>
      </c>
    </row>
    <row r="334" spans="1:13" x14ac:dyDescent="0.35">
      <c r="A334" t="s">
        <v>2191</v>
      </c>
      <c r="B334" t="s">
        <v>4804</v>
      </c>
      <c r="C334" t="s">
        <v>3878</v>
      </c>
      <c r="D334" t="s">
        <v>2085</v>
      </c>
      <c r="E334" t="s">
        <v>2871</v>
      </c>
      <c r="F334" t="s">
        <v>90</v>
      </c>
      <c r="G334" t="s">
        <v>91</v>
      </c>
      <c r="H334">
        <v>10178</v>
      </c>
      <c r="I334" t="s">
        <v>71</v>
      </c>
      <c r="J334" s="3">
        <v>44552</v>
      </c>
      <c r="M334" t="str">
        <f t="shared" si="5"/>
        <v xml:space="preserve"> </v>
      </c>
    </row>
    <row r="335" spans="1:13" x14ac:dyDescent="0.35">
      <c r="A335" t="s">
        <v>2194</v>
      </c>
      <c r="B335" t="s">
        <v>4805</v>
      </c>
      <c r="C335" t="s">
        <v>3879</v>
      </c>
      <c r="D335" t="s">
        <v>2868</v>
      </c>
      <c r="E335" t="s">
        <v>2869</v>
      </c>
      <c r="F335" t="s">
        <v>1864</v>
      </c>
      <c r="G335" t="s">
        <v>70</v>
      </c>
      <c r="H335">
        <v>30303</v>
      </c>
      <c r="I335" t="s">
        <v>74</v>
      </c>
      <c r="J335" s="3">
        <v>44852</v>
      </c>
      <c r="M335" t="str">
        <f t="shared" si="5"/>
        <v xml:space="preserve"> </v>
      </c>
    </row>
    <row r="336" spans="1:13" x14ac:dyDescent="0.35">
      <c r="A336" t="s">
        <v>2197</v>
      </c>
      <c r="B336" t="s">
        <v>4806</v>
      </c>
      <c r="C336" t="s">
        <v>3880</v>
      </c>
      <c r="D336" t="s">
        <v>2297</v>
      </c>
      <c r="E336" t="s">
        <v>2866</v>
      </c>
      <c r="F336" t="s">
        <v>1089</v>
      </c>
      <c r="G336" t="s">
        <v>1090</v>
      </c>
      <c r="H336">
        <v>75600</v>
      </c>
      <c r="I336" t="s">
        <v>80</v>
      </c>
      <c r="J336" s="3">
        <v>45068</v>
      </c>
      <c r="M336" t="str">
        <f t="shared" si="5"/>
        <v xml:space="preserve"> </v>
      </c>
    </row>
    <row r="337" spans="1:13" x14ac:dyDescent="0.35">
      <c r="A337" t="s">
        <v>2199</v>
      </c>
      <c r="B337" t="s">
        <v>4807</v>
      </c>
      <c r="C337" t="s">
        <v>3881</v>
      </c>
      <c r="D337" t="s">
        <v>1765</v>
      </c>
      <c r="E337" t="s">
        <v>2864</v>
      </c>
      <c r="F337" t="s">
        <v>75</v>
      </c>
      <c r="G337" t="s">
        <v>76</v>
      </c>
      <c r="H337" t="s">
        <v>1767</v>
      </c>
      <c r="I337" t="s">
        <v>71</v>
      </c>
      <c r="J337" s="3">
        <v>44447</v>
      </c>
      <c r="M337" t="str">
        <f t="shared" si="5"/>
        <v xml:space="preserve"> </v>
      </c>
    </row>
    <row r="338" spans="1:13" x14ac:dyDescent="0.35">
      <c r="A338" t="s">
        <v>2201</v>
      </c>
      <c r="B338" t="s">
        <v>4808</v>
      </c>
      <c r="C338" t="s">
        <v>3882</v>
      </c>
      <c r="D338" t="s">
        <v>2074</v>
      </c>
      <c r="E338" t="s">
        <v>2862</v>
      </c>
      <c r="F338" t="s">
        <v>1129</v>
      </c>
      <c r="G338" t="s">
        <v>1070</v>
      </c>
      <c r="H338" t="s">
        <v>1130</v>
      </c>
      <c r="I338" t="s">
        <v>74</v>
      </c>
      <c r="J338" s="3">
        <v>44877</v>
      </c>
      <c r="M338" t="str">
        <f t="shared" si="5"/>
        <v xml:space="preserve"> </v>
      </c>
    </row>
    <row r="339" spans="1:13" x14ac:dyDescent="0.35">
      <c r="A339" t="s">
        <v>2203</v>
      </c>
      <c r="B339" t="s">
        <v>4809</v>
      </c>
      <c r="C339" t="s">
        <v>3883</v>
      </c>
      <c r="D339" t="s">
        <v>2071</v>
      </c>
      <c r="E339" t="s">
        <v>2860</v>
      </c>
      <c r="F339" t="s">
        <v>1075</v>
      </c>
      <c r="G339" t="s">
        <v>1076</v>
      </c>
      <c r="H339">
        <v>12311</v>
      </c>
      <c r="I339" t="s">
        <v>80</v>
      </c>
      <c r="J339" s="3">
        <v>45031</v>
      </c>
      <c r="M339" t="str">
        <f t="shared" si="5"/>
        <v xml:space="preserve"> </v>
      </c>
    </row>
    <row r="340" spans="1:13" x14ac:dyDescent="0.35">
      <c r="A340" t="s">
        <v>2205</v>
      </c>
      <c r="B340" t="s">
        <v>4810</v>
      </c>
      <c r="C340" t="s">
        <v>3884</v>
      </c>
      <c r="D340" t="s">
        <v>2068</v>
      </c>
      <c r="E340" t="s">
        <v>2858</v>
      </c>
      <c r="F340" t="s">
        <v>1159</v>
      </c>
      <c r="G340" t="s">
        <v>73</v>
      </c>
      <c r="H340">
        <v>8018</v>
      </c>
      <c r="I340" t="s">
        <v>71</v>
      </c>
      <c r="J340" s="3">
        <v>44491</v>
      </c>
      <c r="M340" t="str">
        <f t="shared" si="5"/>
        <v xml:space="preserve"> </v>
      </c>
    </row>
    <row r="341" spans="1:13" x14ac:dyDescent="0.35">
      <c r="A341" t="s">
        <v>2207</v>
      </c>
      <c r="B341" t="s">
        <v>4811</v>
      </c>
      <c r="C341" t="s">
        <v>3885</v>
      </c>
      <c r="D341" t="s">
        <v>2065</v>
      </c>
      <c r="E341" t="s">
        <v>2856</v>
      </c>
      <c r="F341" t="s">
        <v>1170</v>
      </c>
      <c r="G341" t="s">
        <v>76</v>
      </c>
      <c r="H341" t="s">
        <v>1873</v>
      </c>
      <c r="I341" t="s">
        <v>74</v>
      </c>
      <c r="J341" s="3">
        <v>44913</v>
      </c>
      <c r="M341" t="str">
        <f t="shared" si="5"/>
        <v xml:space="preserve"> </v>
      </c>
    </row>
    <row r="342" spans="1:13" x14ac:dyDescent="0.35">
      <c r="A342" t="s">
        <v>2210</v>
      </c>
      <c r="B342" t="s">
        <v>4812</v>
      </c>
      <c r="C342" t="s">
        <v>3886</v>
      </c>
      <c r="D342" t="s">
        <v>1380</v>
      </c>
      <c r="E342" t="s">
        <v>2854</v>
      </c>
      <c r="F342" t="s">
        <v>72</v>
      </c>
      <c r="G342" t="s">
        <v>73</v>
      </c>
      <c r="H342">
        <v>28001</v>
      </c>
      <c r="I342" t="s">
        <v>80</v>
      </c>
      <c r="J342" s="3">
        <v>44993</v>
      </c>
      <c r="M342" t="str">
        <f t="shared" si="5"/>
        <v xml:space="preserve"> </v>
      </c>
    </row>
    <row r="343" spans="1:13" x14ac:dyDescent="0.35">
      <c r="A343" t="s">
        <v>2212</v>
      </c>
      <c r="B343" t="s">
        <v>4813</v>
      </c>
      <c r="C343" t="s">
        <v>3887</v>
      </c>
      <c r="D343" t="s">
        <v>2060</v>
      </c>
      <c r="E343" t="s">
        <v>2852</v>
      </c>
      <c r="F343" t="s">
        <v>90</v>
      </c>
      <c r="G343" t="s">
        <v>91</v>
      </c>
      <c r="H343">
        <v>10785</v>
      </c>
      <c r="I343" t="s">
        <v>71</v>
      </c>
      <c r="J343" s="3">
        <v>44512</v>
      </c>
      <c r="M343" t="str">
        <f t="shared" si="5"/>
        <v xml:space="preserve"> </v>
      </c>
    </row>
    <row r="344" spans="1:13" x14ac:dyDescent="0.35">
      <c r="A344" t="s">
        <v>2215</v>
      </c>
      <c r="B344" t="s">
        <v>4572</v>
      </c>
      <c r="C344" t="s">
        <v>3888</v>
      </c>
      <c r="D344" t="s">
        <v>1832</v>
      </c>
      <c r="E344" t="s">
        <v>2645</v>
      </c>
      <c r="F344" t="s">
        <v>1834</v>
      </c>
      <c r="G344" t="s">
        <v>70</v>
      </c>
      <c r="H344">
        <v>75202</v>
      </c>
      <c r="I344" t="s">
        <v>74</v>
      </c>
      <c r="J344" s="3">
        <v>44829</v>
      </c>
      <c r="M344" t="str">
        <f t="shared" si="5"/>
        <v xml:space="preserve"> </v>
      </c>
    </row>
    <row r="345" spans="1:13" x14ac:dyDescent="0.35">
      <c r="A345" t="s">
        <v>2218</v>
      </c>
      <c r="B345" t="s">
        <v>4814</v>
      </c>
      <c r="C345" t="s">
        <v>3889</v>
      </c>
      <c r="D345" t="s">
        <v>2276</v>
      </c>
      <c r="E345" t="s">
        <v>2849</v>
      </c>
      <c r="F345" t="s">
        <v>1299</v>
      </c>
      <c r="G345" t="s">
        <v>1090</v>
      </c>
      <c r="H345">
        <v>54810</v>
      </c>
      <c r="I345" t="s">
        <v>80</v>
      </c>
      <c r="J345" s="3">
        <v>44979</v>
      </c>
      <c r="M345" t="str">
        <f t="shared" si="5"/>
        <v xml:space="preserve"> </v>
      </c>
    </row>
    <row r="346" spans="1:13" x14ac:dyDescent="0.35">
      <c r="A346" t="s">
        <v>2220</v>
      </c>
      <c r="B346" t="s">
        <v>4815</v>
      </c>
      <c r="C346" t="s">
        <v>3890</v>
      </c>
      <c r="D346" t="s">
        <v>2051</v>
      </c>
      <c r="E346" t="s">
        <v>2847</v>
      </c>
      <c r="F346" t="s">
        <v>75</v>
      </c>
      <c r="G346" t="s">
        <v>76</v>
      </c>
      <c r="H346" t="s">
        <v>1385</v>
      </c>
      <c r="I346" t="s">
        <v>71</v>
      </c>
      <c r="J346" s="3">
        <v>44548</v>
      </c>
      <c r="M346" t="str">
        <f t="shared" si="5"/>
        <v xml:space="preserve"> </v>
      </c>
    </row>
    <row r="347" spans="1:13" x14ac:dyDescent="0.35">
      <c r="A347" t="s">
        <v>2222</v>
      </c>
      <c r="B347" t="s">
        <v>4556</v>
      </c>
      <c r="C347" t="s">
        <v>3891</v>
      </c>
      <c r="D347" t="s">
        <v>2048</v>
      </c>
      <c r="E347" t="s">
        <v>2845</v>
      </c>
      <c r="F347" t="s">
        <v>1198</v>
      </c>
      <c r="G347" t="s">
        <v>1070</v>
      </c>
      <c r="H347" t="s">
        <v>1199</v>
      </c>
      <c r="I347" t="s">
        <v>74</v>
      </c>
      <c r="J347" s="3">
        <v>44846</v>
      </c>
      <c r="M347" t="str">
        <f t="shared" si="5"/>
        <v xml:space="preserve"> </v>
      </c>
    </row>
    <row r="348" spans="1:13" x14ac:dyDescent="0.35">
      <c r="A348" t="s">
        <v>2224</v>
      </c>
      <c r="B348" t="s">
        <v>4816</v>
      </c>
      <c r="C348" t="s">
        <v>3892</v>
      </c>
      <c r="D348" t="s">
        <v>2020</v>
      </c>
      <c r="E348" t="s">
        <v>2843</v>
      </c>
      <c r="F348" t="s">
        <v>1075</v>
      </c>
      <c r="G348" t="s">
        <v>1076</v>
      </c>
      <c r="H348">
        <v>11341</v>
      </c>
      <c r="I348" t="s">
        <v>80</v>
      </c>
      <c r="J348" s="3">
        <v>44944</v>
      </c>
      <c r="M348" t="str">
        <f t="shared" si="5"/>
        <v xml:space="preserve"> </v>
      </c>
    </row>
    <row r="349" spans="1:13" x14ac:dyDescent="0.35">
      <c r="A349" t="s">
        <v>2226</v>
      </c>
      <c r="B349" t="s">
        <v>4817</v>
      </c>
      <c r="C349" t="s">
        <v>3893</v>
      </c>
      <c r="D349" t="s">
        <v>2042</v>
      </c>
      <c r="E349" t="s">
        <v>2841</v>
      </c>
      <c r="F349" t="s">
        <v>1159</v>
      </c>
      <c r="G349" t="s">
        <v>73</v>
      </c>
      <c r="H349">
        <v>8008</v>
      </c>
      <c r="I349" t="s">
        <v>71</v>
      </c>
      <c r="J349" s="3">
        <v>44451</v>
      </c>
      <c r="M349" t="str">
        <f t="shared" si="5"/>
        <v xml:space="preserve"> </v>
      </c>
    </row>
    <row r="350" spans="1:13" x14ac:dyDescent="0.35">
      <c r="A350" t="s">
        <v>2228</v>
      </c>
      <c r="B350" t="s">
        <v>4818</v>
      </c>
      <c r="C350" t="s">
        <v>3894</v>
      </c>
      <c r="D350" t="s">
        <v>2039</v>
      </c>
      <c r="E350" t="s">
        <v>2839</v>
      </c>
      <c r="F350" t="s">
        <v>1170</v>
      </c>
      <c r="G350" t="s">
        <v>76</v>
      </c>
      <c r="H350" t="s">
        <v>1171</v>
      </c>
      <c r="I350" t="s">
        <v>74</v>
      </c>
      <c r="J350" s="3">
        <v>44887</v>
      </c>
      <c r="M350" t="str">
        <f t="shared" si="5"/>
        <v xml:space="preserve"> </v>
      </c>
    </row>
    <row r="351" spans="1:13" x14ac:dyDescent="0.35">
      <c r="A351" t="s">
        <v>2231</v>
      </c>
      <c r="B351" t="s">
        <v>4766</v>
      </c>
      <c r="C351" t="s">
        <v>3895</v>
      </c>
      <c r="D351" t="s">
        <v>1268</v>
      </c>
      <c r="E351" t="s">
        <v>2837</v>
      </c>
      <c r="F351" t="s">
        <v>72</v>
      </c>
      <c r="G351" t="s">
        <v>73</v>
      </c>
      <c r="H351">
        <v>28006</v>
      </c>
      <c r="I351" t="s">
        <v>80</v>
      </c>
      <c r="J351" s="3">
        <v>45268</v>
      </c>
      <c r="M351" t="str">
        <f t="shared" si="5"/>
        <v xml:space="preserve"> </v>
      </c>
    </row>
    <row r="352" spans="1:13" x14ac:dyDescent="0.35">
      <c r="A352" t="s">
        <v>2233</v>
      </c>
      <c r="B352" t="s">
        <v>4819</v>
      </c>
      <c r="C352" t="s">
        <v>3896</v>
      </c>
      <c r="D352" t="s">
        <v>2034</v>
      </c>
      <c r="E352" t="s">
        <v>2835</v>
      </c>
      <c r="F352" t="s">
        <v>90</v>
      </c>
      <c r="G352" t="s">
        <v>91</v>
      </c>
      <c r="H352">
        <v>10117</v>
      </c>
      <c r="I352" t="s">
        <v>71</v>
      </c>
      <c r="J352" s="3">
        <v>44477</v>
      </c>
      <c r="M352" t="str">
        <f t="shared" si="5"/>
        <v xml:space="preserve"> </v>
      </c>
    </row>
    <row r="353" spans="1:13" x14ac:dyDescent="0.35">
      <c r="A353" t="s">
        <v>2236</v>
      </c>
      <c r="B353" t="s">
        <v>4820</v>
      </c>
      <c r="C353" t="s">
        <v>3897</v>
      </c>
      <c r="D353" t="s">
        <v>2832</v>
      </c>
      <c r="E353" t="s">
        <v>2833</v>
      </c>
      <c r="F353" t="s">
        <v>1922</v>
      </c>
      <c r="G353" t="s">
        <v>70</v>
      </c>
      <c r="H353">
        <v>19106</v>
      </c>
      <c r="I353" t="s">
        <v>74</v>
      </c>
      <c r="J353" s="3">
        <v>44862</v>
      </c>
      <c r="M353" t="str">
        <f t="shared" si="5"/>
        <v xml:space="preserve"> </v>
      </c>
    </row>
    <row r="354" spans="1:13" x14ac:dyDescent="0.35">
      <c r="A354" t="s">
        <v>2239</v>
      </c>
      <c r="B354" t="s">
        <v>4811</v>
      </c>
      <c r="C354" t="s">
        <v>3898</v>
      </c>
      <c r="D354" t="s">
        <v>2255</v>
      </c>
      <c r="E354" t="s">
        <v>2830</v>
      </c>
      <c r="F354" t="s">
        <v>78</v>
      </c>
      <c r="G354" t="s">
        <v>79</v>
      </c>
      <c r="H354">
        <v>123456</v>
      </c>
      <c r="I354" t="s">
        <v>80</v>
      </c>
      <c r="J354" s="3">
        <v>45242</v>
      </c>
      <c r="M354" t="str">
        <f t="shared" si="5"/>
        <v xml:space="preserve"> </v>
      </c>
    </row>
    <row r="355" spans="1:13" x14ac:dyDescent="0.35">
      <c r="A355" t="s">
        <v>2241</v>
      </c>
      <c r="B355" t="s">
        <v>4821</v>
      </c>
      <c r="C355" t="s">
        <v>3899</v>
      </c>
      <c r="D355" t="s">
        <v>1514</v>
      </c>
      <c r="E355" t="s">
        <v>2828</v>
      </c>
      <c r="F355" t="s">
        <v>75</v>
      </c>
      <c r="G355" t="s">
        <v>76</v>
      </c>
      <c r="H355" t="s">
        <v>1767</v>
      </c>
      <c r="I355" t="s">
        <v>71</v>
      </c>
      <c r="J355" s="3">
        <v>44522</v>
      </c>
      <c r="M355" t="str">
        <f t="shared" si="5"/>
        <v xml:space="preserve"> </v>
      </c>
    </row>
    <row r="356" spans="1:13" x14ac:dyDescent="0.35">
      <c r="A356" t="s">
        <v>2243</v>
      </c>
      <c r="B356" t="s">
        <v>4822</v>
      </c>
      <c r="C356" t="s">
        <v>3900</v>
      </c>
      <c r="D356" t="s">
        <v>2023</v>
      </c>
      <c r="E356" t="s">
        <v>2826</v>
      </c>
      <c r="F356" t="s">
        <v>1129</v>
      </c>
      <c r="G356" t="s">
        <v>1070</v>
      </c>
      <c r="H356" t="s">
        <v>1883</v>
      </c>
      <c r="I356" t="s">
        <v>74</v>
      </c>
      <c r="J356" s="3">
        <v>44826</v>
      </c>
      <c r="M356" t="str">
        <f t="shared" si="5"/>
        <v xml:space="preserve"> </v>
      </c>
    </row>
    <row r="357" spans="1:13" x14ac:dyDescent="0.35">
      <c r="A357" t="s">
        <v>2245</v>
      </c>
      <c r="B357" t="s">
        <v>4823</v>
      </c>
      <c r="C357" t="s">
        <v>3901</v>
      </c>
      <c r="D357" t="s">
        <v>1966</v>
      </c>
      <c r="E357" t="s">
        <v>2824</v>
      </c>
      <c r="F357" t="s">
        <v>1166</v>
      </c>
      <c r="G357" t="s">
        <v>1076</v>
      </c>
      <c r="H357">
        <v>21599</v>
      </c>
      <c r="I357" t="s">
        <v>80</v>
      </c>
      <c r="J357" s="3">
        <v>45207</v>
      </c>
      <c r="M357" t="str">
        <f t="shared" si="5"/>
        <v xml:space="preserve"> </v>
      </c>
    </row>
    <row r="358" spans="1:13" x14ac:dyDescent="0.35">
      <c r="A358" t="s">
        <v>2247</v>
      </c>
      <c r="B358" t="s">
        <v>4718</v>
      </c>
      <c r="C358" t="s">
        <v>3902</v>
      </c>
      <c r="D358" t="s">
        <v>2017</v>
      </c>
      <c r="E358" t="s">
        <v>2822</v>
      </c>
      <c r="F358" t="s">
        <v>1159</v>
      </c>
      <c r="G358" t="s">
        <v>73</v>
      </c>
      <c r="H358">
        <v>8018</v>
      </c>
      <c r="I358" t="s">
        <v>71</v>
      </c>
      <c r="J358" s="3">
        <v>44558</v>
      </c>
      <c r="M358" t="str">
        <f t="shared" si="5"/>
        <v xml:space="preserve"> </v>
      </c>
    </row>
    <row r="359" spans="1:13" x14ac:dyDescent="0.35">
      <c r="A359" t="s">
        <v>2249</v>
      </c>
      <c r="B359" t="s">
        <v>4824</v>
      </c>
      <c r="C359" t="s">
        <v>3903</v>
      </c>
      <c r="D359" t="s">
        <v>2014</v>
      </c>
      <c r="E359" t="s">
        <v>2820</v>
      </c>
      <c r="F359" t="s">
        <v>1170</v>
      </c>
      <c r="G359" t="s">
        <v>76</v>
      </c>
      <c r="H359" t="s">
        <v>1989</v>
      </c>
      <c r="I359" t="s">
        <v>74</v>
      </c>
      <c r="J359" s="3">
        <v>44842</v>
      </c>
      <c r="M359" t="str">
        <f t="shared" si="5"/>
        <v xml:space="preserve"> </v>
      </c>
    </row>
    <row r="360" spans="1:13" x14ac:dyDescent="0.35">
      <c r="A360" t="s">
        <v>2252</v>
      </c>
      <c r="B360" t="s">
        <v>4825</v>
      </c>
      <c r="C360" t="s">
        <v>3904</v>
      </c>
      <c r="D360" t="s">
        <v>2011</v>
      </c>
      <c r="E360" t="s">
        <v>2818</v>
      </c>
      <c r="F360" t="s">
        <v>72</v>
      </c>
      <c r="G360" t="s">
        <v>73</v>
      </c>
      <c r="H360">
        <v>28001</v>
      </c>
      <c r="I360" t="s">
        <v>80</v>
      </c>
      <c r="J360" s="3">
        <v>45191</v>
      </c>
      <c r="M360" t="str">
        <f t="shared" si="5"/>
        <v xml:space="preserve"> </v>
      </c>
    </row>
    <row r="361" spans="1:13" x14ac:dyDescent="0.35">
      <c r="A361" t="s">
        <v>2254</v>
      </c>
      <c r="B361" t="s">
        <v>4826</v>
      </c>
      <c r="C361" t="s">
        <v>3905</v>
      </c>
      <c r="D361" t="s">
        <v>2008</v>
      </c>
      <c r="E361" t="s">
        <v>2816</v>
      </c>
      <c r="F361" t="s">
        <v>90</v>
      </c>
      <c r="G361" t="s">
        <v>91</v>
      </c>
      <c r="H361">
        <v>10178</v>
      </c>
      <c r="I361" t="s">
        <v>71</v>
      </c>
      <c r="J361" s="3">
        <v>44457</v>
      </c>
      <c r="M361" t="str">
        <f t="shared" si="5"/>
        <v xml:space="preserve"> </v>
      </c>
    </row>
    <row r="362" spans="1:13" x14ac:dyDescent="0.35">
      <c r="A362" t="s">
        <v>2257</v>
      </c>
      <c r="B362" t="s">
        <v>4827</v>
      </c>
      <c r="C362" t="s">
        <v>3906</v>
      </c>
      <c r="D362" t="s">
        <v>2813</v>
      </c>
      <c r="E362" t="s">
        <v>2814</v>
      </c>
      <c r="F362" t="s">
        <v>1512</v>
      </c>
      <c r="G362" t="s">
        <v>70</v>
      </c>
      <c r="H362">
        <v>77002</v>
      </c>
      <c r="I362" t="s">
        <v>74</v>
      </c>
      <c r="J362" s="3">
        <v>44883</v>
      </c>
      <c r="M362" t="str">
        <f t="shared" si="5"/>
        <v xml:space="preserve"> </v>
      </c>
    </row>
    <row r="363" spans="1:13" x14ac:dyDescent="0.35">
      <c r="A363" t="s">
        <v>2260</v>
      </c>
      <c r="B363" t="s">
        <v>4828</v>
      </c>
      <c r="C363" t="s">
        <v>3907</v>
      </c>
      <c r="D363" t="s">
        <v>2234</v>
      </c>
      <c r="E363" t="s">
        <v>2811</v>
      </c>
      <c r="F363" t="s">
        <v>1089</v>
      </c>
      <c r="G363" t="s">
        <v>1090</v>
      </c>
      <c r="H363">
        <v>75600</v>
      </c>
      <c r="I363" t="s">
        <v>80</v>
      </c>
      <c r="J363" s="3">
        <v>45146</v>
      </c>
      <c r="M363" t="str">
        <f t="shared" si="5"/>
        <v xml:space="preserve"> </v>
      </c>
    </row>
    <row r="364" spans="1:13" x14ac:dyDescent="0.35">
      <c r="A364" t="s">
        <v>2262</v>
      </c>
      <c r="B364" t="s">
        <v>4829</v>
      </c>
      <c r="C364" t="s">
        <v>3908</v>
      </c>
      <c r="D364" t="s">
        <v>1487</v>
      </c>
      <c r="E364" t="s">
        <v>2809</v>
      </c>
      <c r="F364" t="s">
        <v>75</v>
      </c>
      <c r="G364" t="s">
        <v>76</v>
      </c>
      <c r="H364" t="s">
        <v>1385</v>
      </c>
      <c r="I364" t="s">
        <v>71</v>
      </c>
      <c r="J364" s="3">
        <v>44481</v>
      </c>
      <c r="M364" t="str">
        <f t="shared" si="5"/>
        <v xml:space="preserve"> </v>
      </c>
    </row>
    <row r="365" spans="1:13" x14ac:dyDescent="0.35">
      <c r="A365" t="s">
        <v>2264</v>
      </c>
      <c r="B365" t="s">
        <v>4830</v>
      </c>
      <c r="C365" t="s">
        <v>3909</v>
      </c>
      <c r="D365" t="s">
        <v>1997</v>
      </c>
      <c r="E365" t="s">
        <v>2807</v>
      </c>
      <c r="F365" t="s">
        <v>1198</v>
      </c>
      <c r="G365" t="s">
        <v>1070</v>
      </c>
      <c r="H365" t="s">
        <v>1199</v>
      </c>
      <c r="I365" t="s">
        <v>74</v>
      </c>
      <c r="J365" s="3">
        <v>44903</v>
      </c>
      <c r="M365" t="str">
        <f t="shared" si="5"/>
        <v xml:space="preserve"> </v>
      </c>
    </row>
    <row r="366" spans="1:13" x14ac:dyDescent="0.35">
      <c r="A366" t="s">
        <v>2266</v>
      </c>
      <c r="B366" t="s">
        <v>4831</v>
      </c>
      <c r="C366" t="s">
        <v>3910</v>
      </c>
      <c r="D366" t="s">
        <v>1908</v>
      </c>
      <c r="E366" t="s">
        <v>2805</v>
      </c>
      <c r="F366" t="s">
        <v>1075</v>
      </c>
      <c r="G366" t="s">
        <v>1076</v>
      </c>
      <c r="H366">
        <v>12311</v>
      </c>
      <c r="I366" t="s">
        <v>80</v>
      </c>
      <c r="J366" s="3">
        <v>45119</v>
      </c>
      <c r="M366" t="str">
        <f t="shared" si="5"/>
        <v xml:space="preserve"> </v>
      </c>
    </row>
    <row r="367" spans="1:13" x14ac:dyDescent="0.35">
      <c r="A367" t="s">
        <v>2268</v>
      </c>
      <c r="B367" t="s">
        <v>4832</v>
      </c>
      <c r="C367" t="s">
        <v>3911</v>
      </c>
      <c r="D367" t="s">
        <v>1991</v>
      </c>
      <c r="E367" t="s">
        <v>2803</v>
      </c>
      <c r="F367" t="s">
        <v>1159</v>
      </c>
      <c r="G367" t="s">
        <v>73</v>
      </c>
      <c r="H367">
        <v>8008</v>
      </c>
      <c r="I367" t="s">
        <v>71</v>
      </c>
      <c r="J367" s="3">
        <v>44508</v>
      </c>
      <c r="M367" t="str">
        <f t="shared" si="5"/>
        <v xml:space="preserve"> </v>
      </c>
    </row>
    <row r="368" spans="1:13" x14ac:dyDescent="0.35">
      <c r="A368" t="s">
        <v>2270</v>
      </c>
      <c r="B368" t="s">
        <v>4833</v>
      </c>
      <c r="C368" t="s">
        <v>3912</v>
      </c>
      <c r="D368" t="s">
        <v>1987</v>
      </c>
      <c r="E368" t="s">
        <v>2801</v>
      </c>
      <c r="F368" t="s">
        <v>1170</v>
      </c>
      <c r="G368" t="s">
        <v>76</v>
      </c>
      <c r="H368" t="s">
        <v>1873</v>
      </c>
      <c r="I368" t="s">
        <v>74</v>
      </c>
      <c r="J368" s="3">
        <v>44812</v>
      </c>
      <c r="M368" t="str">
        <f t="shared" si="5"/>
        <v xml:space="preserve"> </v>
      </c>
    </row>
    <row r="369" spans="1:13" x14ac:dyDescent="0.35">
      <c r="A369" t="s">
        <v>2273</v>
      </c>
      <c r="B369" t="s">
        <v>4834</v>
      </c>
      <c r="C369" t="s">
        <v>3913</v>
      </c>
      <c r="D369" t="s">
        <v>1984</v>
      </c>
      <c r="E369" t="s">
        <v>2799</v>
      </c>
      <c r="F369" t="s">
        <v>72</v>
      </c>
      <c r="G369" t="s">
        <v>73</v>
      </c>
      <c r="H369">
        <v>28006</v>
      </c>
      <c r="I369" t="s">
        <v>80</v>
      </c>
      <c r="J369" s="3">
        <v>45095</v>
      </c>
      <c r="M369" t="str">
        <f t="shared" si="5"/>
        <v xml:space="preserve"> </v>
      </c>
    </row>
    <row r="370" spans="1:13" x14ac:dyDescent="0.35">
      <c r="A370" t="s">
        <v>2275</v>
      </c>
      <c r="B370" t="s">
        <v>4835</v>
      </c>
      <c r="C370" t="s">
        <v>3914</v>
      </c>
      <c r="D370" t="s">
        <v>1981</v>
      </c>
      <c r="E370" t="s">
        <v>2797</v>
      </c>
      <c r="F370" t="s">
        <v>90</v>
      </c>
      <c r="G370" t="s">
        <v>91</v>
      </c>
      <c r="H370">
        <v>10719</v>
      </c>
      <c r="I370" t="s">
        <v>71</v>
      </c>
      <c r="J370" s="3">
        <v>44552</v>
      </c>
      <c r="M370" t="str">
        <f t="shared" si="5"/>
        <v xml:space="preserve"> </v>
      </c>
    </row>
    <row r="371" spans="1:13" x14ac:dyDescent="0.35">
      <c r="A371" t="s">
        <v>2278</v>
      </c>
      <c r="B371" t="s">
        <v>4836</v>
      </c>
      <c r="C371" t="s">
        <v>3915</v>
      </c>
      <c r="D371" t="s">
        <v>2794</v>
      </c>
      <c r="E371" t="s">
        <v>2795</v>
      </c>
      <c r="F371" t="s">
        <v>1864</v>
      </c>
      <c r="G371" t="s">
        <v>70</v>
      </c>
      <c r="H371">
        <v>30303</v>
      </c>
      <c r="I371" t="s">
        <v>74</v>
      </c>
      <c r="J371" s="3">
        <v>44856</v>
      </c>
      <c r="M371" t="str">
        <f t="shared" si="5"/>
        <v xml:space="preserve"> </v>
      </c>
    </row>
    <row r="372" spans="1:13" x14ac:dyDescent="0.35">
      <c r="A372" t="s">
        <v>2281</v>
      </c>
      <c r="B372" t="s">
        <v>3542</v>
      </c>
      <c r="C372" t="s">
        <v>3916</v>
      </c>
      <c r="D372" t="s">
        <v>2213</v>
      </c>
      <c r="E372" t="s">
        <v>2792</v>
      </c>
      <c r="F372" t="s">
        <v>1299</v>
      </c>
      <c r="G372" t="s">
        <v>1090</v>
      </c>
      <c r="H372">
        <v>54810</v>
      </c>
      <c r="I372" t="s">
        <v>80</v>
      </c>
      <c r="J372" s="3">
        <v>45074</v>
      </c>
      <c r="M372" t="str">
        <f t="shared" si="5"/>
        <v xml:space="preserve"> </v>
      </c>
    </row>
    <row r="373" spans="1:13" x14ac:dyDescent="0.35">
      <c r="A373" t="s">
        <v>2283</v>
      </c>
      <c r="B373" t="s">
        <v>4837</v>
      </c>
      <c r="C373" t="s">
        <v>3917</v>
      </c>
      <c r="D373" t="s">
        <v>1460</v>
      </c>
      <c r="E373" t="s">
        <v>2790</v>
      </c>
      <c r="F373" t="s">
        <v>75</v>
      </c>
      <c r="G373" t="s">
        <v>76</v>
      </c>
      <c r="H373" t="s">
        <v>1767</v>
      </c>
      <c r="I373" t="s">
        <v>71</v>
      </c>
      <c r="J373" s="3">
        <v>44467</v>
      </c>
      <c r="M373" t="str">
        <f t="shared" si="5"/>
        <v xml:space="preserve"> </v>
      </c>
    </row>
    <row r="374" spans="1:13" x14ac:dyDescent="0.35">
      <c r="A374" t="s">
        <v>2285</v>
      </c>
      <c r="B374" t="s">
        <v>4590</v>
      </c>
      <c r="C374" t="s">
        <v>3918</v>
      </c>
      <c r="D374" t="s">
        <v>1969</v>
      </c>
      <c r="E374" t="s">
        <v>2788</v>
      </c>
      <c r="F374" t="s">
        <v>1129</v>
      </c>
      <c r="G374" t="s">
        <v>1070</v>
      </c>
      <c r="H374" t="s">
        <v>1130</v>
      </c>
      <c r="I374" t="s">
        <v>74</v>
      </c>
      <c r="J374" s="3">
        <v>44873</v>
      </c>
      <c r="M374" t="str">
        <f t="shared" si="5"/>
        <v xml:space="preserve"> </v>
      </c>
    </row>
    <row r="375" spans="1:13" x14ac:dyDescent="0.35">
      <c r="A375" t="s">
        <v>2287</v>
      </c>
      <c r="B375" t="s">
        <v>4838</v>
      </c>
      <c r="C375" t="s">
        <v>3919</v>
      </c>
      <c r="D375" t="s">
        <v>1859</v>
      </c>
      <c r="E375" t="s">
        <v>2786</v>
      </c>
      <c r="F375" t="s">
        <v>1075</v>
      </c>
      <c r="G375" t="s">
        <v>1076</v>
      </c>
      <c r="H375">
        <v>12311</v>
      </c>
      <c r="I375" t="s">
        <v>80</v>
      </c>
      <c r="J375" s="3">
        <v>45024</v>
      </c>
      <c r="M375" t="str">
        <f t="shared" si="5"/>
        <v xml:space="preserve"> </v>
      </c>
    </row>
    <row r="376" spans="1:13" x14ac:dyDescent="0.35">
      <c r="A376" t="s">
        <v>2289</v>
      </c>
      <c r="B376" t="s">
        <v>4839</v>
      </c>
      <c r="C376" t="s">
        <v>3920</v>
      </c>
      <c r="D376" t="s">
        <v>1963</v>
      </c>
      <c r="E376" t="s">
        <v>2784</v>
      </c>
      <c r="F376" t="s">
        <v>1159</v>
      </c>
      <c r="G376" t="s">
        <v>73</v>
      </c>
      <c r="H376">
        <v>8018</v>
      </c>
      <c r="I376" t="s">
        <v>71</v>
      </c>
      <c r="J376" s="3">
        <v>44487</v>
      </c>
      <c r="M376" t="str">
        <f t="shared" si="5"/>
        <v xml:space="preserve"> </v>
      </c>
    </row>
    <row r="377" spans="1:13" x14ac:dyDescent="0.35">
      <c r="A377" t="s">
        <v>2291</v>
      </c>
      <c r="B377" t="s">
        <v>4840</v>
      </c>
      <c r="C377" t="s">
        <v>3921</v>
      </c>
      <c r="D377" t="s">
        <v>1960</v>
      </c>
      <c r="E377" t="s">
        <v>2782</v>
      </c>
      <c r="F377" t="s">
        <v>1170</v>
      </c>
      <c r="G377" t="s">
        <v>76</v>
      </c>
      <c r="H377" t="s">
        <v>1171</v>
      </c>
      <c r="I377" t="s">
        <v>74</v>
      </c>
      <c r="J377" s="3">
        <v>44907</v>
      </c>
      <c r="M377" t="str">
        <f t="shared" si="5"/>
        <v xml:space="preserve"> </v>
      </c>
    </row>
    <row r="378" spans="1:13" x14ac:dyDescent="0.35">
      <c r="A378" t="s">
        <v>2294</v>
      </c>
      <c r="B378" t="s">
        <v>4841</v>
      </c>
      <c r="C378" t="s">
        <v>3922</v>
      </c>
      <c r="D378" t="s">
        <v>1957</v>
      </c>
      <c r="E378" t="s">
        <v>2780</v>
      </c>
      <c r="F378" t="s">
        <v>72</v>
      </c>
      <c r="G378" t="s">
        <v>73</v>
      </c>
      <c r="H378">
        <v>28001</v>
      </c>
      <c r="I378" t="s">
        <v>80</v>
      </c>
      <c r="J378" s="3">
        <v>45013</v>
      </c>
      <c r="M378" t="str">
        <f t="shared" si="5"/>
        <v xml:space="preserve"> </v>
      </c>
    </row>
    <row r="379" spans="1:13" x14ac:dyDescent="0.35">
      <c r="A379" t="s">
        <v>2296</v>
      </c>
      <c r="B379" t="s">
        <v>4842</v>
      </c>
      <c r="C379" t="s">
        <v>3923</v>
      </c>
      <c r="D379" t="s">
        <v>1954</v>
      </c>
      <c r="E379" t="s">
        <v>2778</v>
      </c>
      <c r="F379" t="s">
        <v>90</v>
      </c>
      <c r="G379" t="s">
        <v>91</v>
      </c>
      <c r="H379">
        <v>10178</v>
      </c>
      <c r="I379" t="s">
        <v>71</v>
      </c>
      <c r="J379" s="3">
        <v>44518</v>
      </c>
      <c r="M379" t="str">
        <f t="shared" si="5"/>
        <v xml:space="preserve"> </v>
      </c>
    </row>
    <row r="380" spans="1:13" x14ac:dyDescent="0.35">
      <c r="A380" t="s">
        <v>2299</v>
      </c>
      <c r="B380" t="s">
        <v>4843</v>
      </c>
      <c r="C380" t="s">
        <v>3924</v>
      </c>
      <c r="D380" t="s">
        <v>2775</v>
      </c>
      <c r="E380" t="s">
        <v>2776</v>
      </c>
      <c r="F380" t="s">
        <v>1404</v>
      </c>
      <c r="G380" t="s">
        <v>70</v>
      </c>
      <c r="H380">
        <v>33139</v>
      </c>
      <c r="I380" t="s">
        <v>74</v>
      </c>
      <c r="J380" s="3">
        <v>44829</v>
      </c>
      <c r="M380" t="str">
        <f t="shared" si="5"/>
        <v xml:space="preserve"> </v>
      </c>
    </row>
    <row r="381" spans="1:13" x14ac:dyDescent="0.35">
      <c r="A381" t="s">
        <v>2302</v>
      </c>
      <c r="B381" t="s">
        <v>4844</v>
      </c>
      <c r="C381" t="s">
        <v>3925</v>
      </c>
      <c r="D381" t="s">
        <v>2192</v>
      </c>
      <c r="E381" t="s">
        <v>2773</v>
      </c>
      <c r="F381" t="s">
        <v>78</v>
      </c>
      <c r="G381" t="s">
        <v>79</v>
      </c>
      <c r="H381">
        <v>123456</v>
      </c>
      <c r="I381" t="s">
        <v>80</v>
      </c>
      <c r="J381" s="3">
        <v>44969</v>
      </c>
      <c r="M381" t="str">
        <f t="shared" si="5"/>
        <v xml:space="preserve"> </v>
      </c>
    </row>
    <row r="382" spans="1:13" x14ac:dyDescent="0.35">
      <c r="A382" t="s">
        <v>2304</v>
      </c>
      <c r="B382" t="s">
        <v>4845</v>
      </c>
      <c r="C382" t="s">
        <v>3926</v>
      </c>
      <c r="D382" t="s">
        <v>1914</v>
      </c>
      <c r="E382" t="s">
        <v>2771</v>
      </c>
      <c r="F382" t="s">
        <v>75</v>
      </c>
      <c r="G382" t="s">
        <v>76</v>
      </c>
      <c r="H382" t="s">
        <v>1385</v>
      </c>
      <c r="I382" t="s">
        <v>71</v>
      </c>
      <c r="J382" s="3">
        <v>44542</v>
      </c>
      <c r="M382" t="str">
        <f t="shared" si="5"/>
        <v xml:space="preserve"> </v>
      </c>
    </row>
    <row r="383" spans="1:13" x14ac:dyDescent="0.35">
      <c r="A383" t="s">
        <v>2306</v>
      </c>
      <c r="B383" t="s">
        <v>4763</v>
      </c>
      <c r="C383" t="s">
        <v>3927</v>
      </c>
      <c r="D383" t="s">
        <v>1911</v>
      </c>
      <c r="E383" t="s">
        <v>2769</v>
      </c>
      <c r="F383" t="s">
        <v>1198</v>
      </c>
      <c r="G383" t="s">
        <v>1070</v>
      </c>
      <c r="H383" t="s">
        <v>1199</v>
      </c>
      <c r="I383" t="s">
        <v>74</v>
      </c>
      <c r="J383" s="3">
        <v>44862</v>
      </c>
      <c r="M383" t="str">
        <f t="shared" si="5"/>
        <v xml:space="preserve"> </v>
      </c>
    </row>
    <row r="384" spans="1:13" x14ac:dyDescent="0.35">
      <c r="A384" t="s">
        <v>2308</v>
      </c>
      <c r="B384" t="s">
        <v>4846</v>
      </c>
      <c r="C384" t="s">
        <v>3928</v>
      </c>
      <c r="D384" t="s">
        <v>1819</v>
      </c>
      <c r="E384" t="s">
        <v>2767</v>
      </c>
      <c r="F384" t="s">
        <v>1075</v>
      </c>
      <c r="G384" t="s">
        <v>1076</v>
      </c>
      <c r="H384">
        <v>11341</v>
      </c>
      <c r="I384" t="s">
        <v>80</v>
      </c>
      <c r="J384" s="3">
        <v>44948</v>
      </c>
      <c r="M384" t="str">
        <f t="shared" si="5"/>
        <v xml:space="preserve"> </v>
      </c>
    </row>
    <row r="385" spans="1:13" x14ac:dyDescent="0.35">
      <c r="A385" t="s">
        <v>2310</v>
      </c>
      <c r="B385" t="s">
        <v>1949</v>
      </c>
      <c r="C385" t="s">
        <v>3929</v>
      </c>
      <c r="D385" t="s">
        <v>1934</v>
      </c>
      <c r="E385" t="s">
        <v>2765</v>
      </c>
      <c r="F385" t="s">
        <v>1159</v>
      </c>
      <c r="G385" t="s">
        <v>73</v>
      </c>
      <c r="H385">
        <v>8008</v>
      </c>
      <c r="I385" t="s">
        <v>71</v>
      </c>
      <c r="J385" s="3">
        <v>44454</v>
      </c>
      <c r="M385" t="str">
        <f t="shared" si="5"/>
        <v xml:space="preserve"> </v>
      </c>
    </row>
    <row r="386" spans="1:13" x14ac:dyDescent="0.35">
      <c r="A386" t="s">
        <v>2312</v>
      </c>
      <c r="B386" t="s">
        <v>4712</v>
      </c>
      <c r="C386" t="s">
        <v>3930</v>
      </c>
      <c r="D386" t="s">
        <v>1930</v>
      </c>
      <c r="E386" t="s">
        <v>2763</v>
      </c>
      <c r="F386" t="s">
        <v>1170</v>
      </c>
      <c r="G386" t="s">
        <v>76</v>
      </c>
      <c r="H386" t="s">
        <v>1989</v>
      </c>
      <c r="I386" t="s">
        <v>74</v>
      </c>
      <c r="J386" s="3">
        <v>44877</v>
      </c>
      <c r="M386" t="str">
        <f t="shared" si="5"/>
        <v xml:space="preserve"> </v>
      </c>
    </row>
    <row r="387" spans="1:13" x14ac:dyDescent="0.35">
      <c r="A387" t="s">
        <v>2315</v>
      </c>
      <c r="B387" t="s">
        <v>4847</v>
      </c>
      <c r="C387" t="s">
        <v>3931</v>
      </c>
      <c r="D387" t="s">
        <v>1927</v>
      </c>
      <c r="E387" t="s">
        <v>2761</v>
      </c>
      <c r="F387" t="s">
        <v>72</v>
      </c>
      <c r="G387" t="s">
        <v>73</v>
      </c>
      <c r="H387">
        <v>28006</v>
      </c>
      <c r="I387" t="s">
        <v>80</v>
      </c>
      <c r="J387" s="3">
        <v>45272</v>
      </c>
      <c r="M387" t="str">
        <f t="shared" si="5"/>
        <v xml:space="preserve"> </v>
      </c>
    </row>
    <row r="388" spans="1:13" x14ac:dyDescent="0.35">
      <c r="A388" t="s">
        <v>2317</v>
      </c>
      <c r="B388" t="s">
        <v>4848</v>
      </c>
      <c r="C388" t="s">
        <v>3932</v>
      </c>
      <c r="D388" t="s">
        <v>1924</v>
      </c>
      <c r="E388" t="s">
        <v>2759</v>
      </c>
      <c r="F388" t="s">
        <v>90</v>
      </c>
      <c r="G388" t="s">
        <v>91</v>
      </c>
      <c r="H388">
        <v>10785</v>
      </c>
      <c r="I388" t="s">
        <v>71</v>
      </c>
      <c r="J388" s="3">
        <v>44497</v>
      </c>
      <c r="M388" t="str">
        <f t="shared" ref="M388:M451" si="6">V388&amp;" "&amp;W388</f>
        <v xml:space="preserve"> </v>
      </c>
    </row>
    <row r="389" spans="1:13" x14ac:dyDescent="0.35">
      <c r="A389" t="s">
        <v>2320</v>
      </c>
      <c r="B389" t="s">
        <v>4849</v>
      </c>
      <c r="C389" t="s">
        <v>3933</v>
      </c>
      <c r="D389" t="s">
        <v>2757</v>
      </c>
      <c r="E389" t="s">
        <v>1511</v>
      </c>
      <c r="F389" t="s">
        <v>1834</v>
      </c>
      <c r="G389" t="s">
        <v>70</v>
      </c>
      <c r="H389">
        <v>75202</v>
      </c>
      <c r="I389" t="s">
        <v>74</v>
      </c>
      <c r="J389" s="3">
        <v>44917</v>
      </c>
      <c r="M389" t="str">
        <f t="shared" si="6"/>
        <v xml:space="preserve"> </v>
      </c>
    </row>
    <row r="390" spans="1:13" x14ac:dyDescent="0.35">
      <c r="A390" t="s">
        <v>2322</v>
      </c>
      <c r="B390" t="s">
        <v>4850</v>
      </c>
      <c r="C390" t="s">
        <v>3934</v>
      </c>
      <c r="D390" t="s">
        <v>2171</v>
      </c>
      <c r="E390" t="s">
        <v>2755</v>
      </c>
      <c r="F390" t="s">
        <v>1089</v>
      </c>
      <c r="G390" t="s">
        <v>1090</v>
      </c>
      <c r="H390">
        <v>75600</v>
      </c>
      <c r="I390" t="s">
        <v>80</v>
      </c>
      <c r="J390" s="3">
        <v>45238</v>
      </c>
      <c r="M390" t="str">
        <f t="shared" si="6"/>
        <v xml:space="preserve"> </v>
      </c>
    </row>
    <row r="391" spans="1:13" x14ac:dyDescent="0.35">
      <c r="A391" t="s">
        <v>2324</v>
      </c>
      <c r="B391" t="s">
        <v>4851</v>
      </c>
      <c r="C391" t="s">
        <v>3935</v>
      </c>
      <c r="D391" t="s">
        <v>1885</v>
      </c>
      <c r="E391" t="s">
        <v>2753</v>
      </c>
      <c r="F391" t="s">
        <v>75</v>
      </c>
      <c r="G391" t="s">
        <v>76</v>
      </c>
      <c r="H391" t="s">
        <v>1767</v>
      </c>
      <c r="I391" t="s">
        <v>71</v>
      </c>
      <c r="J391" s="3">
        <v>44512</v>
      </c>
      <c r="M391" t="str">
        <f t="shared" si="6"/>
        <v xml:space="preserve"> </v>
      </c>
    </row>
    <row r="392" spans="1:13" x14ac:dyDescent="0.35">
      <c r="A392" t="s">
        <v>2326</v>
      </c>
      <c r="B392" t="s">
        <v>4852</v>
      </c>
      <c r="C392" t="s">
        <v>3936</v>
      </c>
      <c r="D392" t="s">
        <v>1881</v>
      </c>
      <c r="E392" t="s">
        <v>2751</v>
      </c>
      <c r="F392" t="s">
        <v>1129</v>
      </c>
      <c r="G392" t="s">
        <v>1070</v>
      </c>
      <c r="H392" t="s">
        <v>1883</v>
      </c>
      <c r="I392" t="s">
        <v>74</v>
      </c>
      <c r="J392" s="3">
        <v>44816</v>
      </c>
      <c r="M392" t="str">
        <f t="shared" si="6"/>
        <v xml:space="preserve"> </v>
      </c>
    </row>
    <row r="393" spans="1:13" x14ac:dyDescent="0.35">
      <c r="A393" t="s">
        <v>2328</v>
      </c>
      <c r="B393" t="s">
        <v>4853</v>
      </c>
      <c r="C393" t="s">
        <v>3937</v>
      </c>
      <c r="D393" t="s">
        <v>1758</v>
      </c>
      <c r="E393" t="s">
        <v>2749</v>
      </c>
      <c r="F393" t="s">
        <v>1166</v>
      </c>
      <c r="G393" t="s">
        <v>1076</v>
      </c>
      <c r="H393">
        <v>21599</v>
      </c>
      <c r="I393" t="s">
        <v>80</v>
      </c>
      <c r="J393" s="3">
        <v>45217</v>
      </c>
      <c r="M393" t="str">
        <f t="shared" si="6"/>
        <v xml:space="preserve"> </v>
      </c>
    </row>
    <row r="394" spans="1:13" x14ac:dyDescent="0.35">
      <c r="A394" t="s">
        <v>2330</v>
      </c>
      <c r="B394" t="s">
        <v>4854</v>
      </c>
      <c r="C394" t="s">
        <v>3938</v>
      </c>
      <c r="D394" t="s">
        <v>1898</v>
      </c>
      <c r="E394" t="s">
        <v>2747</v>
      </c>
      <c r="F394" t="s">
        <v>1159</v>
      </c>
      <c r="G394" t="s">
        <v>73</v>
      </c>
      <c r="H394">
        <v>8018</v>
      </c>
      <c r="I394" t="s">
        <v>71</v>
      </c>
      <c r="J394" s="3">
        <v>44545</v>
      </c>
      <c r="M394" t="str">
        <f t="shared" si="6"/>
        <v xml:space="preserve"> </v>
      </c>
    </row>
    <row r="395" spans="1:13" x14ac:dyDescent="0.35">
      <c r="A395" t="s">
        <v>2332</v>
      </c>
      <c r="B395" t="s">
        <v>4656</v>
      </c>
      <c r="C395" t="s">
        <v>3939</v>
      </c>
      <c r="D395" t="s">
        <v>1871</v>
      </c>
      <c r="E395" t="s">
        <v>2745</v>
      </c>
      <c r="F395" t="s">
        <v>1170</v>
      </c>
      <c r="G395" t="s">
        <v>76</v>
      </c>
      <c r="H395" t="s">
        <v>1873</v>
      </c>
      <c r="I395" t="s">
        <v>74</v>
      </c>
      <c r="J395" s="3">
        <v>44852</v>
      </c>
      <c r="M395" t="str">
        <f t="shared" si="6"/>
        <v xml:space="preserve"> </v>
      </c>
    </row>
    <row r="396" spans="1:13" x14ac:dyDescent="0.35">
      <c r="A396" t="s">
        <v>2334</v>
      </c>
      <c r="B396" t="s">
        <v>4855</v>
      </c>
      <c r="C396" t="s">
        <v>3940</v>
      </c>
      <c r="D396" t="s">
        <v>1905</v>
      </c>
      <c r="E396" t="s">
        <v>2743</v>
      </c>
      <c r="F396" t="s">
        <v>72</v>
      </c>
      <c r="G396" t="s">
        <v>73</v>
      </c>
      <c r="H396">
        <v>28001</v>
      </c>
      <c r="I396" t="s">
        <v>80</v>
      </c>
      <c r="J396" s="3">
        <v>45177</v>
      </c>
      <c r="M396" t="str">
        <f t="shared" si="6"/>
        <v xml:space="preserve"> </v>
      </c>
    </row>
    <row r="397" spans="1:13" x14ac:dyDescent="0.35">
      <c r="A397" t="s">
        <v>2336</v>
      </c>
      <c r="B397" t="s">
        <v>4856</v>
      </c>
      <c r="C397" t="s">
        <v>3941</v>
      </c>
      <c r="D397" t="s">
        <v>1895</v>
      </c>
      <c r="E397" t="s">
        <v>2741</v>
      </c>
      <c r="F397" t="s">
        <v>90</v>
      </c>
      <c r="G397" t="s">
        <v>91</v>
      </c>
      <c r="H397">
        <v>10178</v>
      </c>
      <c r="I397" t="s">
        <v>71</v>
      </c>
      <c r="J397" s="3">
        <v>44461</v>
      </c>
      <c r="M397" t="str">
        <f t="shared" si="6"/>
        <v xml:space="preserve"> </v>
      </c>
    </row>
    <row r="398" spans="1:13" x14ac:dyDescent="0.35">
      <c r="A398" t="s">
        <v>2339</v>
      </c>
      <c r="B398" t="s">
        <v>4857</v>
      </c>
      <c r="C398" t="s">
        <v>3942</v>
      </c>
      <c r="D398" t="s">
        <v>2738</v>
      </c>
      <c r="E398" t="s">
        <v>2739</v>
      </c>
      <c r="F398" t="s">
        <v>1512</v>
      </c>
      <c r="G398" t="s">
        <v>70</v>
      </c>
      <c r="H398">
        <v>77002</v>
      </c>
      <c r="I398" t="s">
        <v>74</v>
      </c>
      <c r="J398" s="3">
        <v>44887</v>
      </c>
      <c r="M398" t="str">
        <f t="shared" si="6"/>
        <v xml:space="preserve"> </v>
      </c>
    </row>
    <row r="399" spans="1:13" x14ac:dyDescent="0.35">
      <c r="A399" t="s">
        <v>2341</v>
      </c>
      <c r="B399" t="s">
        <v>4554</v>
      </c>
      <c r="C399" t="s">
        <v>3943</v>
      </c>
      <c r="D399" t="s">
        <v>2150</v>
      </c>
      <c r="E399" t="s">
        <v>2736</v>
      </c>
      <c r="F399" t="s">
        <v>1299</v>
      </c>
      <c r="G399" t="s">
        <v>1090</v>
      </c>
      <c r="H399">
        <v>54810</v>
      </c>
      <c r="I399" t="s">
        <v>80</v>
      </c>
      <c r="J399" s="3">
        <v>45160</v>
      </c>
      <c r="M399" t="str">
        <f t="shared" si="6"/>
        <v xml:space="preserve"> </v>
      </c>
    </row>
    <row r="400" spans="1:13" x14ac:dyDescent="0.35">
      <c r="A400" t="s">
        <v>2343</v>
      </c>
      <c r="B400" t="s">
        <v>4858</v>
      </c>
      <c r="C400" t="s">
        <v>3944</v>
      </c>
      <c r="D400" t="s">
        <v>1383</v>
      </c>
      <c r="E400" t="s">
        <v>2734</v>
      </c>
      <c r="F400" t="s">
        <v>75</v>
      </c>
      <c r="G400" t="s">
        <v>76</v>
      </c>
      <c r="H400" t="s">
        <v>1385</v>
      </c>
      <c r="I400" t="s">
        <v>71</v>
      </c>
      <c r="J400" s="3">
        <v>44477</v>
      </c>
      <c r="M400" t="str">
        <f t="shared" si="6"/>
        <v xml:space="preserve"> </v>
      </c>
    </row>
    <row r="401" spans="1:13" x14ac:dyDescent="0.35">
      <c r="A401" t="s">
        <v>2345</v>
      </c>
      <c r="B401" t="s">
        <v>4859</v>
      </c>
      <c r="C401" t="s">
        <v>3945</v>
      </c>
      <c r="D401" t="s">
        <v>1822</v>
      </c>
      <c r="E401" t="s">
        <v>2732</v>
      </c>
      <c r="F401" t="s">
        <v>1198</v>
      </c>
      <c r="G401" t="s">
        <v>1070</v>
      </c>
      <c r="H401" t="s">
        <v>1199</v>
      </c>
      <c r="I401" t="s">
        <v>74</v>
      </c>
      <c r="J401" s="3">
        <v>44907</v>
      </c>
      <c r="M401" t="str">
        <f t="shared" si="6"/>
        <v xml:space="preserve"> </v>
      </c>
    </row>
    <row r="402" spans="1:13" x14ac:dyDescent="0.35">
      <c r="A402" t="s">
        <v>2347</v>
      </c>
      <c r="B402" t="s">
        <v>4736</v>
      </c>
      <c r="C402" t="s">
        <v>3946</v>
      </c>
      <c r="D402" t="s">
        <v>2142</v>
      </c>
      <c r="E402" t="s">
        <v>2730</v>
      </c>
      <c r="F402" t="s">
        <v>1075</v>
      </c>
      <c r="G402" t="s">
        <v>1076</v>
      </c>
      <c r="H402">
        <v>12311</v>
      </c>
      <c r="I402" t="s">
        <v>80</v>
      </c>
      <c r="J402" s="3">
        <v>45135</v>
      </c>
      <c r="M402" t="str">
        <f t="shared" si="6"/>
        <v xml:space="preserve"> </v>
      </c>
    </row>
    <row r="403" spans="1:13" x14ac:dyDescent="0.35">
      <c r="A403" t="s">
        <v>2349</v>
      </c>
      <c r="B403" t="s">
        <v>4860</v>
      </c>
      <c r="C403" t="s">
        <v>3947</v>
      </c>
      <c r="D403" t="s">
        <v>1786</v>
      </c>
      <c r="E403" t="s">
        <v>2728</v>
      </c>
      <c r="F403" t="s">
        <v>1159</v>
      </c>
      <c r="G403" t="s">
        <v>73</v>
      </c>
      <c r="H403">
        <v>8008</v>
      </c>
      <c r="I403" t="s">
        <v>71</v>
      </c>
      <c r="J403" s="3">
        <v>44528</v>
      </c>
      <c r="M403" t="str">
        <f t="shared" si="6"/>
        <v xml:space="preserve"> </v>
      </c>
    </row>
    <row r="404" spans="1:13" x14ac:dyDescent="0.35">
      <c r="A404" t="s">
        <v>2351</v>
      </c>
      <c r="B404" t="s">
        <v>4861</v>
      </c>
      <c r="C404" t="s">
        <v>3948</v>
      </c>
      <c r="D404" t="s">
        <v>1396</v>
      </c>
      <c r="E404" t="s">
        <v>2726</v>
      </c>
      <c r="F404" t="s">
        <v>1170</v>
      </c>
      <c r="G404" t="s">
        <v>76</v>
      </c>
      <c r="H404" t="s">
        <v>1171</v>
      </c>
      <c r="I404" t="s">
        <v>74</v>
      </c>
      <c r="J404" s="3">
        <v>44832</v>
      </c>
      <c r="M404" t="str">
        <f t="shared" si="6"/>
        <v xml:space="preserve"> </v>
      </c>
    </row>
    <row r="405" spans="1:13" x14ac:dyDescent="0.35">
      <c r="A405" t="s">
        <v>2353</v>
      </c>
      <c r="B405" t="s">
        <v>4862</v>
      </c>
      <c r="C405" t="s">
        <v>3949</v>
      </c>
      <c r="D405" t="s">
        <v>1875</v>
      </c>
      <c r="E405" t="s">
        <v>2724</v>
      </c>
      <c r="F405" t="s">
        <v>72</v>
      </c>
      <c r="G405" t="s">
        <v>73</v>
      </c>
      <c r="H405">
        <v>28006</v>
      </c>
      <c r="I405" t="s">
        <v>80</v>
      </c>
      <c r="J405" s="3">
        <v>45085</v>
      </c>
      <c r="M405" t="str">
        <f t="shared" si="6"/>
        <v xml:space="preserve"> </v>
      </c>
    </row>
    <row r="406" spans="1:13" x14ac:dyDescent="0.35">
      <c r="A406" t="s">
        <v>2355</v>
      </c>
      <c r="B406" t="s">
        <v>4863</v>
      </c>
      <c r="C406" t="s">
        <v>3950</v>
      </c>
      <c r="D406" t="s">
        <v>1430</v>
      </c>
      <c r="E406" t="s">
        <v>2722</v>
      </c>
      <c r="F406" t="s">
        <v>90</v>
      </c>
      <c r="G406" t="s">
        <v>91</v>
      </c>
      <c r="H406">
        <v>10117</v>
      </c>
      <c r="I406" t="s">
        <v>71</v>
      </c>
      <c r="J406" s="3">
        <v>44552</v>
      </c>
      <c r="M406" t="str">
        <f t="shared" si="6"/>
        <v xml:space="preserve"> </v>
      </c>
    </row>
    <row r="407" spans="1:13" x14ac:dyDescent="0.35">
      <c r="A407" t="s">
        <v>2358</v>
      </c>
      <c r="B407" t="s">
        <v>4864</v>
      </c>
      <c r="C407" t="s">
        <v>3951</v>
      </c>
      <c r="D407" t="s">
        <v>2719</v>
      </c>
      <c r="E407" t="s">
        <v>2720</v>
      </c>
      <c r="F407" t="s">
        <v>1922</v>
      </c>
      <c r="G407" t="s">
        <v>70</v>
      </c>
      <c r="H407">
        <v>19106</v>
      </c>
      <c r="I407" t="s">
        <v>74</v>
      </c>
      <c r="J407" s="3">
        <v>44842</v>
      </c>
      <c r="M407" t="str">
        <f t="shared" si="6"/>
        <v xml:space="preserve"> </v>
      </c>
    </row>
    <row r="408" spans="1:13" x14ac:dyDescent="0.35">
      <c r="A408" t="s">
        <v>2361</v>
      </c>
      <c r="B408" t="s">
        <v>4823</v>
      </c>
      <c r="C408" t="s">
        <v>3952</v>
      </c>
      <c r="D408" t="s">
        <v>2128</v>
      </c>
      <c r="E408" t="s">
        <v>2717</v>
      </c>
      <c r="F408" t="s">
        <v>78</v>
      </c>
      <c r="G408" t="s">
        <v>79</v>
      </c>
      <c r="H408">
        <v>123456</v>
      </c>
      <c r="I408" t="s">
        <v>80</v>
      </c>
      <c r="J408" s="3">
        <v>45061</v>
      </c>
      <c r="M408" t="str">
        <f t="shared" si="6"/>
        <v xml:space="preserve"> </v>
      </c>
    </row>
    <row r="409" spans="1:13" x14ac:dyDescent="0.35">
      <c r="A409" t="s">
        <v>2363</v>
      </c>
      <c r="B409" t="s">
        <v>4761</v>
      </c>
      <c r="C409" t="s">
        <v>3953</v>
      </c>
      <c r="D409" t="s">
        <v>2125</v>
      </c>
      <c r="E409" t="s">
        <v>2715</v>
      </c>
      <c r="F409" t="s">
        <v>75</v>
      </c>
      <c r="G409" t="s">
        <v>76</v>
      </c>
      <c r="H409" t="s">
        <v>1767</v>
      </c>
      <c r="I409" t="s">
        <v>71</v>
      </c>
      <c r="J409" s="3">
        <v>44451</v>
      </c>
      <c r="M409" t="str">
        <f t="shared" si="6"/>
        <v xml:space="preserve"> </v>
      </c>
    </row>
    <row r="410" spans="1:13" x14ac:dyDescent="0.35">
      <c r="A410" t="s">
        <v>2365</v>
      </c>
      <c r="B410" t="s">
        <v>4865</v>
      </c>
      <c r="C410" t="s">
        <v>3954</v>
      </c>
      <c r="D410" t="s">
        <v>1792</v>
      </c>
      <c r="E410" t="s">
        <v>2713</v>
      </c>
      <c r="F410" t="s">
        <v>1129</v>
      </c>
      <c r="G410" t="s">
        <v>1070</v>
      </c>
      <c r="H410" t="s">
        <v>1130</v>
      </c>
      <c r="I410" t="s">
        <v>74</v>
      </c>
      <c r="J410" s="3">
        <v>44883</v>
      </c>
      <c r="M410" t="str">
        <f t="shared" si="6"/>
        <v xml:space="preserve"> </v>
      </c>
    </row>
    <row r="411" spans="1:13" x14ac:dyDescent="0.35">
      <c r="A411" t="s">
        <v>2367</v>
      </c>
      <c r="B411" t="s">
        <v>4544</v>
      </c>
      <c r="C411" t="s">
        <v>3955</v>
      </c>
      <c r="D411" t="s">
        <v>2119</v>
      </c>
      <c r="E411" t="s">
        <v>2711</v>
      </c>
      <c r="F411" t="s">
        <v>1075</v>
      </c>
      <c r="G411" t="s">
        <v>1076</v>
      </c>
      <c r="H411">
        <v>12311</v>
      </c>
      <c r="I411" t="s">
        <v>80</v>
      </c>
      <c r="J411" s="3">
        <v>45044</v>
      </c>
      <c r="M411" t="str">
        <f t="shared" si="6"/>
        <v xml:space="preserve"> </v>
      </c>
    </row>
    <row r="412" spans="1:13" x14ac:dyDescent="0.35">
      <c r="A412" t="s">
        <v>2369</v>
      </c>
      <c r="B412" t="s">
        <v>4852</v>
      </c>
      <c r="C412" t="s">
        <v>3956</v>
      </c>
      <c r="D412" t="s">
        <v>1433</v>
      </c>
      <c r="E412" t="s">
        <v>2709</v>
      </c>
      <c r="F412" t="s">
        <v>1159</v>
      </c>
      <c r="G412" t="s">
        <v>73</v>
      </c>
      <c r="H412">
        <v>8018</v>
      </c>
      <c r="I412" t="s">
        <v>71</v>
      </c>
      <c r="J412" s="3">
        <v>44481</v>
      </c>
      <c r="M412" t="str">
        <f t="shared" si="6"/>
        <v xml:space="preserve"> </v>
      </c>
    </row>
    <row r="413" spans="1:13" x14ac:dyDescent="0.35">
      <c r="A413" t="s">
        <v>2371</v>
      </c>
      <c r="B413" t="s">
        <v>4866</v>
      </c>
      <c r="C413" t="s">
        <v>3957</v>
      </c>
      <c r="D413" t="s">
        <v>1168</v>
      </c>
      <c r="E413" t="s">
        <v>2707</v>
      </c>
      <c r="F413" t="s">
        <v>1170</v>
      </c>
      <c r="G413" t="s">
        <v>76</v>
      </c>
      <c r="H413" t="s">
        <v>1989</v>
      </c>
      <c r="I413" t="s">
        <v>74</v>
      </c>
      <c r="J413" s="3">
        <v>44903</v>
      </c>
      <c r="M413" t="str">
        <f t="shared" si="6"/>
        <v xml:space="preserve"> </v>
      </c>
    </row>
    <row r="414" spans="1:13" x14ac:dyDescent="0.35">
      <c r="A414" t="s">
        <v>2373</v>
      </c>
      <c r="B414" t="s">
        <v>4867</v>
      </c>
      <c r="C414" t="s">
        <v>3958</v>
      </c>
      <c r="D414" t="s">
        <v>1540</v>
      </c>
      <c r="E414" t="s">
        <v>2705</v>
      </c>
      <c r="F414" t="s">
        <v>72</v>
      </c>
      <c r="G414" t="s">
        <v>73</v>
      </c>
      <c r="H414">
        <v>28001</v>
      </c>
      <c r="I414" t="s">
        <v>80</v>
      </c>
      <c r="J414" s="3">
        <v>45000</v>
      </c>
      <c r="M414" t="str">
        <f t="shared" si="6"/>
        <v xml:space="preserve"> </v>
      </c>
    </row>
    <row r="415" spans="1:13" x14ac:dyDescent="0.35">
      <c r="A415" t="s">
        <v>2375</v>
      </c>
      <c r="B415" t="s">
        <v>4780</v>
      </c>
      <c r="C415" t="s">
        <v>3959</v>
      </c>
      <c r="D415" t="s">
        <v>2110</v>
      </c>
      <c r="E415" t="s">
        <v>2703</v>
      </c>
      <c r="F415" t="s">
        <v>90</v>
      </c>
      <c r="G415" t="s">
        <v>91</v>
      </c>
      <c r="H415">
        <v>10719</v>
      </c>
      <c r="I415" t="s">
        <v>71</v>
      </c>
      <c r="J415" s="3">
        <v>44522</v>
      </c>
      <c r="M415" t="str">
        <f t="shared" si="6"/>
        <v xml:space="preserve"> </v>
      </c>
    </row>
    <row r="416" spans="1:13" x14ac:dyDescent="0.35">
      <c r="A416" t="s">
        <v>2378</v>
      </c>
      <c r="B416" t="s">
        <v>4666</v>
      </c>
      <c r="C416" t="s">
        <v>3960</v>
      </c>
      <c r="D416" t="s">
        <v>2700</v>
      </c>
      <c r="E416" t="s">
        <v>2701</v>
      </c>
      <c r="F416" t="s">
        <v>1864</v>
      </c>
      <c r="G416" t="s">
        <v>70</v>
      </c>
      <c r="H416">
        <v>30303</v>
      </c>
      <c r="I416" t="s">
        <v>74</v>
      </c>
      <c r="J416" s="3">
        <v>44819</v>
      </c>
      <c r="M416" t="str">
        <f t="shared" si="6"/>
        <v xml:space="preserve"> </v>
      </c>
    </row>
    <row r="417" spans="1:13" x14ac:dyDescent="0.35">
      <c r="A417" t="s">
        <v>2381</v>
      </c>
      <c r="B417" t="s">
        <v>4868</v>
      </c>
      <c r="C417" t="s">
        <v>3961</v>
      </c>
      <c r="D417" t="s">
        <v>2104</v>
      </c>
      <c r="E417" t="s">
        <v>2698</v>
      </c>
      <c r="F417" t="s">
        <v>1089</v>
      </c>
      <c r="G417" t="s">
        <v>1090</v>
      </c>
      <c r="H417">
        <v>75600</v>
      </c>
      <c r="I417" t="s">
        <v>80</v>
      </c>
      <c r="J417" s="3">
        <v>44985</v>
      </c>
      <c r="M417" t="str">
        <f t="shared" si="6"/>
        <v xml:space="preserve"> </v>
      </c>
    </row>
    <row r="418" spans="1:13" x14ac:dyDescent="0.35">
      <c r="A418" t="s">
        <v>2383</v>
      </c>
      <c r="B418" t="s">
        <v>4553</v>
      </c>
      <c r="C418" t="s">
        <v>3962</v>
      </c>
      <c r="D418" t="s">
        <v>2101</v>
      </c>
      <c r="E418" t="s">
        <v>2696</v>
      </c>
      <c r="F418" t="s">
        <v>75</v>
      </c>
      <c r="G418" t="s">
        <v>76</v>
      </c>
      <c r="H418" t="s">
        <v>1385</v>
      </c>
      <c r="I418" t="s">
        <v>71</v>
      </c>
      <c r="J418" s="3">
        <v>44558</v>
      </c>
      <c r="M418" t="str">
        <f t="shared" si="6"/>
        <v xml:space="preserve"> </v>
      </c>
    </row>
    <row r="419" spans="1:13" x14ac:dyDescent="0.35">
      <c r="A419" t="s">
        <v>2385</v>
      </c>
      <c r="B419" t="s">
        <v>4869</v>
      </c>
      <c r="C419" t="s">
        <v>3963</v>
      </c>
      <c r="D419" t="s">
        <v>2313</v>
      </c>
      <c r="E419" t="s">
        <v>2694</v>
      </c>
      <c r="F419" t="s">
        <v>1198</v>
      </c>
      <c r="G419" t="s">
        <v>1070</v>
      </c>
      <c r="H419" t="s">
        <v>1199</v>
      </c>
      <c r="I419" t="s">
        <v>74</v>
      </c>
      <c r="J419" s="3">
        <v>44856</v>
      </c>
      <c r="M419" t="str">
        <f t="shared" si="6"/>
        <v xml:space="preserve"> </v>
      </c>
    </row>
    <row r="420" spans="1:13" x14ac:dyDescent="0.35">
      <c r="A420" t="s">
        <v>2387</v>
      </c>
      <c r="B420" t="s">
        <v>4870</v>
      </c>
      <c r="C420" t="s">
        <v>3964</v>
      </c>
      <c r="D420" t="s">
        <v>2095</v>
      </c>
      <c r="E420" t="s">
        <v>2692</v>
      </c>
      <c r="F420" t="s">
        <v>1075</v>
      </c>
      <c r="G420" t="s">
        <v>1076</v>
      </c>
      <c r="H420">
        <v>11341</v>
      </c>
      <c r="I420" t="s">
        <v>80</v>
      </c>
      <c r="J420" s="3">
        <v>44934</v>
      </c>
      <c r="M420" t="str">
        <f t="shared" si="6"/>
        <v xml:space="preserve"> </v>
      </c>
    </row>
    <row r="421" spans="1:13" x14ac:dyDescent="0.35">
      <c r="A421" t="s">
        <v>2389</v>
      </c>
      <c r="B421" t="s">
        <v>4871</v>
      </c>
      <c r="C421" t="s">
        <v>3965</v>
      </c>
      <c r="D421" t="s">
        <v>1157</v>
      </c>
      <c r="E421" t="s">
        <v>2690</v>
      </c>
      <c r="F421" t="s">
        <v>1159</v>
      </c>
      <c r="G421" t="s">
        <v>73</v>
      </c>
      <c r="H421">
        <v>8008</v>
      </c>
      <c r="I421" t="s">
        <v>71</v>
      </c>
      <c r="J421" s="3">
        <v>44457</v>
      </c>
      <c r="M421" t="str">
        <f t="shared" si="6"/>
        <v xml:space="preserve"> </v>
      </c>
    </row>
    <row r="422" spans="1:13" x14ac:dyDescent="0.35">
      <c r="A422" t="s">
        <v>2391</v>
      </c>
      <c r="B422" t="s">
        <v>4872</v>
      </c>
      <c r="C422" t="s">
        <v>3966</v>
      </c>
      <c r="D422" t="s">
        <v>2090</v>
      </c>
      <c r="E422" t="s">
        <v>2688</v>
      </c>
      <c r="F422" t="s">
        <v>1170</v>
      </c>
      <c r="G422" t="s">
        <v>76</v>
      </c>
      <c r="H422" t="s">
        <v>1873</v>
      </c>
      <c r="I422" t="s">
        <v>74</v>
      </c>
      <c r="J422" s="3">
        <v>44873</v>
      </c>
      <c r="M422" t="str">
        <f t="shared" si="6"/>
        <v xml:space="preserve"> </v>
      </c>
    </row>
    <row r="423" spans="1:13" x14ac:dyDescent="0.35">
      <c r="A423" t="s">
        <v>2393</v>
      </c>
      <c r="B423" t="s">
        <v>4873</v>
      </c>
      <c r="C423" t="s">
        <v>3967</v>
      </c>
      <c r="D423" t="s">
        <v>1484</v>
      </c>
      <c r="E423" t="s">
        <v>2686</v>
      </c>
      <c r="F423" t="s">
        <v>72</v>
      </c>
      <c r="G423" t="s">
        <v>73</v>
      </c>
      <c r="H423">
        <v>28006</v>
      </c>
      <c r="I423" t="s">
        <v>80</v>
      </c>
      <c r="J423" s="3">
        <v>45282</v>
      </c>
      <c r="M423" t="str">
        <f t="shared" si="6"/>
        <v xml:space="preserve"> </v>
      </c>
    </row>
    <row r="424" spans="1:13" x14ac:dyDescent="0.35">
      <c r="A424" t="s">
        <v>2395</v>
      </c>
      <c r="B424" t="s">
        <v>4874</v>
      </c>
      <c r="C424" t="s">
        <v>3968</v>
      </c>
      <c r="D424" t="s">
        <v>2085</v>
      </c>
      <c r="E424" t="s">
        <v>2684</v>
      </c>
      <c r="F424" t="s">
        <v>90</v>
      </c>
      <c r="G424" t="s">
        <v>91</v>
      </c>
      <c r="H424">
        <v>10178</v>
      </c>
      <c r="I424" t="s">
        <v>71</v>
      </c>
      <c r="J424" s="3">
        <v>44491</v>
      </c>
      <c r="M424" t="str">
        <f t="shared" si="6"/>
        <v xml:space="preserve"> </v>
      </c>
    </row>
    <row r="425" spans="1:13" x14ac:dyDescent="0.35">
      <c r="A425" t="s">
        <v>2398</v>
      </c>
      <c r="B425" t="s">
        <v>4875</v>
      </c>
      <c r="C425" t="s">
        <v>3969</v>
      </c>
      <c r="D425" t="s">
        <v>2682</v>
      </c>
      <c r="E425" t="s">
        <v>2420</v>
      </c>
      <c r="F425" t="s">
        <v>1834</v>
      </c>
      <c r="G425" t="s">
        <v>70</v>
      </c>
      <c r="H425">
        <v>75202</v>
      </c>
      <c r="I425" t="s">
        <v>74</v>
      </c>
      <c r="J425" s="3">
        <v>44910</v>
      </c>
      <c r="M425" t="str">
        <f t="shared" si="6"/>
        <v xml:space="preserve"> </v>
      </c>
    </row>
    <row r="426" spans="1:13" x14ac:dyDescent="0.35">
      <c r="A426" t="s">
        <v>2401</v>
      </c>
      <c r="B426" t="s">
        <v>4876</v>
      </c>
      <c r="C426" t="s">
        <v>3970</v>
      </c>
      <c r="D426" t="s">
        <v>2079</v>
      </c>
      <c r="E426" t="s">
        <v>2680</v>
      </c>
      <c r="F426" t="s">
        <v>1299</v>
      </c>
      <c r="G426" t="s">
        <v>1090</v>
      </c>
      <c r="H426">
        <v>54810</v>
      </c>
      <c r="I426" t="s">
        <v>80</v>
      </c>
      <c r="J426" s="3">
        <v>45248</v>
      </c>
      <c r="M426" t="str">
        <f t="shared" si="6"/>
        <v xml:space="preserve"> </v>
      </c>
    </row>
    <row r="427" spans="1:13" x14ac:dyDescent="0.35">
      <c r="A427" t="s">
        <v>2403</v>
      </c>
      <c r="B427" t="s">
        <v>4725</v>
      </c>
      <c r="C427" t="s">
        <v>3971</v>
      </c>
      <c r="D427" t="s">
        <v>1765</v>
      </c>
      <c r="E427" t="s">
        <v>2678</v>
      </c>
      <c r="F427" t="s">
        <v>75</v>
      </c>
      <c r="G427" t="s">
        <v>76</v>
      </c>
      <c r="H427" t="s">
        <v>1767</v>
      </c>
      <c r="I427" t="s">
        <v>71</v>
      </c>
      <c r="J427" s="3">
        <v>44508</v>
      </c>
      <c r="M427" t="str">
        <f t="shared" si="6"/>
        <v xml:space="preserve"> </v>
      </c>
    </row>
    <row r="428" spans="1:13" x14ac:dyDescent="0.35">
      <c r="A428" t="s">
        <v>2405</v>
      </c>
      <c r="B428" t="s">
        <v>4701</v>
      </c>
      <c r="C428" t="s">
        <v>3972</v>
      </c>
      <c r="D428" t="s">
        <v>2292</v>
      </c>
      <c r="E428" t="s">
        <v>2676</v>
      </c>
      <c r="F428" t="s">
        <v>1129</v>
      </c>
      <c r="G428" t="s">
        <v>1070</v>
      </c>
      <c r="H428" t="s">
        <v>1883</v>
      </c>
      <c r="I428" t="s">
        <v>74</v>
      </c>
      <c r="J428" s="3">
        <v>44826</v>
      </c>
      <c r="M428" t="str">
        <f t="shared" si="6"/>
        <v xml:space="preserve"> </v>
      </c>
    </row>
    <row r="429" spans="1:13" x14ac:dyDescent="0.35">
      <c r="A429" t="s">
        <v>2407</v>
      </c>
      <c r="B429" t="s">
        <v>1949</v>
      </c>
      <c r="C429" t="s">
        <v>3973</v>
      </c>
      <c r="D429" t="s">
        <v>2071</v>
      </c>
      <c r="E429" t="s">
        <v>2674</v>
      </c>
      <c r="F429" t="s">
        <v>1166</v>
      </c>
      <c r="G429" t="s">
        <v>1076</v>
      </c>
      <c r="H429">
        <v>21599</v>
      </c>
      <c r="I429" t="s">
        <v>80</v>
      </c>
      <c r="J429" s="3">
        <v>45211</v>
      </c>
      <c r="M429" t="str">
        <f t="shared" si="6"/>
        <v xml:space="preserve"> </v>
      </c>
    </row>
    <row r="430" spans="1:13" x14ac:dyDescent="0.35">
      <c r="A430" t="s">
        <v>2409</v>
      </c>
      <c r="B430" t="s">
        <v>4877</v>
      </c>
      <c r="C430" t="s">
        <v>3974</v>
      </c>
      <c r="D430" t="s">
        <v>2068</v>
      </c>
      <c r="E430" t="s">
        <v>2672</v>
      </c>
      <c r="F430" t="s">
        <v>1159</v>
      </c>
      <c r="G430" t="s">
        <v>73</v>
      </c>
      <c r="H430">
        <v>8018</v>
      </c>
      <c r="I430" t="s">
        <v>71</v>
      </c>
      <c r="J430" s="3">
        <v>44538</v>
      </c>
      <c r="M430" t="str">
        <f t="shared" si="6"/>
        <v xml:space="preserve"> </v>
      </c>
    </row>
    <row r="431" spans="1:13" x14ac:dyDescent="0.35">
      <c r="A431" t="s">
        <v>2411</v>
      </c>
      <c r="B431" t="s">
        <v>4878</v>
      </c>
      <c r="C431" t="s">
        <v>3975</v>
      </c>
      <c r="D431" t="s">
        <v>2065</v>
      </c>
      <c r="E431" t="s">
        <v>2670</v>
      </c>
      <c r="F431" t="s">
        <v>1170</v>
      </c>
      <c r="G431" t="s">
        <v>76</v>
      </c>
      <c r="H431" t="s">
        <v>1171</v>
      </c>
      <c r="I431" t="s">
        <v>74</v>
      </c>
      <c r="J431" s="3">
        <v>44846</v>
      </c>
      <c r="M431" t="str">
        <f t="shared" si="6"/>
        <v xml:space="preserve"> </v>
      </c>
    </row>
    <row r="432" spans="1:13" x14ac:dyDescent="0.35">
      <c r="A432" t="s">
        <v>2413</v>
      </c>
      <c r="B432" t="s">
        <v>4879</v>
      </c>
      <c r="C432" t="s">
        <v>3976</v>
      </c>
      <c r="D432" t="s">
        <v>1380</v>
      </c>
      <c r="E432" t="s">
        <v>2668</v>
      </c>
      <c r="F432" t="s">
        <v>72</v>
      </c>
      <c r="G432" t="s">
        <v>73</v>
      </c>
      <c r="H432">
        <v>28001</v>
      </c>
      <c r="I432" t="s">
        <v>80</v>
      </c>
      <c r="J432" s="3">
        <v>45181</v>
      </c>
      <c r="M432" t="str">
        <f t="shared" si="6"/>
        <v xml:space="preserve"> </v>
      </c>
    </row>
    <row r="433" spans="1:13" x14ac:dyDescent="0.35">
      <c r="A433" t="s">
        <v>2415</v>
      </c>
      <c r="B433" t="s">
        <v>4601</v>
      </c>
      <c r="C433" t="s">
        <v>3977</v>
      </c>
      <c r="D433" t="s">
        <v>2060</v>
      </c>
      <c r="E433" t="s">
        <v>2666</v>
      </c>
      <c r="F433" t="s">
        <v>90</v>
      </c>
      <c r="G433" t="s">
        <v>91</v>
      </c>
      <c r="H433">
        <v>10785</v>
      </c>
      <c r="I433" t="s">
        <v>71</v>
      </c>
      <c r="J433" s="3">
        <v>44467</v>
      </c>
      <c r="M433" t="str">
        <f t="shared" si="6"/>
        <v xml:space="preserve"> </v>
      </c>
    </row>
    <row r="434" spans="1:13" x14ac:dyDescent="0.35">
      <c r="A434" t="s">
        <v>2418</v>
      </c>
      <c r="B434" t="s">
        <v>4603</v>
      </c>
      <c r="C434" t="s">
        <v>3978</v>
      </c>
      <c r="D434" t="s">
        <v>2663</v>
      </c>
      <c r="E434" t="s">
        <v>2664</v>
      </c>
      <c r="F434" t="s">
        <v>1404</v>
      </c>
      <c r="G434" t="s">
        <v>70</v>
      </c>
      <c r="H434">
        <v>33139</v>
      </c>
      <c r="I434" t="s">
        <v>74</v>
      </c>
      <c r="J434" s="3">
        <v>44893</v>
      </c>
      <c r="M434" t="str">
        <f t="shared" si="6"/>
        <v xml:space="preserve"> </v>
      </c>
    </row>
    <row r="435" spans="1:13" x14ac:dyDescent="0.35">
      <c r="A435" t="s">
        <v>2421</v>
      </c>
      <c r="B435" t="s">
        <v>4880</v>
      </c>
      <c r="C435" t="s">
        <v>3979</v>
      </c>
      <c r="D435" t="s">
        <v>2054</v>
      </c>
      <c r="E435" t="s">
        <v>2661</v>
      </c>
      <c r="F435" t="s">
        <v>78</v>
      </c>
      <c r="G435" t="s">
        <v>79</v>
      </c>
      <c r="H435">
        <v>123456</v>
      </c>
      <c r="I435" t="s">
        <v>80</v>
      </c>
      <c r="J435" s="3">
        <v>45146</v>
      </c>
      <c r="M435" t="str">
        <f t="shared" si="6"/>
        <v xml:space="preserve"> </v>
      </c>
    </row>
    <row r="436" spans="1:13" x14ac:dyDescent="0.35">
      <c r="A436" t="s">
        <v>2423</v>
      </c>
      <c r="B436" t="s">
        <v>4881</v>
      </c>
      <c r="C436" t="s">
        <v>3980</v>
      </c>
      <c r="D436" t="s">
        <v>2051</v>
      </c>
      <c r="E436" t="s">
        <v>2659</v>
      </c>
      <c r="F436" t="s">
        <v>75</v>
      </c>
      <c r="G436" t="s">
        <v>76</v>
      </c>
      <c r="H436" t="s">
        <v>1385</v>
      </c>
      <c r="I436" t="s">
        <v>71</v>
      </c>
      <c r="J436" s="3">
        <v>44497</v>
      </c>
      <c r="M436" t="str">
        <f t="shared" si="6"/>
        <v xml:space="preserve"> </v>
      </c>
    </row>
    <row r="437" spans="1:13" x14ac:dyDescent="0.35">
      <c r="A437" t="s">
        <v>2425</v>
      </c>
      <c r="B437" t="s">
        <v>4849</v>
      </c>
      <c r="C437" t="s">
        <v>3981</v>
      </c>
      <c r="D437" t="s">
        <v>2271</v>
      </c>
      <c r="E437" t="s">
        <v>2657</v>
      </c>
      <c r="F437" t="s">
        <v>1198</v>
      </c>
      <c r="G437" t="s">
        <v>1070</v>
      </c>
      <c r="H437" t="s">
        <v>1199</v>
      </c>
      <c r="I437" t="s">
        <v>74</v>
      </c>
      <c r="J437" s="3">
        <v>44913</v>
      </c>
      <c r="M437" t="str">
        <f t="shared" si="6"/>
        <v xml:space="preserve"> </v>
      </c>
    </row>
    <row r="438" spans="1:13" x14ac:dyDescent="0.35">
      <c r="A438" t="s">
        <v>2427</v>
      </c>
      <c r="B438" t="s">
        <v>4633</v>
      </c>
      <c r="C438" t="s">
        <v>3982</v>
      </c>
      <c r="D438" t="s">
        <v>2020</v>
      </c>
      <c r="E438" t="s">
        <v>2655</v>
      </c>
      <c r="F438" t="s">
        <v>1075</v>
      </c>
      <c r="G438" t="s">
        <v>1076</v>
      </c>
      <c r="H438">
        <v>12311</v>
      </c>
      <c r="I438" t="s">
        <v>80</v>
      </c>
      <c r="J438" s="3">
        <v>45119</v>
      </c>
      <c r="M438" t="str">
        <f t="shared" si="6"/>
        <v xml:space="preserve"> </v>
      </c>
    </row>
    <row r="439" spans="1:13" x14ac:dyDescent="0.35">
      <c r="A439" t="s">
        <v>2429</v>
      </c>
      <c r="B439" t="s">
        <v>4882</v>
      </c>
      <c r="C439" t="s">
        <v>3983</v>
      </c>
      <c r="D439" t="s">
        <v>2042</v>
      </c>
      <c r="E439" t="s">
        <v>2653</v>
      </c>
      <c r="F439" t="s">
        <v>1159</v>
      </c>
      <c r="G439" t="s">
        <v>73</v>
      </c>
      <c r="H439">
        <v>8008</v>
      </c>
      <c r="I439" t="s">
        <v>71</v>
      </c>
      <c r="J439" s="3">
        <v>44518</v>
      </c>
      <c r="M439" t="str">
        <f t="shared" si="6"/>
        <v xml:space="preserve"> </v>
      </c>
    </row>
    <row r="440" spans="1:13" x14ac:dyDescent="0.35">
      <c r="A440" t="s">
        <v>2431</v>
      </c>
      <c r="B440" t="s">
        <v>4883</v>
      </c>
      <c r="C440" t="s">
        <v>3984</v>
      </c>
      <c r="D440" t="s">
        <v>2039</v>
      </c>
      <c r="E440" t="s">
        <v>2651</v>
      </c>
      <c r="F440" t="s">
        <v>1170</v>
      </c>
      <c r="G440" t="s">
        <v>76</v>
      </c>
      <c r="H440" t="s">
        <v>1989</v>
      </c>
      <c r="I440" t="s">
        <v>74</v>
      </c>
      <c r="J440" s="3">
        <v>44812</v>
      </c>
      <c r="M440" t="str">
        <f t="shared" si="6"/>
        <v xml:space="preserve"> </v>
      </c>
    </row>
    <row r="441" spans="1:13" x14ac:dyDescent="0.35">
      <c r="A441" t="s">
        <v>2433</v>
      </c>
      <c r="B441" t="s">
        <v>4884</v>
      </c>
      <c r="C441" t="s">
        <v>3985</v>
      </c>
      <c r="D441" t="s">
        <v>1268</v>
      </c>
      <c r="E441" t="s">
        <v>2649</v>
      </c>
      <c r="F441" t="s">
        <v>72</v>
      </c>
      <c r="G441" t="s">
        <v>73</v>
      </c>
      <c r="H441">
        <v>28006</v>
      </c>
      <c r="I441" t="s">
        <v>80</v>
      </c>
      <c r="J441" s="3">
        <v>45105</v>
      </c>
      <c r="M441" t="str">
        <f t="shared" si="6"/>
        <v xml:space="preserve"> </v>
      </c>
    </row>
    <row r="442" spans="1:13" x14ac:dyDescent="0.35">
      <c r="A442" t="s">
        <v>2435</v>
      </c>
      <c r="B442" t="s">
        <v>4885</v>
      </c>
      <c r="C442" t="s">
        <v>3986</v>
      </c>
      <c r="D442" t="s">
        <v>2034</v>
      </c>
      <c r="E442" t="s">
        <v>2647</v>
      </c>
      <c r="F442" t="s">
        <v>90</v>
      </c>
      <c r="G442" t="s">
        <v>91</v>
      </c>
      <c r="H442">
        <v>10178</v>
      </c>
      <c r="I442" t="s">
        <v>71</v>
      </c>
      <c r="J442" s="3">
        <v>44552</v>
      </c>
      <c r="M442" t="str">
        <f t="shared" si="6"/>
        <v xml:space="preserve"> </v>
      </c>
    </row>
    <row r="443" spans="1:13" x14ac:dyDescent="0.35">
      <c r="A443" t="s">
        <v>2438</v>
      </c>
      <c r="B443" t="s">
        <v>4886</v>
      </c>
      <c r="C443" t="s">
        <v>3987</v>
      </c>
      <c r="D443" t="s">
        <v>2644</v>
      </c>
      <c r="E443" t="s">
        <v>2645</v>
      </c>
      <c r="F443" t="s">
        <v>1512</v>
      </c>
      <c r="G443" t="s">
        <v>70</v>
      </c>
      <c r="H443">
        <v>77002</v>
      </c>
      <c r="I443" t="s">
        <v>74</v>
      </c>
      <c r="J443" s="3">
        <v>44852</v>
      </c>
      <c r="M443" t="str">
        <f t="shared" si="6"/>
        <v xml:space="preserve"> </v>
      </c>
    </row>
    <row r="444" spans="1:13" x14ac:dyDescent="0.35">
      <c r="A444" t="s">
        <v>2441</v>
      </c>
      <c r="B444" t="s">
        <v>4887</v>
      </c>
      <c r="C444" t="s">
        <v>3988</v>
      </c>
      <c r="D444" t="s">
        <v>2028</v>
      </c>
      <c r="E444" t="s">
        <v>2642</v>
      </c>
      <c r="F444" t="s">
        <v>1089</v>
      </c>
      <c r="G444" t="s">
        <v>1090</v>
      </c>
      <c r="H444">
        <v>75600</v>
      </c>
      <c r="I444" t="s">
        <v>80</v>
      </c>
      <c r="J444" s="3">
        <v>45068</v>
      </c>
      <c r="M444" t="str">
        <f t="shared" si="6"/>
        <v xml:space="preserve"> </v>
      </c>
    </row>
    <row r="445" spans="1:13" x14ac:dyDescent="0.35">
      <c r="A445" t="s">
        <v>2443</v>
      </c>
      <c r="B445" t="s">
        <v>4888</v>
      </c>
      <c r="C445" t="s">
        <v>3989</v>
      </c>
      <c r="D445" t="s">
        <v>1514</v>
      </c>
      <c r="E445" t="s">
        <v>2640</v>
      </c>
      <c r="F445" t="s">
        <v>75</v>
      </c>
      <c r="G445" t="s">
        <v>76</v>
      </c>
      <c r="H445" t="s">
        <v>1767</v>
      </c>
      <c r="I445" t="s">
        <v>71</v>
      </c>
      <c r="J445" s="3">
        <v>44447</v>
      </c>
      <c r="M445" t="str">
        <f t="shared" si="6"/>
        <v xml:space="preserve"> </v>
      </c>
    </row>
    <row r="446" spans="1:13" x14ac:dyDescent="0.35">
      <c r="A446" t="s">
        <v>2445</v>
      </c>
      <c r="B446" t="s">
        <v>4889</v>
      </c>
      <c r="C446" t="s">
        <v>3990</v>
      </c>
      <c r="D446" t="s">
        <v>2250</v>
      </c>
      <c r="E446" t="s">
        <v>2638</v>
      </c>
      <c r="F446" t="s">
        <v>1129</v>
      </c>
      <c r="G446" t="s">
        <v>1070</v>
      </c>
      <c r="H446" t="s">
        <v>1130</v>
      </c>
      <c r="I446" t="s">
        <v>74</v>
      </c>
      <c r="J446" s="3">
        <v>44877</v>
      </c>
      <c r="M446" t="str">
        <f t="shared" si="6"/>
        <v xml:space="preserve"> </v>
      </c>
    </row>
    <row r="447" spans="1:13" x14ac:dyDescent="0.35">
      <c r="A447" t="s">
        <v>2447</v>
      </c>
      <c r="B447" t="s">
        <v>4877</v>
      </c>
      <c r="C447" t="s">
        <v>3991</v>
      </c>
      <c r="D447" t="s">
        <v>1966</v>
      </c>
      <c r="E447" t="s">
        <v>2636</v>
      </c>
      <c r="F447" t="s">
        <v>1075</v>
      </c>
      <c r="G447" t="s">
        <v>1076</v>
      </c>
      <c r="H447">
        <v>12311</v>
      </c>
      <c r="I447" t="s">
        <v>80</v>
      </c>
      <c r="J447" s="3">
        <v>45031</v>
      </c>
      <c r="M447" t="str">
        <f t="shared" si="6"/>
        <v xml:space="preserve"> </v>
      </c>
    </row>
    <row r="448" spans="1:13" x14ac:dyDescent="0.35">
      <c r="A448" t="s">
        <v>2449</v>
      </c>
      <c r="B448" t="s">
        <v>4685</v>
      </c>
      <c r="C448" t="s">
        <v>3992</v>
      </c>
      <c r="D448" t="s">
        <v>2017</v>
      </c>
      <c r="E448" t="s">
        <v>2634</v>
      </c>
      <c r="F448" t="s">
        <v>1159</v>
      </c>
      <c r="G448" t="s">
        <v>73</v>
      </c>
      <c r="H448">
        <v>8018</v>
      </c>
      <c r="I448" t="s">
        <v>71</v>
      </c>
      <c r="J448" s="3">
        <v>44491</v>
      </c>
      <c r="M448" t="str">
        <f t="shared" si="6"/>
        <v xml:space="preserve"> </v>
      </c>
    </row>
    <row r="449" spans="1:13" x14ac:dyDescent="0.35">
      <c r="A449" t="s">
        <v>2451</v>
      </c>
      <c r="B449" t="s">
        <v>4890</v>
      </c>
      <c r="C449" t="s">
        <v>3993</v>
      </c>
      <c r="D449" t="s">
        <v>2014</v>
      </c>
      <c r="E449" t="s">
        <v>2632</v>
      </c>
      <c r="F449" t="s">
        <v>1170</v>
      </c>
      <c r="G449" t="s">
        <v>76</v>
      </c>
      <c r="H449" t="s">
        <v>1873</v>
      </c>
      <c r="I449" t="s">
        <v>74</v>
      </c>
      <c r="J449" s="3">
        <v>44907</v>
      </c>
      <c r="M449" t="str">
        <f t="shared" si="6"/>
        <v xml:space="preserve"> </v>
      </c>
    </row>
    <row r="450" spans="1:13" x14ac:dyDescent="0.35">
      <c r="A450" t="s">
        <v>2453</v>
      </c>
      <c r="B450" t="s">
        <v>4891</v>
      </c>
      <c r="C450" t="s">
        <v>3994</v>
      </c>
      <c r="D450" t="s">
        <v>2011</v>
      </c>
      <c r="E450" t="s">
        <v>2630</v>
      </c>
      <c r="F450" t="s">
        <v>72</v>
      </c>
      <c r="G450" t="s">
        <v>73</v>
      </c>
      <c r="H450">
        <v>28001</v>
      </c>
      <c r="I450" t="s">
        <v>80</v>
      </c>
      <c r="J450" s="3">
        <v>45007</v>
      </c>
      <c r="M450" t="str">
        <f t="shared" si="6"/>
        <v xml:space="preserve"> </v>
      </c>
    </row>
    <row r="451" spans="1:13" x14ac:dyDescent="0.35">
      <c r="A451" t="s">
        <v>2455</v>
      </c>
      <c r="B451" t="s">
        <v>4892</v>
      </c>
      <c r="C451" t="s">
        <v>3995</v>
      </c>
      <c r="D451" t="s">
        <v>2008</v>
      </c>
      <c r="E451" t="s">
        <v>2628</v>
      </c>
      <c r="F451" t="s">
        <v>90</v>
      </c>
      <c r="G451" t="s">
        <v>91</v>
      </c>
      <c r="H451">
        <v>10117</v>
      </c>
      <c r="I451" t="s">
        <v>71</v>
      </c>
      <c r="J451" s="3">
        <v>44512</v>
      </c>
      <c r="M451" t="str">
        <f t="shared" si="6"/>
        <v xml:space="preserve"> </v>
      </c>
    </row>
    <row r="452" spans="1:13" x14ac:dyDescent="0.35">
      <c r="A452" t="s">
        <v>2458</v>
      </c>
      <c r="B452" t="s">
        <v>4893</v>
      </c>
      <c r="C452" t="s">
        <v>3996</v>
      </c>
      <c r="D452" t="s">
        <v>2625</v>
      </c>
      <c r="E452" t="s">
        <v>2626</v>
      </c>
      <c r="F452" t="s">
        <v>1745</v>
      </c>
      <c r="G452" t="s">
        <v>70</v>
      </c>
      <c r="H452">
        <v>85016</v>
      </c>
      <c r="I452" t="s">
        <v>74</v>
      </c>
      <c r="J452" s="3">
        <v>44829</v>
      </c>
      <c r="M452" t="str">
        <f t="shared" ref="M452:M515" si="7">V452&amp;" "&amp;W452</f>
        <v xml:space="preserve"> </v>
      </c>
    </row>
    <row r="453" spans="1:13" x14ac:dyDescent="0.35">
      <c r="A453" t="s">
        <v>2460</v>
      </c>
      <c r="B453" t="s">
        <v>4894</v>
      </c>
      <c r="C453" t="s">
        <v>3997</v>
      </c>
      <c r="D453" t="s">
        <v>2002</v>
      </c>
      <c r="E453" t="s">
        <v>2623</v>
      </c>
      <c r="F453" t="s">
        <v>1299</v>
      </c>
      <c r="G453" t="s">
        <v>1090</v>
      </c>
      <c r="H453">
        <v>54810</v>
      </c>
      <c r="I453" t="s">
        <v>80</v>
      </c>
      <c r="J453" s="3">
        <v>44979</v>
      </c>
      <c r="M453" t="str">
        <f t="shared" si="7"/>
        <v xml:space="preserve"> </v>
      </c>
    </row>
    <row r="454" spans="1:13" x14ac:dyDescent="0.35">
      <c r="A454" t="s">
        <v>2462</v>
      </c>
      <c r="B454" t="s">
        <v>4895</v>
      </c>
      <c r="C454" t="s">
        <v>3998</v>
      </c>
      <c r="D454" t="s">
        <v>1487</v>
      </c>
      <c r="E454" t="s">
        <v>2621</v>
      </c>
      <c r="F454" t="s">
        <v>75</v>
      </c>
      <c r="G454" t="s">
        <v>76</v>
      </c>
      <c r="H454" t="s">
        <v>1385</v>
      </c>
      <c r="I454" t="s">
        <v>71</v>
      </c>
      <c r="J454" s="3">
        <v>44548</v>
      </c>
      <c r="M454" t="str">
        <f t="shared" si="7"/>
        <v xml:space="preserve"> </v>
      </c>
    </row>
    <row r="455" spans="1:13" x14ac:dyDescent="0.35">
      <c r="A455" t="s">
        <v>2464</v>
      </c>
      <c r="B455" t="s">
        <v>4896</v>
      </c>
      <c r="C455" t="s">
        <v>3999</v>
      </c>
      <c r="D455" t="s">
        <v>2229</v>
      </c>
      <c r="E455" t="s">
        <v>2619</v>
      </c>
      <c r="F455" t="s">
        <v>1198</v>
      </c>
      <c r="G455" t="s">
        <v>1070</v>
      </c>
      <c r="H455" t="s">
        <v>1199</v>
      </c>
      <c r="I455" t="s">
        <v>74</v>
      </c>
      <c r="J455" s="3">
        <v>44846</v>
      </c>
      <c r="M455" t="str">
        <f t="shared" si="7"/>
        <v xml:space="preserve"> </v>
      </c>
    </row>
    <row r="456" spans="1:13" x14ac:dyDescent="0.35">
      <c r="A456" t="s">
        <v>2466</v>
      </c>
      <c r="B456" t="s">
        <v>4897</v>
      </c>
      <c r="C456" t="s">
        <v>4000</v>
      </c>
      <c r="D456" t="s">
        <v>1908</v>
      </c>
      <c r="E456" t="s">
        <v>2617</v>
      </c>
      <c r="F456" t="s">
        <v>1075</v>
      </c>
      <c r="G456" t="s">
        <v>1076</v>
      </c>
      <c r="H456">
        <v>11341</v>
      </c>
      <c r="I456" t="s">
        <v>80</v>
      </c>
      <c r="J456" s="3">
        <v>44944</v>
      </c>
      <c r="M456" t="str">
        <f t="shared" si="7"/>
        <v xml:space="preserve"> </v>
      </c>
    </row>
    <row r="457" spans="1:13" x14ac:dyDescent="0.35">
      <c r="A457" t="s">
        <v>2468</v>
      </c>
      <c r="B457" t="s">
        <v>4898</v>
      </c>
      <c r="C457" t="s">
        <v>4001</v>
      </c>
      <c r="D457" t="s">
        <v>1991</v>
      </c>
      <c r="E457" t="s">
        <v>2615</v>
      </c>
      <c r="F457" t="s">
        <v>1159</v>
      </c>
      <c r="G457" t="s">
        <v>73</v>
      </c>
      <c r="H457">
        <v>8008</v>
      </c>
      <c r="I457" t="s">
        <v>71</v>
      </c>
      <c r="J457" s="3">
        <v>44451</v>
      </c>
      <c r="M457" t="str">
        <f t="shared" si="7"/>
        <v xml:space="preserve"> </v>
      </c>
    </row>
    <row r="458" spans="1:13" x14ac:dyDescent="0.35">
      <c r="A458" t="s">
        <v>2470</v>
      </c>
      <c r="B458" t="s">
        <v>4899</v>
      </c>
      <c r="C458" t="s">
        <v>4002</v>
      </c>
      <c r="D458" t="s">
        <v>1987</v>
      </c>
      <c r="E458" t="s">
        <v>2613</v>
      </c>
      <c r="F458" t="s">
        <v>1170</v>
      </c>
      <c r="G458" t="s">
        <v>76</v>
      </c>
      <c r="H458" t="s">
        <v>1171</v>
      </c>
      <c r="I458" t="s">
        <v>74</v>
      </c>
      <c r="J458" s="3">
        <v>44887</v>
      </c>
      <c r="M458" t="str">
        <f t="shared" si="7"/>
        <v xml:space="preserve"> </v>
      </c>
    </row>
    <row r="459" spans="1:13" x14ac:dyDescent="0.35">
      <c r="A459" t="s">
        <v>2472</v>
      </c>
      <c r="B459" t="s">
        <v>4900</v>
      </c>
      <c r="C459" t="s">
        <v>4003</v>
      </c>
      <c r="D459" t="s">
        <v>1984</v>
      </c>
      <c r="E459" t="s">
        <v>2611</v>
      </c>
      <c r="F459" t="s">
        <v>72</v>
      </c>
      <c r="G459" t="s">
        <v>73</v>
      </c>
      <c r="H459">
        <v>28006</v>
      </c>
      <c r="I459" t="s">
        <v>80</v>
      </c>
      <c r="J459" s="3">
        <v>45268</v>
      </c>
      <c r="M459" t="str">
        <f t="shared" si="7"/>
        <v xml:space="preserve"> </v>
      </c>
    </row>
    <row r="460" spans="1:13" x14ac:dyDescent="0.35">
      <c r="A460" t="s">
        <v>2474</v>
      </c>
      <c r="B460" t="s">
        <v>4804</v>
      </c>
      <c r="C460" t="s">
        <v>4004</v>
      </c>
      <c r="D460" t="s">
        <v>1981</v>
      </c>
      <c r="E460" t="s">
        <v>1222</v>
      </c>
      <c r="F460" t="s">
        <v>90</v>
      </c>
      <c r="G460" t="s">
        <v>91</v>
      </c>
      <c r="H460">
        <v>10117</v>
      </c>
      <c r="I460" t="s">
        <v>71</v>
      </c>
      <c r="J460" s="3">
        <v>44477</v>
      </c>
      <c r="M460" t="str">
        <f t="shared" si="7"/>
        <v xml:space="preserve"> </v>
      </c>
    </row>
    <row r="461" spans="1:13" x14ac:dyDescent="0.35">
      <c r="A461" t="s">
        <v>2477</v>
      </c>
      <c r="B461" t="s">
        <v>4901</v>
      </c>
      <c r="C461" t="s">
        <v>4005</v>
      </c>
      <c r="D461" t="s">
        <v>2607</v>
      </c>
      <c r="E461" t="s">
        <v>2608</v>
      </c>
      <c r="F461" t="s">
        <v>1922</v>
      </c>
      <c r="G461" t="s">
        <v>70</v>
      </c>
      <c r="H461">
        <v>19106</v>
      </c>
      <c r="I461" t="s">
        <v>74</v>
      </c>
      <c r="J461" s="3">
        <v>44862</v>
      </c>
      <c r="M461" t="str">
        <f t="shared" si="7"/>
        <v xml:space="preserve"> </v>
      </c>
    </row>
    <row r="462" spans="1:13" x14ac:dyDescent="0.35">
      <c r="A462" t="s">
        <v>2479</v>
      </c>
      <c r="B462" t="s">
        <v>4822</v>
      </c>
      <c r="C462" t="s">
        <v>4006</v>
      </c>
      <c r="D462" t="s">
        <v>1974</v>
      </c>
      <c r="E462" t="s">
        <v>2605</v>
      </c>
      <c r="F462" t="s">
        <v>78</v>
      </c>
      <c r="G462" t="s">
        <v>79</v>
      </c>
      <c r="H462">
        <v>123456</v>
      </c>
      <c r="I462" t="s">
        <v>80</v>
      </c>
      <c r="J462" s="3">
        <v>45238</v>
      </c>
      <c r="M462" t="str">
        <f t="shared" si="7"/>
        <v xml:space="preserve"> </v>
      </c>
    </row>
    <row r="463" spans="1:13" x14ac:dyDescent="0.35">
      <c r="A463" t="s">
        <v>2481</v>
      </c>
      <c r="B463" t="s">
        <v>4902</v>
      </c>
      <c r="C463" t="s">
        <v>4007</v>
      </c>
      <c r="D463" t="s">
        <v>1460</v>
      </c>
      <c r="E463" t="s">
        <v>2603</v>
      </c>
      <c r="F463" t="s">
        <v>75</v>
      </c>
      <c r="G463" t="s">
        <v>76</v>
      </c>
      <c r="H463" t="s">
        <v>1767</v>
      </c>
      <c r="I463" t="s">
        <v>71</v>
      </c>
      <c r="J463" s="3">
        <v>44528</v>
      </c>
      <c r="M463" t="str">
        <f t="shared" si="7"/>
        <v xml:space="preserve"> </v>
      </c>
    </row>
    <row r="464" spans="1:13" x14ac:dyDescent="0.35">
      <c r="A464" t="s">
        <v>2483</v>
      </c>
      <c r="B464" t="s">
        <v>4903</v>
      </c>
      <c r="C464" t="s">
        <v>4008</v>
      </c>
      <c r="D464" t="s">
        <v>2208</v>
      </c>
      <c r="E464" t="s">
        <v>2601</v>
      </c>
      <c r="F464" t="s">
        <v>1129</v>
      </c>
      <c r="G464" t="s">
        <v>1070</v>
      </c>
      <c r="H464" t="s">
        <v>1883</v>
      </c>
      <c r="I464" t="s">
        <v>74</v>
      </c>
      <c r="J464" s="3">
        <v>44822</v>
      </c>
      <c r="M464" t="str">
        <f t="shared" si="7"/>
        <v xml:space="preserve"> </v>
      </c>
    </row>
    <row r="465" spans="1:13" x14ac:dyDescent="0.35">
      <c r="A465" t="s">
        <v>2485</v>
      </c>
      <c r="B465" t="s">
        <v>4904</v>
      </c>
      <c r="C465" t="s">
        <v>4009</v>
      </c>
      <c r="D465" t="s">
        <v>1859</v>
      </c>
      <c r="E465" t="s">
        <v>2599</v>
      </c>
      <c r="F465" t="s">
        <v>1166</v>
      </c>
      <c r="G465" t="s">
        <v>1076</v>
      </c>
      <c r="H465">
        <v>21599</v>
      </c>
      <c r="I465" t="s">
        <v>80</v>
      </c>
      <c r="J465" s="3">
        <v>45221</v>
      </c>
      <c r="M465" t="str">
        <f t="shared" si="7"/>
        <v xml:space="preserve"> </v>
      </c>
    </row>
    <row r="466" spans="1:13" x14ac:dyDescent="0.35">
      <c r="A466" t="s">
        <v>2487</v>
      </c>
      <c r="B466" t="s">
        <v>4646</v>
      </c>
      <c r="C466" t="s">
        <v>4010</v>
      </c>
      <c r="D466" t="s">
        <v>1963</v>
      </c>
      <c r="E466" t="s">
        <v>2597</v>
      </c>
      <c r="F466" t="s">
        <v>1159</v>
      </c>
      <c r="G466" t="s">
        <v>73</v>
      </c>
      <c r="H466">
        <v>8018</v>
      </c>
      <c r="I466" t="s">
        <v>71</v>
      </c>
      <c r="J466" s="3">
        <v>44558</v>
      </c>
      <c r="M466" t="str">
        <f t="shared" si="7"/>
        <v xml:space="preserve"> </v>
      </c>
    </row>
    <row r="467" spans="1:13" x14ac:dyDescent="0.35">
      <c r="A467" t="s">
        <v>2489</v>
      </c>
      <c r="B467" t="s">
        <v>4814</v>
      </c>
      <c r="C467" t="s">
        <v>4011</v>
      </c>
      <c r="D467" t="s">
        <v>1960</v>
      </c>
      <c r="E467" t="s">
        <v>2595</v>
      </c>
      <c r="F467" t="s">
        <v>1170</v>
      </c>
      <c r="G467" t="s">
        <v>76</v>
      </c>
      <c r="H467" t="s">
        <v>1989</v>
      </c>
      <c r="I467" t="s">
        <v>74</v>
      </c>
      <c r="J467" s="3">
        <v>44842</v>
      </c>
      <c r="M467" t="str">
        <f t="shared" si="7"/>
        <v xml:space="preserve"> </v>
      </c>
    </row>
    <row r="468" spans="1:13" x14ac:dyDescent="0.35">
      <c r="A468" t="s">
        <v>2491</v>
      </c>
      <c r="B468" t="s">
        <v>4790</v>
      </c>
      <c r="C468" t="s">
        <v>4012</v>
      </c>
      <c r="D468" t="s">
        <v>1957</v>
      </c>
      <c r="E468" t="s">
        <v>2593</v>
      </c>
      <c r="F468" t="s">
        <v>72</v>
      </c>
      <c r="G468" t="s">
        <v>73</v>
      </c>
      <c r="H468">
        <v>28001</v>
      </c>
      <c r="I468" t="s">
        <v>80</v>
      </c>
      <c r="J468" s="3">
        <v>45197</v>
      </c>
      <c r="M468" t="str">
        <f t="shared" si="7"/>
        <v xml:space="preserve"> </v>
      </c>
    </row>
    <row r="469" spans="1:13" x14ac:dyDescent="0.35">
      <c r="A469" t="s">
        <v>2493</v>
      </c>
      <c r="B469" t="s">
        <v>4905</v>
      </c>
      <c r="C469" t="s">
        <v>4013</v>
      </c>
      <c r="D469" t="s">
        <v>1954</v>
      </c>
      <c r="E469" t="s">
        <v>2591</v>
      </c>
      <c r="F469" t="s">
        <v>90</v>
      </c>
      <c r="G469" t="s">
        <v>91</v>
      </c>
      <c r="H469">
        <v>10719</v>
      </c>
      <c r="I469" t="s">
        <v>71</v>
      </c>
      <c r="J469" s="3">
        <v>44454</v>
      </c>
      <c r="M469" t="str">
        <f t="shared" si="7"/>
        <v xml:space="preserve"> </v>
      </c>
    </row>
    <row r="470" spans="1:13" x14ac:dyDescent="0.35">
      <c r="A470" t="s">
        <v>2495</v>
      </c>
      <c r="B470" t="s">
        <v>4906</v>
      </c>
      <c r="C470" t="s">
        <v>4014</v>
      </c>
      <c r="D470" t="s">
        <v>2588</v>
      </c>
      <c r="E470" t="s">
        <v>2589</v>
      </c>
      <c r="F470" t="s">
        <v>1864</v>
      </c>
      <c r="G470" t="s">
        <v>70</v>
      </c>
      <c r="H470">
        <v>30303</v>
      </c>
      <c r="I470" t="s">
        <v>74</v>
      </c>
      <c r="J470" s="3">
        <v>44883</v>
      </c>
      <c r="M470" t="str">
        <f t="shared" si="7"/>
        <v xml:space="preserve"> </v>
      </c>
    </row>
    <row r="471" spans="1:13" x14ac:dyDescent="0.35">
      <c r="A471" t="s">
        <v>2497</v>
      </c>
      <c r="B471" t="s">
        <v>4907</v>
      </c>
      <c r="C471" t="s">
        <v>4015</v>
      </c>
      <c r="D471" t="s">
        <v>1887</v>
      </c>
      <c r="E471" t="s">
        <v>2586</v>
      </c>
      <c r="F471" t="s">
        <v>1089</v>
      </c>
      <c r="G471" t="s">
        <v>1090</v>
      </c>
      <c r="H471">
        <v>75600</v>
      </c>
      <c r="I471" t="s">
        <v>80</v>
      </c>
      <c r="J471" s="3">
        <v>45150</v>
      </c>
      <c r="M471" t="str">
        <f t="shared" si="7"/>
        <v xml:space="preserve"> </v>
      </c>
    </row>
    <row r="472" spans="1:13" x14ac:dyDescent="0.35">
      <c r="A472" t="s">
        <v>2499</v>
      </c>
      <c r="B472" t="s">
        <v>4908</v>
      </c>
      <c r="C472" t="s">
        <v>4016</v>
      </c>
      <c r="D472" t="s">
        <v>1914</v>
      </c>
      <c r="E472" t="s">
        <v>2584</v>
      </c>
      <c r="F472" t="s">
        <v>75</v>
      </c>
      <c r="G472" t="s">
        <v>76</v>
      </c>
      <c r="H472" t="s">
        <v>1385</v>
      </c>
      <c r="I472" t="s">
        <v>71</v>
      </c>
      <c r="J472" s="3">
        <v>44481</v>
      </c>
      <c r="M472" t="str">
        <f t="shared" si="7"/>
        <v xml:space="preserve"> </v>
      </c>
    </row>
    <row r="473" spans="1:13" x14ac:dyDescent="0.35">
      <c r="A473" t="s">
        <v>2501</v>
      </c>
      <c r="B473" t="s">
        <v>4909</v>
      </c>
      <c r="C473" t="s">
        <v>4017</v>
      </c>
      <c r="D473" t="s">
        <v>2187</v>
      </c>
      <c r="E473" t="s">
        <v>2582</v>
      </c>
      <c r="F473" t="s">
        <v>1198</v>
      </c>
      <c r="G473" t="s">
        <v>1070</v>
      </c>
      <c r="H473" t="s">
        <v>1199</v>
      </c>
      <c r="I473" t="s">
        <v>74</v>
      </c>
      <c r="J473" s="3">
        <v>44903</v>
      </c>
      <c r="M473" t="str">
        <f t="shared" si="7"/>
        <v xml:space="preserve"> </v>
      </c>
    </row>
    <row r="474" spans="1:13" x14ac:dyDescent="0.35">
      <c r="A474" t="s">
        <v>2503</v>
      </c>
      <c r="B474" t="s">
        <v>4910</v>
      </c>
      <c r="C474" t="s">
        <v>4018</v>
      </c>
      <c r="D474" t="s">
        <v>1819</v>
      </c>
      <c r="E474" t="s">
        <v>2580</v>
      </c>
      <c r="F474" t="s">
        <v>1075</v>
      </c>
      <c r="G474" t="s">
        <v>1076</v>
      </c>
      <c r="H474">
        <v>12311</v>
      </c>
      <c r="I474" t="s">
        <v>80</v>
      </c>
      <c r="J474" s="3">
        <v>45129</v>
      </c>
      <c r="M474" t="str">
        <f t="shared" si="7"/>
        <v xml:space="preserve"> </v>
      </c>
    </row>
    <row r="475" spans="1:13" x14ac:dyDescent="0.35">
      <c r="A475" t="s">
        <v>2505</v>
      </c>
      <c r="B475" t="s">
        <v>4911</v>
      </c>
      <c r="C475" t="s">
        <v>4019</v>
      </c>
      <c r="D475" t="s">
        <v>1934</v>
      </c>
      <c r="E475" t="s">
        <v>2578</v>
      </c>
      <c r="F475" t="s">
        <v>1159</v>
      </c>
      <c r="G475" t="s">
        <v>73</v>
      </c>
      <c r="H475">
        <v>8008</v>
      </c>
      <c r="I475" t="s">
        <v>71</v>
      </c>
      <c r="J475" s="3">
        <v>44508</v>
      </c>
      <c r="M475" t="str">
        <f t="shared" si="7"/>
        <v xml:space="preserve"> </v>
      </c>
    </row>
    <row r="476" spans="1:13" x14ac:dyDescent="0.35">
      <c r="A476" t="s">
        <v>2507</v>
      </c>
      <c r="B476" t="s">
        <v>4583</v>
      </c>
      <c r="C476" t="s">
        <v>4020</v>
      </c>
      <c r="D476" t="s">
        <v>1930</v>
      </c>
      <c r="E476" t="s">
        <v>2576</v>
      </c>
      <c r="F476" t="s">
        <v>1170</v>
      </c>
      <c r="G476" t="s">
        <v>76</v>
      </c>
      <c r="H476" t="s">
        <v>1873</v>
      </c>
      <c r="I476" t="s">
        <v>74</v>
      </c>
      <c r="J476" s="3">
        <v>44816</v>
      </c>
      <c r="M476" t="str">
        <f t="shared" si="7"/>
        <v xml:space="preserve"> </v>
      </c>
    </row>
    <row r="477" spans="1:13" x14ac:dyDescent="0.35">
      <c r="A477" t="s">
        <v>2509</v>
      </c>
      <c r="B477" t="s">
        <v>4850</v>
      </c>
      <c r="C477" t="s">
        <v>4021</v>
      </c>
      <c r="D477" t="s">
        <v>1927</v>
      </c>
      <c r="E477" t="s">
        <v>2574</v>
      </c>
      <c r="F477" t="s">
        <v>72</v>
      </c>
      <c r="G477" t="s">
        <v>73</v>
      </c>
      <c r="H477">
        <v>28006</v>
      </c>
      <c r="I477" t="s">
        <v>80</v>
      </c>
      <c r="J477" s="3">
        <v>45095</v>
      </c>
      <c r="M477" t="str">
        <f t="shared" si="7"/>
        <v xml:space="preserve"> </v>
      </c>
    </row>
    <row r="478" spans="1:13" x14ac:dyDescent="0.35">
      <c r="A478" t="s">
        <v>2511</v>
      </c>
      <c r="B478" t="s">
        <v>4912</v>
      </c>
      <c r="C478" t="s">
        <v>4022</v>
      </c>
      <c r="D478" t="s">
        <v>1924</v>
      </c>
      <c r="E478" t="s">
        <v>2572</v>
      </c>
      <c r="F478" t="s">
        <v>90</v>
      </c>
      <c r="G478" t="s">
        <v>91</v>
      </c>
      <c r="H478">
        <v>10178</v>
      </c>
      <c r="I478" t="s">
        <v>71</v>
      </c>
      <c r="J478" s="3">
        <v>44542</v>
      </c>
      <c r="M478" t="str">
        <f t="shared" si="7"/>
        <v xml:space="preserve"> </v>
      </c>
    </row>
    <row r="479" spans="1:13" x14ac:dyDescent="0.35">
      <c r="A479" t="s">
        <v>2513</v>
      </c>
      <c r="B479" t="s">
        <v>4879</v>
      </c>
      <c r="C479" t="s">
        <v>4023</v>
      </c>
      <c r="D479" t="s">
        <v>2570</v>
      </c>
      <c r="E479" t="s">
        <v>2301</v>
      </c>
      <c r="F479" t="s">
        <v>1834</v>
      </c>
      <c r="G479" t="s">
        <v>70</v>
      </c>
      <c r="H479">
        <v>75202</v>
      </c>
      <c r="I479" t="s">
        <v>74</v>
      </c>
      <c r="J479" s="3">
        <v>44856</v>
      </c>
      <c r="M479" t="str">
        <f t="shared" si="7"/>
        <v xml:space="preserve"> </v>
      </c>
    </row>
    <row r="480" spans="1:13" x14ac:dyDescent="0.35">
      <c r="A480" t="s">
        <v>2515</v>
      </c>
      <c r="B480" t="s">
        <v>4608</v>
      </c>
      <c r="C480" t="s">
        <v>4024</v>
      </c>
      <c r="D480" t="s">
        <v>1946</v>
      </c>
      <c r="E480" t="s">
        <v>2568</v>
      </c>
      <c r="F480" t="s">
        <v>1299</v>
      </c>
      <c r="G480" t="s">
        <v>1090</v>
      </c>
      <c r="H480">
        <v>54810</v>
      </c>
      <c r="I480" t="s">
        <v>80</v>
      </c>
      <c r="J480" s="3">
        <v>45074</v>
      </c>
      <c r="M480" t="str">
        <f t="shared" si="7"/>
        <v xml:space="preserve"> </v>
      </c>
    </row>
    <row r="481" spans="1:13" x14ac:dyDescent="0.35">
      <c r="A481" t="s">
        <v>2517</v>
      </c>
      <c r="B481" t="s">
        <v>4844</v>
      </c>
      <c r="C481" t="s">
        <v>4025</v>
      </c>
      <c r="D481" t="s">
        <v>1885</v>
      </c>
      <c r="E481" t="s">
        <v>2566</v>
      </c>
      <c r="F481" t="s">
        <v>75</v>
      </c>
      <c r="G481" t="s">
        <v>76</v>
      </c>
      <c r="H481" t="s">
        <v>1767</v>
      </c>
      <c r="I481" t="s">
        <v>71</v>
      </c>
      <c r="J481" s="3">
        <v>44461</v>
      </c>
      <c r="M481" t="str">
        <f t="shared" si="7"/>
        <v xml:space="preserve"> </v>
      </c>
    </row>
    <row r="482" spans="1:13" x14ac:dyDescent="0.35">
      <c r="A482" t="s">
        <v>2519</v>
      </c>
      <c r="B482" t="s">
        <v>4913</v>
      </c>
      <c r="C482" t="s">
        <v>4026</v>
      </c>
      <c r="D482" t="s">
        <v>2166</v>
      </c>
      <c r="E482" t="s">
        <v>2564</v>
      </c>
      <c r="F482" t="s">
        <v>1129</v>
      </c>
      <c r="G482" t="s">
        <v>1070</v>
      </c>
      <c r="H482" t="s">
        <v>1130</v>
      </c>
      <c r="I482" t="s">
        <v>74</v>
      </c>
      <c r="J482" s="3">
        <v>44873</v>
      </c>
      <c r="M482" t="str">
        <f t="shared" si="7"/>
        <v xml:space="preserve"> </v>
      </c>
    </row>
    <row r="483" spans="1:13" x14ac:dyDescent="0.35">
      <c r="A483" t="s">
        <v>2521</v>
      </c>
      <c r="B483" t="s">
        <v>4914</v>
      </c>
      <c r="C483" t="s">
        <v>4027</v>
      </c>
      <c r="D483" t="s">
        <v>1758</v>
      </c>
      <c r="E483" t="s">
        <v>2562</v>
      </c>
      <c r="F483" t="s">
        <v>1075</v>
      </c>
      <c r="G483" t="s">
        <v>1076</v>
      </c>
      <c r="H483">
        <v>12311</v>
      </c>
      <c r="I483" t="s">
        <v>80</v>
      </c>
      <c r="J483" s="3">
        <v>45038</v>
      </c>
      <c r="M483" t="str">
        <f t="shared" si="7"/>
        <v xml:space="preserve"> </v>
      </c>
    </row>
    <row r="484" spans="1:13" x14ac:dyDescent="0.35">
      <c r="A484" t="s">
        <v>2523</v>
      </c>
      <c r="B484" t="s">
        <v>4915</v>
      </c>
      <c r="C484" t="s">
        <v>4028</v>
      </c>
      <c r="D484" t="s">
        <v>1898</v>
      </c>
      <c r="E484" t="s">
        <v>2560</v>
      </c>
      <c r="F484" t="s">
        <v>1159</v>
      </c>
      <c r="G484" t="s">
        <v>73</v>
      </c>
      <c r="H484">
        <v>8018</v>
      </c>
      <c r="I484" t="s">
        <v>71</v>
      </c>
      <c r="J484" s="3">
        <v>44487</v>
      </c>
      <c r="M484" t="str">
        <f t="shared" si="7"/>
        <v xml:space="preserve"> </v>
      </c>
    </row>
    <row r="485" spans="1:13" x14ac:dyDescent="0.35">
      <c r="A485" t="s">
        <v>2525</v>
      </c>
      <c r="B485" t="s">
        <v>4916</v>
      </c>
      <c r="C485" t="s">
        <v>4029</v>
      </c>
      <c r="D485" t="s">
        <v>1871</v>
      </c>
      <c r="E485" t="s">
        <v>2558</v>
      </c>
      <c r="F485" t="s">
        <v>1170</v>
      </c>
      <c r="G485" t="s">
        <v>76</v>
      </c>
      <c r="H485" t="s">
        <v>1171</v>
      </c>
      <c r="I485" t="s">
        <v>74</v>
      </c>
      <c r="J485" s="3">
        <v>44913</v>
      </c>
      <c r="M485" t="str">
        <f t="shared" si="7"/>
        <v xml:space="preserve"> </v>
      </c>
    </row>
    <row r="486" spans="1:13" x14ac:dyDescent="0.35">
      <c r="A486" t="s">
        <v>2527</v>
      </c>
      <c r="B486" t="s">
        <v>4917</v>
      </c>
      <c r="C486" t="s">
        <v>4030</v>
      </c>
      <c r="D486" t="s">
        <v>1905</v>
      </c>
      <c r="E486" t="s">
        <v>2556</v>
      </c>
      <c r="F486" t="s">
        <v>72</v>
      </c>
      <c r="G486" t="s">
        <v>73</v>
      </c>
      <c r="H486">
        <v>28001</v>
      </c>
      <c r="I486" t="s">
        <v>80</v>
      </c>
      <c r="J486" s="3">
        <v>44993</v>
      </c>
      <c r="M486" t="str">
        <f t="shared" si="7"/>
        <v xml:space="preserve"> </v>
      </c>
    </row>
    <row r="487" spans="1:13" x14ac:dyDescent="0.35">
      <c r="A487" t="s">
        <v>2529</v>
      </c>
      <c r="B487" t="s">
        <v>4904</v>
      </c>
      <c r="C487" t="s">
        <v>4031</v>
      </c>
      <c r="D487" t="s">
        <v>1895</v>
      </c>
      <c r="E487" t="s">
        <v>2554</v>
      </c>
      <c r="F487" t="s">
        <v>90</v>
      </c>
      <c r="G487" t="s">
        <v>91</v>
      </c>
      <c r="H487">
        <v>10785</v>
      </c>
      <c r="I487" t="s">
        <v>71</v>
      </c>
      <c r="J487" s="3">
        <v>44522</v>
      </c>
      <c r="M487" t="str">
        <f t="shared" si="7"/>
        <v xml:space="preserve"> </v>
      </c>
    </row>
    <row r="488" spans="1:13" x14ac:dyDescent="0.35">
      <c r="A488" t="s">
        <v>2532</v>
      </c>
      <c r="B488" t="s">
        <v>4918</v>
      </c>
      <c r="C488" t="s">
        <v>4032</v>
      </c>
      <c r="D488" t="s">
        <v>2551</v>
      </c>
      <c r="E488" t="s">
        <v>2552</v>
      </c>
      <c r="F488" t="s">
        <v>1404</v>
      </c>
      <c r="G488" t="s">
        <v>70</v>
      </c>
      <c r="H488">
        <v>33139</v>
      </c>
      <c r="I488" t="s">
        <v>74</v>
      </c>
      <c r="J488" s="3">
        <v>44832</v>
      </c>
      <c r="M488" t="str">
        <f t="shared" si="7"/>
        <v xml:space="preserve"> </v>
      </c>
    </row>
    <row r="489" spans="1:13" x14ac:dyDescent="0.35">
      <c r="A489" t="s">
        <v>2534</v>
      </c>
      <c r="B489" t="s">
        <v>4892</v>
      </c>
      <c r="C489" t="s">
        <v>4033</v>
      </c>
      <c r="D489" t="s">
        <v>1917</v>
      </c>
      <c r="E489" t="s">
        <v>2549</v>
      </c>
      <c r="F489" t="s">
        <v>78</v>
      </c>
      <c r="G489" t="s">
        <v>79</v>
      </c>
      <c r="H489">
        <v>123456</v>
      </c>
      <c r="I489" t="s">
        <v>80</v>
      </c>
      <c r="J489" s="3">
        <v>44972</v>
      </c>
      <c r="M489" t="str">
        <f t="shared" si="7"/>
        <v xml:space="preserve"> </v>
      </c>
    </row>
    <row r="490" spans="1:13" x14ac:dyDescent="0.35">
      <c r="A490" t="s">
        <v>2536</v>
      </c>
      <c r="B490" t="s">
        <v>4919</v>
      </c>
      <c r="C490" t="s">
        <v>4034</v>
      </c>
      <c r="D490" t="s">
        <v>1383</v>
      </c>
      <c r="E490" t="s">
        <v>2547</v>
      </c>
      <c r="F490" t="s">
        <v>75</v>
      </c>
      <c r="G490" t="s">
        <v>76</v>
      </c>
      <c r="H490" t="s">
        <v>1385</v>
      </c>
      <c r="I490" t="s">
        <v>71</v>
      </c>
      <c r="J490" s="3">
        <v>44552</v>
      </c>
      <c r="M490" t="str">
        <f t="shared" si="7"/>
        <v xml:space="preserve"> </v>
      </c>
    </row>
    <row r="491" spans="1:13" x14ac:dyDescent="0.35">
      <c r="A491" t="s">
        <v>2538</v>
      </c>
      <c r="B491" t="s">
        <v>4570</v>
      </c>
      <c r="C491" t="s">
        <v>4035</v>
      </c>
      <c r="D491" t="s">
        <v>2145</v>
      </c>
      <c r="E491" t="s">
        <v>2545</v>
      </c>
      <c r="F491" t="s">
        <v>1198</v>
      </c>
      <c r="G491" t="s">
        <v>1070</v>
      </c>
      <c r="H491" t="s">
        <v>1199</v>
      </c>
      <c r="I491" t="s">
        <v>74</v>
      </c>
      <c r="J491" s="3">
        <v>44852</v>
      </c>
      <c r="M491" t="str">
        <f t="shared" si="7"/>
        <v xml:space="preserve"> </v>
      </c>
    </row>
    <row r="492" spans="1:13" x14ac:dyDescent="0.35">
      <c r="A492" t="s">
        <v>2540</v>
      </c>
      <c r="B492" t="s">
        <v>4920</v>
      </c>
      <c r="C492" t="s">
        <v>4036</v>
      </c>
      <c r="D492" t="s">
        <v>2142</v>
      </c>
      <c r="E492" t="s">
        <v>2543</v>
      </c>
      <c r="F492" t="s">
        <v>1075</v>
      </c>
      <c r="G492" t="s">
        <v>1076</v>
      </c>
      <c r="H492">
        <v>11341</v>
      </c>
      <c r="I492" t="s">
        <v>80</v>
      </c>
      <c r="J492" s="3">
        <v>44954</v>
      </c>
      <c r="M492" t="str">
        <f t="shared" si="7"/>
        <v xml:space="preserve"> </v>
      </c>
    </row>
    <row r="493" spans="1:13" x14ac:dyDescent="0.35">
      <c r="A493" t="s">
        <v>2542</v>
      </c>
      <c r="B493" t="s">
        <v>4921</v>
      </c>
      <c r="C493" t="s">
        <v>4037</v>
      </c>
      <c r="D493" t="s">
        <v>1786</v>
      </c>
      <c r="E493" t="s">
        <v>2541</v>
      </c>
      <c r="F493" t="s">
        <v>1159</v>
      </c>
      <c r="G493" t="s">
        <v>73</v>
      </c>
      <c r="H493">
        <v>8008</v>
      </c>
      <c r="I493" t="s">
        <v>71</v>
      </c>
      <c r="J493" s="3">
        <v>44447</v>
      </c>
      <c r="M493" t="str">
        <f t="shared" si="7"/>
        <v xml:space="preserve"> </v>
      </c>
    </row>
    <row r="494" spans="1:13" x14ac:dyDescent="0.35">
      <c r="A494" t="s">
        <v>2544</v>
      </c>
      <c r="B494" t="s">
        <v>4922</v>
      </c>
      <c r="C494" t="s">
        <v>4038</v>
      </c>
      <c r="D494" t="s">
        <v>1396</v>
      </c>
      <c r="E494" t="s">
        <v>2539</v>
      </c>
      <c r="F494" t="s">
        <v>1170</v>
      </c>
      <c r="G494" t="s">
        <v>76</v>
      </c>
      <c r="H494" t="s">
        <v>1989</v>
      </c>
      <c r="I494" t="s">
        <v>74</v>
      </c>
      <c r="J494" s="3">
        <v>44877</v>
      </c>
      <c r="M494" t="str">
        <f t="shared" si="7"/>
        <v xml:space="preserve"> </v>
      </c>
    </row>
    <row r="495" spans="1:13" x14ac:dyDescent="0.35">
      <c r="A495" t="s">
        <v>2546</v>
      </c>
      <c r="B495" t="s">
        <v>4923</v>
      </c>
      <c r="C495" t="s">
        <v>4039</v>
      </c>
      <c r="D495" t="s">
        <v>1875</v>
      </c>
      <c r="E495" t="s">
        <v>2537</v>
      </c>
      <c r="F495" t="s">
        <v>72</v>
      </c>
      <c r="G495" t="s">
        <v>73</v>
      </c>
      <c r="H495">
        <v>28006</v>
      </c>
      <c r="I495" t="s">
        <v>80</v>
      </c>
      <c r="J495" s="3">
        <v>45288</v>
      </c>
      <c r="M495" t="str">
        <f t="shared" si="7"/>
        <v xml:space="preserve"> </v>
      </c>
    </row>
    <row r="496" spans="1:13" x14ac:dyDescent="0.35">
      <c r="A496" t="s">
        <v>2548</v>
      </c>
      <c r="B496" t="s">
        <v>4867</v>
      </c>
      <c r="C496" t="s">
        <v>4040</v>
      </c>
      <c r="D496" t="s">
        <v>1430</v>
      </c>
      <c r="E496" t="s">
        <v>2535</v>
      </c>
      <c r="F496" t="s">
        <v>90</v>
      </c>
      <c r="G496" t="s">
        <v>91</v>
      </c>
      <c r="H496">
        <v>10178</v>
      </c>
      <c r="I496" t="s">
        <v>71</v>
      </c>
      <c r="J496" s="3">
        <v>44481</v>
      </c>
      <c r="M496" t="str">
        <f t="shared" si="7"/>
        <v xml:space="preserve"> </v>
      </c>
    </row>
    <row r="497" spans="1:13" x14ac:dyDescent="0.35">
      <c r="A497" t="s">
        <v>2550</v>
      </c>
      <c r="B497" t="s">
        <v>4924</v>
      </c>
      <c r="C497" t="s">
        <v>4041</v>
      </c>
      <c r="D497" t="s">
        <v>2533</v>
      </c>
      <c r="E497" t="s">
        <v>1511</v>
      </c>
      <c r="F497" t="s">
        <v>1512</v>
      </c>
      <c r="G497" t="s">
        <v>70</v>
      </c>
      <c r="H497">
        <v>77002</v>
      </c>
      <c r="I497" t="s">
        <v>74</v>
      </c>
      <c r="J497" s="3">
        <v>44910</v>
      </c>
      <c r="M497" t="str">
        <f t="shared" si="7"/>
        <v xml:space="preserve"> </v>
      </c>
    </row>
    <row r="498" spans="1:13" x14ac:dyDescent="0.35">
      <c r="A498" t="s">
        <v>2553</v>
      </c>
      <c r="B498" t="s">
        <v>4925</v>
      </c>
      <c r="C498" t="s">
        <v>4042</v>
      </c>
      <c r="D498" t="s">
        <v>2530</v>
      </c>
      <c r="E498" t="s">
        <v>2531</v>
      </c>
      <c r="F498" t="s">
        <v>1089</v>
      </c>
      <c r="G498" t="s">
        <v>1090</v>
      </c>
      <c r="H498">
        <v>75600</v>
      </c>
      <c r="I498" t="s">
        <v>80</v>
      </c>
      <c r="J498" s="3">
        <v>45252</v>
      </c>
      <c r="M498" t="str">
        <f t="shared" si="7"/>
        <v xml:space="preserve"> </v>
      </c>
    </row>
    <row r="499" spans="1:13" x14ac:dyDescent="0.35">
      <c r="A499" t="s">
        <v>2555</v>
      </c>
      <c r="B499" t="s">
        <v>4926</v>
      </c>
      <c r="C499" t="s">
        <v>4043</v>
      </c>
      <c r="D499" t="s">
        <v>2125</v>
      </c>
      <c r="E499" t="s">
        <v>2528</v>
      </c>
      <c r="F499" t="s">
        <v>75</v>
      </c>
      <c r="G499" t="s">
        <v>76</v>
      </c>
      <c r="H499" t="s">
        <v>1767</v>
      </c>
      <c r="I499" t="s">
        <v>71</v>
      </c>
      <c r="J499" s="3">
        <v>44508</v>
      </c>
      <c r="M499" t="str">
        <f t="shared" si="7"/>
        <v xml:space="preserve"> </v>
      </c>
    </row>
    <row r="500" spans="1:13" x14ac:dyDescent="0.35">
      <c r="A500" t="s">
        <v>2557</v>
      </c>
      <c r="B500" t="s">
        <v>4927</v>
      </c>
      <c r="C500" t="s">
        <v>4044</v>
      </c>
      <c r="D500" t="s">
        <v>2122</v>
      </c>
      <c r="E500" t="s">
        <v>2526</v>
      </c>
      <c r="F500" t="s">
        <v>1129</v>
      </c>
      <c r="G500" t="s">
        <v>1070</v>
      </c>
      <c r="H500" t="s">
        <v>1883</v>
      </c>
      <c r="I500" t="s">
        <v>74</v>
      </c>
      <c r="J500" s="3">
        <v>44826</v>
      </c>
      <c r="M500" t="str">
        <f t="shared" si="7"/>
        <v xml:space="preserve"> </v>
      </c>
    </row>
    <row r="501" spans="1:13" x14ac:dyDescent="0.35">
      <c r="A501" t="s">
        <v>2559</v>
      </c>
      <c r="B501" t="s">
        <v>4692</v>
      </c>
      <c r="C501" t="s">
        <v>4045</v>
      </c>
      <c r="D501" t="s">
        <v>2119</v>
      </c>
      <c r="E501" t="s">
        <v>2524</v>
      </c>
      <c r="F501" t="s">
        <v>1166</v>
      </c>
      <c r="G501" t="s">
        <v>1076</v>
      </c>
      <c r="H501">
        <v>21599</v>
      </c>
      <c r="I501" t="s">
        <v>80</v>
      </c>
      <c r="J501" s="3">
        <v>45207</v>
      </c>
      <c r="M501" t="str">
        <f t="shared" si="7"/>
        <v xml:space="preserve"> </v>
      </c>
    </row>
    <row r="502" spans="1:13" x14ac:dyDescent="0.35">
      <c r="A502" t="s">
        <v>2561</v>
      </c>
      <c r="B502" t="s">
        <v>4778</v>
      </c>
      <c r="C502" t="s">
        <v>4046</v>
      </c>
      <c r="D502" t="s">
        <v>1433</v>
      </c>
      <c r="E502" t="s">
        <v>2522</v>
      </c>
      <c r="F502" t="s">
        <v>1159</v>
      </c>
      <c r="G502" t="s">
        <v>73</v>
      </c>
      <c r="H502">
        <v>8018</v>
      </c>
      <c r="I502" t="s">
        <v>71</v>
      </c>
      <c r="J502" s="3">
        <v>44538</v>
      </c>
      <c r="M502" t="str">
        <f t="shared" si="7"/>
        <v xml:space="preserve"> </v>
      </c>
    </row>
    <row r="503" spans="1:13" x14ac:dyDescent="0.35">
      <c r="A503" t="s">
        <v>2563</v>
      </c>
      <c r="B503" t="s">
        <v>4928</v>
      </c>
      <c r="C503" t="s">
        <v>4047</v>
      </c>
      <c r="D503" t="s">
        <v>1168</v>
      </c>
      <c r="E503" t="s">
        <v>2520</v>
      </c>
      <c r="F503" t="s">
        <v>1170</v>
      </c>
      <c r="G503" t="s">
        <v>76</v>
      </c>
      <c r="H503" t="s">
        <v>1873</v>
      </c>
      <c r="I503" t="s">
        <v>74</v>
      </c>
      <c r="J503" s="3">
        <v>44846</v>
      </c>
      <c r="M503" t="str">
        <f t="shared" si="7"/>
        <v xml:space="preserve"> </v>
      </c>
    </row>
    <row r="504" spans="1:13" x14ac:dyDescent="0.35">
      <c r="A504" t="s">
        <v>2565</v>
      </c>
      <c r="B504" t="s">
        <v>4929</v>
      </c>
      <c r="C504" t="s">
        <v>4048</v>
      </c>
      <c r="D504" t="s">
        <v>1540</v>
      </c>
      <c r="E504" t="s">
        <v>2518</v>
      </c>
      <c r="F504" t="s">
        <v>72</v>
      </c>
      <c r="G504" t="s">
        <v>73</v>
      </c>
      <c r="H504">
        <v>28001</v>
      </c>
      <c r="I504" t="s">
        <v>80</v>
      </c>
      <c r="J504" s="3">
        <v>45191</v>
      </c>
      <c r="M504" t="str">
        <f t="shared" si="7"/>
        <v xml:space="preserve"> </v>
      </c>
    </row>
    <row r="505" spans="1:13" x14ac:dyDescent="0.35">
      <c r="A505" t="s">
        <v>2567</v>
      </c>
      <c r="B505" t="s">
        <v>4621</v>
      </c>
      <c r="C505" t="s">
        <v>4049</v>
      </c>
      <c r="D505" t="s">
        <v>2110</v>
      </c>
      <c r="E505" t="s">
        <v>2516</v>
      </c>
      <c r="F505" t="s">
        <v>90</v>
      </c>
      <c r="G505" t="s">
        <v>91</v>
      </c>
      <c r="H505">
        <v>10117</v>
      </c>
      <c r="I505" t="s">
        <v>71</v>
      </c>
      <c r="J505" s="3">
        <v>44457</v>
      </c>
      <c r="M505" t="str">
        <f t="shared" si="7"/>
        <v xml:space="preserve"> </v>
      </c>
    </row>
    <row r="506" spans="1:13" x14ac:dyDescent="0.35">
      <c r="A506" t="s">
        <v>2569</v>
      </c>
      <c r="B506" t="s">
        <v>4560</v>
      </c>
      <c r="C506" t="s">
        <v>4050</v>
      </c>
      <c r="D506" t="s">
        <v>1743</v>
      </c>
      <c r="E506" t="s">
        <v>2514</v>
      </c>
      <c r="F506" t="s">
        <v>1745</v>
      </c>
      <c r="G506" t="s">
        <v>70</v>
      </c>
      <c r="H506">
        <v>85016</v>
      </c>
      <c r="I506" t="s">
        <v>74</v>
      </c>
      <c r="J506" s="3">
        <v>44887</v>
      </c>
      <c r="M506" t="str">
        <f t="shared" si="7"/>
        <v xml:space="preserve"> </v>
      </c>
    </row>
    <row r="507" spans="1:13" x14ac:dyDescent="0.35">
      <c r="A507" t="s">
        <v>2571</v>
      </c>
      <c r="B507" t="s">
        <v>4926</v>
      </c>
      <c r="C507" t="s">
        <v>4051</v>
      </c>
      <c r="D507" t="s">
        <v>1799</v>
      </c>
      <c r="E507" t="s">
        <v>2512</v>
      </c>
      <c r="F507" t="s">
        <v>1299</v>
      </c>
      <c r="G507" t="s">
        <v>1090</v>
      </c>
      <c r="H507">
        <v>54810</v>
      </c>
      <c r="I507" t="s">
        <v>80</v>
      </c>
      <c r="J507" s="3">
        <v>45156</v>
      </c>
      <c r="M507" t="str">
        <f t="shared" si="7"/>
        <v xml:space="preserve"> </v>
      </c>
    </row>
    <row r="508" spans="1:13" x14ac:dyDescent="0.35">
      <c r="A508" t="s">
        <v>2573</v>
      </c>
      <c r="B508" t="s">
        <v>4822</v>
      </c>
      <c r="C508" t="s">
        <v>4052</v>
      </c>
      <c r="D508" t="s">
        <v>2101</v>
      </c>
      <c r="E508" t="s">
        <v>2510</v>
      </c>
      <c r="F508" t="s">
        <v>75</v>
      </c>
      <c r="G508" t="s">
        <v>76</v>
      </c>
      <c r="H508" t="s">
        <v>1385</v>
      </c>
      <c r="I508" t="s">
        <v>71</v>
      </c>
      <c r="J508" s="3">
        <v>44491</v>
      </c>
      <c r="M508" t="str">
        <f t="shared" si="7"/>
        <v xml:space="preserve"> </v>
      </c>
    </row>
    <row r="509" spans="1:13" x14ac:dyDescent="0.35">
      <c r="A509" t="s">
        <v>2575</v>
      </c>
      <c r="B509" t="s">
        <v>4930</v>
      </c>
      <c r="C509" t="s">
        <v>4053</v>
      </c>
      <c r="D509" t="s">
        <v>2098</v>
      </c>
      <c r="E509" t="s">
        <v>2508</v>
      </c>
      <c r="F509" t="s">
        <v>1198</v>
      </c>
      <c r="G509" t="s">
        <v>1070</v>
      </c>
      <c r="H509" t="s">
        <v>1199</v>
      </c>
      <c r="I509" t="s">
        <v>74</v>
      </c>
      <c r="J509" s="3">
        <v>44907</v>
      </c>
      <c r="M509" t="str">
        <f t="shared" si="7"/>
        <v xml:space="preserve"> </v>
      </c>
    </row>
    <row r="510" spans="1:13" x14ac:dyDescent="0.35">
      <c r="A510" t="s">
        <v>2577</v>
      </c>
      <c r="B510" t="s">
        <v>4799</v>
      </c>
      <c r="C510" t="s">
        <v>4054</v>
      </c>
      <c r="D510" t="s">
        <v>2095</v>
      </c>
      <c r="E510" t="s">
        <v>2506</v>
      </c>
      <c r="F510" t="s">
        <v>1075</v>
      </c>
      <c r="G510" t="s">
        <v>1076</v>
      </c>
      <c r="H510">
        <v>12311</v>
      </c>
      <c r="I510" t="s">
        <v>80</v>
      </c>
      <c r="J510" s="3">
        <v>45119</v>
      </c>
      <c r="M510" t="str">
        <f t="shared" si="7"/>
        <v xml:space="preserve"> </v>
      </c>
    </row>
    <row r="511" spans="1:13" x14ac:dyDescent="0.35">
      <c r="A511" t="s">
        <v>2579</v>
      </c>
      <c r="B511" t="s">
        <v>4931</v>
      </c>
      <c r="C511" t="s">
        <v>4055</v>
      </c>
      <c r="D511" t="s">
        <v>1157</v>
      </c>
      <c r="E511" t="s">
        <v>2504</v>
      </c>
      <c r="F511" t="s">
        <v>1159</v>
      </c>
      <c r="G511" t="s">
        <v>73</v>
      </c>
      <c r="H511">
        <v>8008</v>
      </c>
      <c r="I511" t="s">
        <v>71</v>
      </c>
      <c r="J511" s="3">
        <v>44512</v>
      </c>
      <c r="M511" t="str">
        <f t="shared" si="7"/>
        <v xml:space="preserve"> </v>
      </c>
    </row>
    <row r="512" spans="1:13" x14ac:dyDescent="0.35">
      <c r="A512" t="s">
        <v>2581</v>
      </c>
      <c r="B512" t="s">
        <v>4932</v>
      </c>
      <c r="C512" t="s">
        <v>4056</v>
      </c>
      <c r="D512" t="s">
        <v>2090</v>
      </c>
      <c r="E512" t="s">
        <v>2502</v>
      </c>
      <c r="F512" t="s">
        <v>1170</v>
      </c>
      <c r="G512" t="s">
        <v>76</v>
      </c>
      <c r="H512" t="s">
        <v>1171</v>
      </c>
      <c r="I512" t="s">
        <v>74</v>
      </c>
      <c r="J512" s="3">
        <v>44812</v>
      </c>
      <c r="M512" t="str">
        <f t="shared" si="7"/>
        <v xml:space="preserve"> </v>
      </c>
    </row>
    <row r="513" spans="1:13" x14ac:dyDescent="0.35">
      <c r="A513" t="s">
        <v>2583</v>
      </c>
      <c r="B513" t="s">
        <v>4695</v>
      </c>
      <c r="C513" t="s">
        <v>4057</v>
      </c>
      <c r="D513" t="s">
        <v>1484</v>
      </c>
      <c r="E513" t="s">
        <v>2500</v>
      </c>
      <c r="F513" t="s">
        <v>72</v>
      </c>
      <c r="G513" t="s">
        <v>73</v>
      </c>
      <c r="H513">
        <v>28006</v>
      </c>
      <c r="I513" t="s">
        <v>80</v>
      </c>
      <c r="J513" s="3">
        <v>45085</v>
      </c>
      <c r="M513" t="str">
        <f t="shared" si="7"/>
        <v xml:space="preserve"> </v>
      </c>
    </row>
    <row r="514" spans="1:13" x14ac:dyDescent="0.35">
      <c r="A514" t="s">
        <v>2585</v>
      </c>
      <c r="B514" t="s">
        <v>4933</v>
      </c>
      <c r="C514" t="s">
        <v>4058</v>
      </c>
      <c r="D514" t="s">
        <v>2085</v>
      </c>
      <c r="E514" t="s">
        <v>2498</v>
      </c>
      <c r="F514" t="s">
        <v>90</v>
      </c>
      <c r="G514" t="s">
        <v>91</v>
      </c>
      <c r="H514">
        <v>10117</v>
      </c>
      <c r="I514" t="s">
        <v>71</v>
      </c>
      <c r="J514" s="3">
        <v>44558</v>
      </c>
      <c r="M514" t="str">
        <f t="shared" si="7"/>
        <v xml:space="preserve"> </v>
      </c>
    </row>
    <row r="515" spans="1:13" x14ac:dyDescent="0.35">
      <c r="A515" t="s">
        <v>2587</v>
      </c>
      <c r="B515" t="s">
        <v>4934</v>
      </c>
      <c r="C515" t="s">
        <v>4059</v>
      </c>
      <c r="D515" t="s">
        <v>1920</v>
      </c>
      <c r="E515" t="s">
        <v>2496</v>
      </c>
      <c r="F515" t="s">
        <v>1922</v>
      </c>
      <c r="G515" t="s">
        <v>70</v>
      </c>
      <c r="H515">
        <v>19106</v>
      </c>
      <c r="I515" t="s">
        <v>74</v>
      </c>
      <c r="J515" s="3">
        <v>44852</v>
      </c>
      <c r="M515" t="str">
        <f t="shared" si="7"/>
        <v xml:space="preserve"> </v>
      </c>
    </row>
    <row r="516" spans="1:13" x14ac:dyDescent="0.35">
      <c r="A516" t="s">
        <v>2590</v>
      </c>
      <c r="B516" t="s">
        <v>4935</v>
      </c>
      <c r="C516" t="s">
        <v>4060</v>
      </c>
      <c r="D516" t="s">
        <v>1829</v>
      </c>
      <c r="E516" t="s">
        <v>2494</v>
      </c>
      <c r="F516" t="s">
        <v>78</v>
      </c>
      <c r="G516" t="s">
        <v>79</v>
      </c>
      <c r="H516">
        <v>123456</v>
      </c>
      <c r="I516" t="s">
        <v>80</v>
      </c>
      <c r="J516" s="3">
        <v>45058</v>
      </c>
      <c r="M516" t="str">
        <f t="shared" ref="M516:M579" si="8">V516&amp;" "&amp;W516</f>
        <v xml:space="preserve"> </v>
      </c>
    </row>
    <row r="517" spans="1:13" x14ac:dyDescent="0.35">
      <c r="A517" t="s">
        <v>2592</v>
      </c>
      <c r="B517" t="s">
        <v>4667</v>
      </c>
      <c r="C517" t="s">
        <v>4061</v>
      </c>
      <c r="D517" t="s">
        <v>1765</v>
      </c>
      <c r="E517" t="s">
        <v>2492</v>
      </c>
      <c r="F517" t="s">
        <v>75</v>
      </c>
      <c r="G517" t="s">
        <v>76</v>
      </c>
      <c r="H517" t="s">
        <v>1767</v>
      </c>
      <c r="I517" t="s">
        <v>71</v>
      </c>
      <c r="J517" s="3">
        <v>44467</v>
      </c>
      <c r="M517" t="str">
        <f t="shared" si="8"/>
        <v xml:space="preserve"> </v>
      </c>
    </row>
    <row r="518" spans="1:13" x14ac:dyDescent="0.35">
      <c r="A518" t="s">
        <v>2594</v>
      </c>
      <c r="B518" t="s">
        <v>4936</v>
      </c>
      <c r="C518" t="s">
        <v>4062</v>
      </c>
      <c r="D518" t="s">
        <v>2074</v>
      </c>
      <c r="E518" t="s">
        <v>2490</v>
      </c>
      <c r="F518" t="s">
        <v>1129</v>
      </c>
      <c r="G518" t="s">
        <v>1070</v>
      </c>
      <c r="H518" t="s">
        <v>1130</v>
      </c>
      <c r="I518" t="s">
        <v>74</v>
      </c>
      <c r="J518" s="3">
        <v>44883</v>
      </c>
      <c r="M518" t="str">
        <f t="shared" si="8"/>
        <v xml:space="preserve"> </v>
      </c>
    </row>
    <row r="519" spans="1:13" x14ac:dyDescent="0.35">
      <c r="A519" t="s">
        <v>2596</v>
      </c>
      <c r="B519" t="s">
        <v>4631</v>
      </c>
      <c r="C519" t="s">
        <v>4063</v>
      </c>
      <c r="D519" t="s">
        <v>2071</v>
      </c>
      <c r="E519" t="s">
        <v>2488</v>
      </c>
      <c r="F519" t="s">
        <v>1075</v>
      </c>
      <c r="G519" t="s">
        <v>1076</v>
      </c>
      <c r="H519">
        <v>12311</v>
      </c>
      <c r="I519" t="s">
        <v>80</v>
      </c>
      <c r="J519" s="3">
        <v>45024</v>
      </c>
      <c r="M519" t="str">
        <f t="shared" si="8"/>
        <v xml:space="preserve"> </v>
      </c>
    </row>
    <row r="520" spans="1:13" x14ac:dyDescent="0.35">
      <c r="A520" t="s">
        <v>2598</v>
      </c>
      <c r="B520" t="s">
        <v>4817</v>
      </c>
      <c r="C520" t="s">
        <v>4064</v>
      </c>
      <c r="D520" t="s">
        <v>2068</v>
      </c>
      <c r="E520" t="s">
        <v>2486</v>
      </c>
      <c r="F520" t="s">
        <v>1159</v>
      </c>
      <c r="G520" t="s">
        <v>73</v>
      </c>
      <c r="H520">
        <v>8018</v>
      </c>
      <c r="I520" t="s">
        <v>71</v>
      </c>
      <c r="J520" s="3">
        <v>44477</v>
      </c>
      <c r="M520" t="str">
        <f t="shared" si="8"/>
        <v xml:space="preserve"> </v>
      </c>
    </row>
    <row r="521" spans="1:13" x14ac:dyDescent="0.35">
      <c r="A521" t="s">
        <v>2600</v>
      </c>
      <c r="B521" t="s">
        <v>4937</v>
      </c>
      <c r="C521" t="s">
        <v>4065</v>
      </c>
      <c r="D521" t="s">
        <v>2065</v>
      </c>
      <c r="E521" t="s">
        <v>2484</v>
      </c>
      <c r="F521" t="s">
        <v>1170</v>
      </c>
      <c r="G521" t="s">
        <v>76</v>
      </c>
      <c r="H521" t="s">
        <v>1989</v>
      </c>
      <c r="I521" t="s">
        <v>74</v>
      </c>
      <c r="J521" s="3">
        <v>44903</v>
      </c>
      <c r="M521" t="str">
        <f t="shared" si="8"/>
        <v xml:space="preserve"> </v>
      </c>
    </row>
    <row r="522" spans="1:13" x14ac:dyDescent="0.35">
      <c r="A522" t="s">
        <v>2602</v>
      </c>
      <c r="B522" t="s">
        <v>4938</v>
      </c>
      <c r="C522" t="s">
        <v>4066</v>
      </c>
      <c r="D522" t="s">
        <v>1380</v>
      </c>
      <c r="E522" t="s">
        <v>2482</v>
      </c>
      <c r="F522" t="s">
        <v>72</v>
      </c>
      <c r="G522" t="s">
        <v>73</v>
      </c>
      <c r="H522">
        <v>28001</v>
      </c>
      <c r="I522" t="s">
        <v>80</v>
      </c>
      <c r="J522" s="3">
        <v>45013</v>
      </c>
      <c r="M522" t="str">
        <f t="shared" si="8"/>
        <v xml:space="preserve"> </v>
      </c>
    </row>
    <row r="523" spans="1:13" x14ac:dyDescent="0.35">
      <c r="A523" t="s">
        <v>2604</v>
      </c>
      <c r="B523" t="s">
        <v>4939</v>
      </c>
      <c r="C523" t="s">
        <v>4067</v>
      </c>
      <c r="D523" t="s">
        <v>2060</v>
      </c>
      <c r="E523" t="s">
        <v>2480</v>
      </c>
      <c r="F523" t="s">
        <v>90</v>
      </c>
      <c r="G523" t="s">
        <v>91</v>
      </c>
      <c r="H523">
        <v>10719</v>
      </c>
      <c r="I523" t="s">
        <v>71</v>
      </c>
      <c r="J523" s="3">
        <v>44518</v>
      </c>
      <c r="M523" t="str">
        <f t="shared" si="8"/>
        <v xml:space="preserve"> </v>
      </c>
    </row>
    <row r="524" spans="1:13" x14ac:dyDescent="0.35">
      <c r="A524" t="s">
        <v>2606</v>
      </c>
      <c r="B524" t="s">
        <v>4940</v>
      </c>
      <c r="C524" t="s">
        <v>4068</v>
      </c>
      <c r="D524" t="s">
        <v>1862</v>
      </c>
      <c r="E524" t="s">
        <v>2478</v>
      </c>
      <c r="F524" t="s">
        <v>1864</v>
      </c>
      <c r="G524" t="s">
        <v>70</v>
      </c>
      <c r="H524">
        <v>30303</v>
      </c>
      <c r="I524" t="s">
        <v>74</v>
      </c>
      <c r="J524" s="3">
        <v>44829</v>
      </c>
      <c r="M524" t="str">
        <f t="shared" si="8"/>
        <v xml:space="preserve"> </v>
      </c>
    </row>
    <row r="525" spans="1:13" x14ac:dyDescent="0.35">
      <c r="A525" t="s">
        <v>2609</v>
      </c>
      <c r="B525" t="s">
        <v>4805</v>
      </c>
      <c r="C525" t="s">
        <v>4069</v>
      </c>
      <c r="D525" t="s">
        <v>2475</v>
      </c>
      <c r="E525" t="s">
        <v>2476</v>
      </c>
      <c r="F525" t="s">
        <v>1089</v>
      </c>
      <c r="G525" t="s">
        <v>1090</v>
      </c>
      <c r="H525">
        <v>75600</v>
      </c>
      <c r="I525" t="s">
        <v>80</v>
      </c>
      <c r="J525" s="3">
        <v>44969</v>
      </c>
      <c r="M525" t="str">
        <f t="shared" si="8"/>
        <v xml:space="preserve"> </v>
      </c>
    </row>
    <row r="526" spans="1:13" x14ac:dyDescent="0.35">
      <c r="A526" t="s">
        <v>2610</v>
      </c>
      <c r="B526" t="s">
        <v>4941</v>
      </c>
      <c r="C526" t="s">
        <v>4070</v>
      </c>
      <c r="D526" t="s">
        <v>2051</v>
      </c>
      <c r="E526" t="s">
        <v>2473</v>
      </c>
      <c r="F526" t="s">
        <v>75</v>
      </c>
      <c r="G526" t="s">
        <v>76</v>
      </c>
      <c r="H526" t="s">
        <v>1385</v>
      </c>
      <c r="I526" t="s">
        <v>71</v>
      </c>
      <c r="J526" s="3">
        <v>44542</v>
      </c>
      <c r="M526" t="str">
        <f t="shared" si="8"/>
        <v xml:space="preserve"> </v>
      </c>
    </row>
    <row r="527" spans="1:13" x14ac:dyDescent="0.35">
      <c r="A527" t="s">
        <v>2612</v>
      </c>
      <c r="B527" t="s">
        <v>4719</v>
      </c>
      <c r="C527" t="s">
        <v>4071</v>
      </c>
      <c r="D527" t="s">
        <v>2048</v>
      </c>
      <c r="E527" t="s">
        <v>2471</v>
      </c>
      <c r="F527" t="s">
        <v>1198</v>
      </c>
      <c r="G527" t="s">
        <v>1070</v>
      </c>
      <c r="H527" t="s">
        <v>1199</v>
      </c>
      <c r="I527" t="s">
        <v>74</v>
      </c>
      <c r="J527" s="3">
        <v>44862</v>
      </c>
      <c r="M527" t="str">
        <f t="shared" si="8"/>
        <v xml:space="preserve"> </v>
      </c>
    </row>
    <row r="528" spans="1:13" x14ac:dyDescent="0.35">
      <c r="A528" t="s">
        <v>2614</v>
      </c>
      <c r="B528" t="s">
        <v>4942</v>
      </c>
      <c r="C528" t="s">
        <v>4072</v>
      </c>
      <c r="D528" t="s">
        <v>2020</v>
      </c>
      <c r="E528" t="s">
        <v>2469</v>
      </c>
      <c r="F528" t="s">
        <v>1075</v>
      </c>
      <c r="G528" t="s">
        <v>1076</v>
      </c>
      <c r="H528">
        <v>11341</v>
      </c>
      <c r="I528" t="s">
        <v>80</v>
      </c>
      <c r="J528" s="3">
        <v>44948</v>
      </c>
      <c r="M528" t="str">
        <f t="shared" si="8"/>
        <v xml:space="preserve"> </v>
      </c>
    </row>
    <row r="529" spans="1:13" x14ac:dyDescent="0.35">
      <c r="A529" t="s">
        <v>2616</v>
      </c>
      <c r="B529" t="s">
        <v>4943</v>
      </c>
      <c r="C529" t="s">
        <v>4073</v>
      </c>
      <c r="D529" t="s">
        <v>2042</v>
      </c>
      <c r="E529" t="s">
        <v>2467</v>
      </c>
      <c r="F529" t="s">
        <v>1159</v>
      </c>
      <c r="G529" t="s">
        <v>73</v>
      </c>
      <c r="H529">
        <v>8008</v>
      </c>
      <c r="I529" t="s">
        <v>71</v>
      </c>
      <c r="J529" s="3">
        <v>44454</v>
      </c>
      <c r="M529" t="str">
        <f t="shared" si="8"/>
        <v xml:space="preserve"> </v>
      </c>
    </row>
    <row r="530" spans="1:13" x14ac:dyDescent="0.35">
      <c r="A530" t="s">
        <v>2618</v>
      </c>
      <c r="B530" t="s">
        <v>4637</v>
      </c>
      <c r="C530" t="s">
        <v>4074</v>
      </c>
      <c r="D530" t="s">
        <v>2039</v>
      </c>
      <c r="E530" t="s">
        <v>2465</v>
      </c>
      <c r="F530" t="s">
        <v>1170</v>
      </c>
      <c r="G530" t="s">
        <v>76</v>
      </c>
      <c r="H530" t="s">
        <v>1873</v>
      </c>
      <c r="I530" t="s">
        <v>74</v>
      </c>
      <c r="J530" s="3">
        <v>44873</v>
      </c>
      <c r="M530" t="str">
        <f t="shared" si="8"/>
        <v xml:space="preserve"> </v>
      </c>
    </row>
    <row r="531" spans="1:13" x14ac:dyDescent="0.35">
      <c r="A531" t="s">
        <v>2620</v>
      </c>
      <c r="B531" t="s">
        <v>4944</v>
      </c>
      <c r="C531" t="s">
        <v>4075</v>
      </c>
      <c r="D531" t="s">
        <v>1268</v>
      </c>
      <c r="E531" t="s">
        <v>2463</v>
      </c>
      <c r="F531" t="s">
        <v>72</v>
      </c>
      <c r="G531" t="s">
        <v>73</v>
      </c>
      <c r="H531">
        <v>28006</v>
      </c>
      <c r="I531" t="s">
        <v>80</v>
      </c>
      <c r="J531" s="3">
        <v>45272</v>
      </c>
      <c r="M531" t="str">
        <f t="shared" si="8"/>
        <v xml:space="preserve"> </v>
      </c>
    </row>
    <row r="532" spans="1:13" x14ac:dyDescent="0.35">
      <c r="A532" t="s">
        <v>2622</v>
      </c>
      <c r="B532" t="s">
        <v>4945</v>
      </c>
      <c r="C532" t="s">
        <v>4076</v>
      </c>
      <c r="D532" t="s">
        <v>2034</v>
      </c>
      <c r="E532" t="s">
        <v>2461</v>
      </c>
      <c r="F532" t="s">
        <v>90</v>
      </c>
      <c r="G532" t="s">
        <v>91</v>
      </c>
      <c r="H532">
        <v>10178</v>
      </c>
      <c r="I532" t="s">
        <v>71</v>
      </c>
      <c r="J532" s="3">
        <v>44497</v>
      </c>
      <c r="M532" t="str">
        <f t="shared" si="8"/>
        <v xml:space="preserve"> </v>
      </c>
    </row>
    <row r="533" spans="1:13" x14ac:dyDescent="0.35">
      <c r="A533" t="s">
        <v>2624</v>
      </c>
      <c r="B533" t="s">
        <v>4946</v>
      </c>
      <c r="C533" t="s">
        <v>4077</v>
      </c>
      <c r="D533" t="s">
        <v>2459</v>
      </c>
      <c r="E533" t="s">
        <v>2175</v>
      </c>
      <c r="F533" t="s">
        <v>1834</v>
      </c>
      <c r="G533" t="s">
        <v>70</v>
      </c>
      <c r="H533">
        <v>75202</v>
      </c>
      <c r="I533" t="s">
        <v>74</v>
      </c>
      <c r="J533" s="3">
        <v>44917</v>
      </c>
      <c r="M533" t="str">
        <f t="shared" si="8"/>
        <v xml:space="preserve"> </v>
      </c>
    </row>
    <row r="534" spans="1:13" x14ac:dyDescent="0.35">
      <c r="A534" t="s">
        <v>2627</v>
      </c>
      <c r="B534" t="s">
        <v>4722</v>
      </c>
      <c r="C534" t="s">
        <v>4078</v>
      </c>
      <c r="D534" t="s">
        <v>2456</v>
      </c>
      <c r="E534" t="s">
        <v>2457</v>
      </c>
      <c r="F534" t="s">
        <v>1299</v>
      </c>
      <c r="G534" t="s">
        <v>1090</v>
      </c>
      <c r="H534">
        <v>54810</v>
      </c>
      <c r="I534" t="s">
        <v>80</v>
      </c>
      <c r="J534" s="3">
        <v>45238</v>
      </c>
      <c r="M534" t="str">
        <f t="shared" si="8"/>
        <v xml:space="preserve"> </v>
      </c>
    </row>
    <row r="535" spans="1:13" x14ac:dyDescent="0.35">
      <c r="A535" t="s">
        <v>2629</v>
      </c>
      <c r="B535" t="s">
        <v>4947</v>
      </c>
      <c r="C535" t="s">
        <v>4079</v>
      </c>
      <c r="D535" t="s">
        <v>1514</v>
      </c>
      <c r="E535" t="s">
        <v>2454</v>
      </c>
      <c r="F535" t="s">
        <v>75</v>
      </c>
      <c r="G535" t="s">
        <v>76</v>
      </c>
      <c r="H535" t="s">
        <v>1767</v>
      </c>
      <c r="I535" t="s">
        <v>71</v>
      </c>
      <c r="J535" s="3">
        <v>44522</v>
      </c>
      <c r="M535" t="str">
        <f t="shared" si="8"/>
        <v xml:space="preserve"> </v>
      </c>
    </row>
    <row r="536" spans="1:13" x14ac:dyDescent="0.35">
      <c r="A536" t="s">
        <v>2631</v>
      </c>
      <c r="B536" t="s">
        <v>4781</v>
      </c>
      <c r="C536" t="s">
        <v>4080</v>
      </c>
      <c r="D536" t="s">
        <v>2023</v>
      </c>
      <c r="E536" t="s">
        <v>2452</v>
      </c>
      <c r="F536" t="s">
        <v>1129</v>
      </c>
      <c r="G536" t="s">
        <v>1070</v>
      </c>
      <c r="H536" t="s">
        <v>1883</v>
      </c>
      <c r="I536" t="s">
        <v>74</v>
      </c>
      <c r="J536" s="3">
        <v>44822</v>
      </c>
      <c r="M536" t="str">
        <f t="shared" si="8"/>
        <v xml:space="preserve"> </v>
      </c>
    </row>
    <row r="537" spans="1:13" x14ac:dyDescent="0.35">
      <c r="A537" t="s">
        <v>2633</v>
      </c>
      <c r="B537" t="s">
        <v>4878</v>
      </c>
      <c r="C537" t="s">
        <v>4081</v>
      </c>
      <c r="D537" t="s">
        <v>1966</v>
      </c>
      <c r="E537" t="s">
        <v>2450</v>
      </c>
      <c r="F537" t="s">
        <v>1166</v>
      </c>
      <c r="G537" t="s">
        <v>1076</v>
      </c>
      <c r="H537">
        <v>21599</v>
      </c>
      <c r="I537" t="s">
        <v>80</v>
      </c>
      <c r="J537" s="3">
        <v>45217</v>
      </c>
      <c r="M537" t="str">
        <f t="shared" si="8"/>
        <v xml:space="preserve"> </v>
      </c>
    </row>
    <row r="538" spans="1:13" x14ac:dyDescent="0.35">
      <c r="A538" t="s">
        <v>2635</v>
      </c>
      <c r="B538" t="s">
        <v>1949</v>
      </c>
      <c r="C538" t="s">
        <v>4082</v>
      </c>
      <c r="D538" t="s">
        <v>2017</v>
      </c>
      <c r="E538" t="s">
        <v>2448</v>
      </c>
      <c r="F538" t="s">
        <v>1159</v>
      </c>
      <c r="G538" t="s">
        <v>73</v>
      </c>
      <c r="H538">
        <v>8018</v>
      </c>
      <c r="I538" t="s">
        <v>71</v>
      </c>
      <c r="J538" s="3">
        <v>44552</v>
      </c>
      <c r="M538" t="str">
        <f t="shared" si="8"/>
        <v xml:space="preserve"> </v>
      </c>
    </row>
    <row r="539" spans="1:13" x14ac:dyDescent="0.35">
      <c r="A539" t="s">
        <v>2637</v>
      </c>
      <c r="B539" t="s">
        <v>4948</v>
      </c>
      <c r="C539" t="s">
        <v>4083</v>
      </c>
      <c r="D539" t="s">
        <v>2014</v>
      </c>
      <c r="E539" t="s">
        <v>2446</v>
      </c>
      <c r="F539" t="s">
        <v>1170</v>
      </c>
      <c r="G539" t="s">
        <v>76</v>
      </c>
      <c r="H539" t="s">
        <v>1171</v>
      </c>
      <c r="I539" t="s">
        <v>74</v>
      </c>
      <c r="J539" s="3">
        <v>44842</v>
      </c>
      <c r="M539" t="str">
        <f t="shared" si="8"/>
        <v xml:space="preserve"> </v>
      </c>
    </row>
    <row r="540" spans="1:13" x14ac:dyDescent="0.35">
      <c r="A540" t="s">
        <v>2639</v>
      </c>
      <c r="B540" t="s">
        <v>4704</v>
      </c>
      <c r="C540" t="s">
        <v>4084</v>
      </c>
      <c r="D540" t="s">
        <v>2011</v>
      </c>
      <c r="E540" t="s">
        <v>2444</v>
      </c>
      <c r="F540" t="s">
        <v>72</v>
      </c>
      <c r="G540" t="s">
        <v>73</v>
      </c>
      <c r="H540">
        <v>28001</v>
      </c>
      <c r="I540" t="s">
        <v>80</v>
      </c>
      <c r="J540" s="3">
        <v>45177</v>
      </c>
      <c r="M540" t="str">
        <f t="shared" si="8"/>
        <v xml:space="preserve"> </v>
      </c>
    </row>
    <row r="541" spans="1:13" x14ac:dyDescent="0.35">
      <c r="A541" t="s">
        <v>2641</v>
      </c>
      <c r="B541" t="s">
        <v>4949</v>
      </c>
      <c r="C541" t="s">
        <v>4085</v>
      </c>
      <c r="D541" t="s">
        <v>2008</v>
      </c>
      <c r="E541" t="s">
        <v>2442</v>
      </c>
      <c r="F541" t="s">
        <v>90</v>
      </c>
      <c r="G541" t="s">
        <v>91</v>
      </c>
      <c r="H541">
        <v>10785</v>
      </c>
      <c r="I541" t="s">
        <v>71</v>
      </c>
      <c r="J541" s="3">
        <v>44461</v>
      </c>
      <c r="M541" t="str">
        <f t="shared" si="8"/>
        <v xml:space="preserve"> </v>
      </c>
    </row>
    <row r="542" spans="1:13" x14ac:dyDescent="0.35">
      <c r="A542" t="s">
        <v>2643</v>
      </c>
      <c r="B542" t="s">
        <v>4950</v>
      </c>
      <c r="C542" t="s">
        <v>4086</v>
      </c>
      <c r="D542" t="s">
        <v>2439</v>
      </c>
      <c r="E542" t="s">
        <v>2440</v>
      </c>
      <c r="F542" t="s">
        <v>1404</v>
      </c>
      <c r="G542" t="s">
        <v>70</v>
      </c>
      <c r="H542">
        <v>33139</v>
      </c>
      <c r="I542" t="s">
        <v>74</v>
      </c>
      <c r="J542" s="3">
        <v>44893</v>
      </c>
      <c r="M542" t="str">
        <f t="shared" si="8"/>
        <v xml:space="preserve"> </v>
      </c>
    </row>
    <row r="543" spans="1:13" x14ac:dyDescent="0.35">
      <c r="A543" t="s">
        <v>2646</v>
      </c>
      <c r="B543" t="s">
        <v>4951</v>
      </c>
      <c r="C543" t="s">
        <v>4087</v>
      </c>
      <c r="D543" t="s">
        <v>2436</v>
      </c>
      <c r="E543" t="s">
        <v>2437</v>
      </c>
      <c r="F543" t="s">
        <v>78</v>
      </c>
      <c r="G543" t="s">
        <v>79</v>
      </c>
      <c r="H543">
        <v>123456</v>
      </c>
      <c r="I543" t="s">
        <v>80</v>
      </c>
      <c r="J543" s="3">
        <v>45166</v>
      </c>
      <c r="M543" t="str">
        <f t="shared" si="8"/>
        <v xml:space="preserve"> </v>
      </c>
    </row>
    <row r="544" spans="1:13" x14ac:dyDescent="0.35">
      <c r="A544" t="s">
        <v>2648</v>
      </c>
      <c r="B544" t="s">
        <v>4686</v>
      </c>
      <c r="C544" t="s">
        <v>4088</v>
      </c>
      <c r="D544" t="s">
        <v>1487</v>
      </c>
      <c r="E544" t="s">
        <v>2434</v>
      </c>
      <c r="F544" t="s">
        <v>75</v>
      </c>
      <c r="G544" t="s">
        <v>76</v>
      </c>
      <c r="H544" t="s">
        <v>1385</v>
      </c>
      <c r="I544" t="s">
        <v>71</v>
      </c>
      <c r="J544" s="3">
        <v>44481</v>
      </c>
      <c r="M544" t="str">
        <f t="shared" si="8"/>
        <v xml:space="preserve"> </v>
      </c>
    </row>
    <row r="545" spans="1:13" x14ac:dyDescent="0.35">
      <c r="A545" t="s">
        <v>2650</v>
      </c>
      <c r="B545" t="s">
        <v>4823</v>
      </c>
      <c r="C545" t="s">
        <v>4089</v>
      </c>
      <c r="D545" t="s">
        <v>1997</v>
      </c>
      <c r="E545" t="s">
        <v>2432</v>
      </c>
      <c r="F545" t="s">
        <v>1198</v>
      </c>
      <c r="G545" t="s">
        <v>1070</v>
      </c>
      <c r="H545" t="s">
        <v>1199</v>
      </c>
      <c r="I545" t="s">
        <v>74</v>
      </c>
      <c r="J545" s="3">
        <v>44913</v>
      </c>
      <c r="M545" t="str">
        <f t="shared" si="8"/>
        <v xml:space="preserve"> </v>
      </c>
    </row>
    <row r="546" spans="1:13" x14ac:dyDescent="0.35">
      <c r="A546" t="s">
        <v>2652</v>
      </c>
      <c r="B546" t="s">
        <v>4728</v>
      </c>
      <c r="C546" t="s">
        <v>4090</v>
      </c>
      <c r="D546" t="s">
        <v>1908</v>
      </c>
      <c r="E546" t="s">
        <v>2430</v>
      </c>
      <c r="F546" t="s">
        <v>1075</v>
      </c>
      <c r="G546" t="s">
        <v>1076</v>
      </c>
      <c r="H546">
        <v>12311</v>
      </c>
      <c r="I546" t="s">
        <v>80</v>
      </c>
      <c r="J546" s="3">
        <v>45135</v>
      </c>
      <c r="M546" t="str">
        <f t="shared" si="8"/>
        <v xml:space="preserve"> </v>
      </c>
    </row>
    <row r="547" spans="1:13" x14ac:dyDescent="0.35">
      <c r="A547" t="s">
        <v>2654</v>
      </c>
      <c r="B547" t="s">
        <v>4952</v>
      </c>
      <c r="C547" t="s">
        <v>4091</v>
      </c>
      <c r="D547" t="s">
        <v>1991</v>
      </c>
      <c r="E547" t="s">
        <v>2428</v>
      </c>
      <c r="F547" t="s">
        <v>1159</v>
      </c>
      <c r="G547" t="s">
        <v>73</v>
      </c>
      <c r="H547">
        <v>8008</v>
      </c>
      <c r="I547" t="s">
        <v>71</v>
      </c>
      <c r="J547" s="3">
        <v>44508</v>
      </c>
      <c r="M547" t="str">
        <f t="shared" si="8"/>
        <v xml:space="preserve"> </v>
      </c>
    </row>
    <row r="548" spans="1:13" x14ac:dyDescent="0.35">
      <c r="A548" t="s">
        <v>2656</v>
      </c>
      <c r="B548" t="s">
        <v>4953</v>
      </c>
      <c r="C548" t="s">
        <v>4092</v>
      </c>
      <c r="D548" t="s">
        <v>1987</v>
      </c>
      <c r="E548" t="s">
        <v>2426</v>
      </c>
      <c r="F548" t="s">
        <v>1170</v>
      </c>
      <c r="G548" t="s">
        <v>76</v>
      </c>
      <c r="H548" t="s">
        <v>1989</v>
      </c>
      <c r="I548" t="s">
        <v>74</v>
      </c>
      <c r="J548" s="3">
        <v>44832</v>
      </c>
      <c r="M548" t="str">
        <f t="shared" si="8"/>
        <v xml:space="preserve"> </v>
      </c>
    </row>
    <row r="549" spans="1:13" x14ac:dyDescent="0.35">
      <c r="A549" t="s">
        <v>2658</v>
      </c>
      <c r="B549" t="s">
        <v>4954</v>
      </c>
      <c r="C549" t="s">
        <v>4093</v>
      </c>
      <c r="D549" t="s">
        <v>1984</v>
      </c>
      <c r="E549" t="s">
        <v>2424</v>
      </c>
      <c r="F549" t="s">
        <v>72</v>
      </c>
      <c r="G549" t="s">
        <v>73</v>
      </c>
      <c r="H549">
        <v>28006</v>
      </c>
      <c r="I549" t="s">
        <v>80</v>
      </c>
      <c r="J549" s="3">
        <v>45099</v>
      </c>
      <c r="M549" t="str">
        <f t="shared" si="8"/>
        <v xml:space="preserve"> </v>
      </c>
    </row>
    <row r="550" spans="1:13" x14ac:dyDescent="0.35">
      <c r="A550" t="s">
        <v>2660</v>
      </c>
      <c r="B550" t="s">
        <v>4955</v>
      </c>
      <c r="C550" t="s">
        <v>4094</v>
      </c>
      <c r="D550" t="s">
        <v>1981</v>
      </c>
      <c r="E550" t="s">
        <v>2422</v>
      </c>
      <c r="F550" t="s">
        <v>90</v>
      </c>
      <c r="G550" t="s">
        <v>91</v>
      </c>
      <c r="H550">
        <v>10178</v>
      </c>
      <c r="I550" t="s">
        <v>71</v>
      </c>
      <c r="J550" s="3">
        <v>44538</v>
      </c>
      <c r="M550" t="str">
        <f t="shared" si="8"/>
        <v xml:space="preserve"> </v>
      </c>
    </row>
    <row r="551" spans="1:13" x14ac:dyDescent="0.35">
      <c r="A551" t="s">
        <v>2662</v>
      </c>
      <c r="B551" t="s">
        <v>4956</v>
      </c>
      <c r="C551" t="s">
        <v>4095</v>
      </c>
      <c r="D551" t="s">
        <v>2419</v>
      </c>
      <c r="E551" t="s">
        <v>2420</v>
      </c>
      <c r="F551" t="s">
        <v>1512</v>
      </c>
      <c r="G551" t="s">
        <v>70</v>
      </c>
      <c r="H551">
        <v>77002</v>
      </c>
      <c r="I551" t="s">
        <v>74</v>
      </c>
      <c r="J551" s="3">
        <v>44856</v>
      </c>
      <c r="M551" t="str">
        <f t="shared" si="8"/>
        <v xml:space="preserve"> </v>
      </c>
    </row>
    <row r="552" spans="1:13" x14ac:dyDescent="0.35">
      <c r="A552" t="s">
        <v>2665</v>
      </c>
      <c r="B552" t="s">
        <v>4957</v>
      </c>
      <c r="C552" t="s">
        <v>4096</v>
      </c>
      <c r="D552" t="s">
        <v>2416</v>
      </c>
      <c r="E552" t="s">
        <v>2417</v>
      </c>
      <c r="F552" t="s">
        <v>1089</v>
      </c>
      <c r="G552" t="s">
        <v>1090</v>
      </c>
      <c r="H552">
        <v>75600</v>
      </c>
      <c r="I552" t="s">
        <v>80</v>
      </c>
      <c r="J552" s="3">
        <v>45064</v>
      </c>
      <c r="M552" t="str">
        <f t="shared" si="8"/>
        <v xml:space="preserve"> </v>
      </c>
    </row>
    <row r="553" spans="1:13" x14ac:dyDescent="0.35">
      <c r="A553" t="s">
        <v>2667</v>
      </c>
      <c r="B553" t="s">
        <v>4740</v>
      </c>
      <c r="C553" t="s">
        <v>4097</v>
      </c>
      <c r="D553" t="s">
        <v>1460</v>
      </c>
      <c r="E553" t="s">
        <v>2414</v>
      </c>
      <c r="F553" t="s">
        <v>75</v>
      </c>
      <c r="G553" t="s">
        <v>76</v>
      </c>
      <c r="H553" t="s">
        <v>1767</v>
      </c>
      <c r="I553" t="s">
        <v>71</v>
      </c>
      <c r="J553" s="3">
        <v>44451</v>
      </c>
      <c r="M553" t="str">
        <f t="shared" si="8"/>
        <v xml:space="preserve"> </v>
      </c>
    </row>
    <row r="554" spans="1:13" x14ac:dyDescent="0.35">
      <c r="A554" t="s">
        <v>2669</v>
      </c>
      <c r="B554" t="s">
        <v>4958</v>
      </c>
      <c r="C554" t="s">
        <v>4098</v>
      </c>
      <c r="D554" t="s">
        <v>1969</v>
      </c>
      <c r="E554" t="s">
        <v>2412</v>
      </c>
      <c r="F554" t="s">
        <v>1129</v>
      </c>
      <c r="G554" t="s">
        <v>1070</v>
      </c>
      <c r="H554" t="s">
        <v>1130</v>
      </c>
      <c r="I554" t="s">
        <v>74</v>
      </c>
      <c r="J554" s="3">
        <v>44877</v>
      </c>
      <c r="M554" t="str">
        <f t="shared" si="8"/>
        <v xml:space="preserve"> </v>
      </c>
    </row>
    <row r="555" spans="1:13" x14ac:dyDescent="0.35">
      <c r="A555" t="s">
        <v>2671</v>
      </c>
      <c r="B555" t="s">
        <v>4959</v>
      </c>
      <c r="C555" t="s">
        <v>4099</v>
      </c>
      <c r="D555" t="s">
        <v>1859</v>
      </c>
      <c r="E555" t="s">
        <v>2410</v>
      </c>
      <c r="F555" t="s">
        <v>1075</v>
      </c>
      <c r="G555" t="s">
        <v>1076</v>
      </c>
      <c r="H555">
        <v>12311</v>
      </c>
      <c r="I555" t="s">
        <v>80</v>
      </c>
      <c r="J555" s="3">
        <v>45041</v>
      </c>
      <c r="M555" t="str">
        <f t="shared" si="8"/>
        <v xml:space="preserve"> </v>
      </c>
    </row>
    <row r="556" spans="1:13" x14ac:dyDescent="0.35">
      <c r="A556" t="s">
        <v>2673</v>
      </c>
      <c r="B556" t="s">
        <v>4960</v>
      </c>
      <c r="C556" t="s">
        <v>4100</v>
      </c>
      <c r="D556" t="s">
        <v>1963</v>
      </c>
      <c r="E556" t="s">
        <v>2408</v>
      </c>
      <c r="F556" t="s">
        <v>1159</v>
      </c>
      <c r="G556" t="s">
        <v>73</v>
      </c>
      <c r="H556">
        <v>8018</v>
      </c>
      <c r="I556" t="s">
        <v>71</v>
      </c>
      <c r="J556" s="3">
        <v>44487</v>
      </c>
      <c r="M556" t="str">
        <f t="shared" si="8"/>
        <v xml:space="preserve"> </v>
      </c>
    </row>
    <row r="557" spans="1:13" x14ac:dyDescent="0.35">
      <c r="A557" t="s">
        <v>2675</v>
      </c>
      <c r="B557" t="s">
        <v>4961</v>
      </c>
      <c r="C557" t="s">
        <v>4101</v>
      </c>
      <c r="D557" t="s">
        <v>1960</v>
      </c>
      <c r="E557" t="s">
        <v>2406</v>
      </c>
      <c r="F557" t="s">
        <v>1170</v>
      </c>
      <c r="G557" t="s">
        <v>76</v>
      </c>
      <c r="H557" t="s">
        <v>1873</v>
      </c>
      <c r="I557" t="s">
        <v>74</v>
      </c>
      <c r="J557" s="3">
        <v>44907</v>
      </c>
      <c r="M557" t="str">
        <f t="shared" si="8"/>
        <v xml:space="preserve"> </v>
      </c>
    </row>
    <row r="558" spans="1:13" x14ac:dyDescent="0.35">
      <c r="A558" t="s">
        <v>2677</v>
      </c>
      <c r="B558" t="s">
        <v>4962</v>
      </c>
      <c r="C558" t="s">
        <v>4102</v>
      </c>
      <c r="D558" t="s">
        <v>1957</v>
      </c>
      <c r="E558" t="s">
        <v>2404</v>
      </c>
      <c r="F558" t="s">
        <v>72</v>
      </c>
      <c r="G558" t="s">
        <v>73</v>
      </c>
      <c r="H558">
        <v>28001</v>
      </c>
      <c r="I558" t="s">
        <v>80</v>
      </c>
      <c r="J558" s="3">
        <v>45003</v>
      </c>
      <c r="M558" t="str">
        <f t="shared" si="8"/>
        <v xml:space="preserve"> </v>
      </c>
    </row>
    <row r="559" spans="1:13" x14ac:dyDescent="0.35">
      <c r="A559" t="s">
        <v>2679</v>
      </c>
      <c r="B559" t="s">
        <v>4963</v>
      </c>
      <c r="C559" t="s">
        <v>4103</v>
      </c>
      <c r="D559" t="s">
        <v>1954</v>
      </c>
      <c r="E559" t="s">
        <v>2402</v>
      </c>
      <c r="F559" t="s">
        <v>90</v>
      </c>
      <c r="G559" t="s">
        <v>91</v>
      </c>
      <c r="H559">
        <v>10117</v>
      </c>
      <c r="I559" t="s">
        <v>71</v>
      </c>
      <c r="J559" s="3">
        <v>44528</v>
      </c>
      <c r="M559" t="str">
        <f t="shared" si="8"/>
        <v xml:space="preserve"> </v>
      </c>
    </row>
    <row r="560" spans="1:13" x14ac:dyDescent="0.35">
      <c r="A560" t="s">
        <v>2681</v>
      </c>
      <c r="B560" t="s">
        <v>4821</v>
      </c>
      <c r="C560" t="s">
        <v>4104</v>
      </c>
      <c r="D560" t="s">
        <v>2399</v>
      </c>
      <c r="E560" t="s">
        <v>2400</v>
      </c>
      <c r="F560" t="s">
        <v>1745</v>
      </c>
      <c r="G560" t="s">
        <v>70</v>
      </c>
      <c r="H560">
        <v>85016</v>
      </c>
      <c r="I560" t="s">
        <v>74</v>
      </c>
      <c r="J560" s="3">
        <v>44819</v>
      </c>
      <c r="M560" t="str">
        <f t="shared" si="8"/>
        <v xml:space="preserve"> </v>
      </c>
    </row>
    <row r="561" spans="1:13" x14ac:dyDescent="0.35">
      <c r="A561" t="s">
        <v>2683</v>
      </c>
      <c r="B561" t="s">
        <v>4636</v>
      </c>
      <c r="C561" t="s">
        <v>4105</v>
      </c>
      <c r="D561" t="s">
        <v>2396</v>
      </c>
      <c r="E561" t="s">
        <v>2397</v>
      </c>
      <c r="F561" t="s">
        <v>1299</v>
      </c>
      <c r="G561" t="s">
        <v>1090</v>
      </c>
      <c r="H561">
        <v>54810</v>
      </c>
      <c r="I561" t="s">
        <v>80</v>
      </c>
      <c r="J561" s="3">
        <v>44977</v>
      </c>
      <c r="M561" t="str">
        <f t="shared" si="8"/>
        <v xml:space="preserve"> </v>
      </c>
    </row>
    <row r="562" spans="1:13" x14ac:dyDescent="0.35">
      <c r="A562" t="s">
        <v>2685</v>
      </c>
      <c r="B562" t="s">
        <v>4560</v>
      </c>
      <c r="C562" t="s">
        <v>4106</v>
      </c>
      <c r="D562" t="s">
        <v>1914</v>
      </c>
      <c r="E562" t="s">
        <v>2394</v>
      </c>
      <c r="F562" t="s">
        <v>75</v>
      </c>
      <c r="G562" t="s">
        <v>76</v>
      </c>
      <c r="H562" t="s">
        <v>1385</v>
      </c>
      <c r="I562" t="s">
        <v>71</v>
      </c>
      <c r="J562" s="3">
        <v>44558</v>
      </c>
      <c r="M562" t="str">
        <f t="shared" si="8"/>
        <v xml:space="preserve"> </v>
      </c>
    </row>
    <row r="563" spans="1:13" x14ac:dyDescent="0.35">
      <c r="A563" t="s">
        <v>2687</v>
      </c>
      <c r="B563" t="s">
        <v>4964</v>
      </c>
      <c r="C563" t="s">
        <v>4107</v>
      </c>
      <c r="D563" t="s">
        <v>1911</v>
      </c>
      <c r="E563" t="s">
        <v>2392</v>
      </c>
      <c r="F563" t="s">
        <v>1198</v>
      </c>
      <c r="G563" t="s">
        <v>1070</v>
      </c>
      <c r="H563" t="s">
        <v>1199</v>
      </c>
      <c r="I563" t="s">
        <v>74</v>
      </c>
      <c r="J563" s="3">
        <v>44842</v>
      </c>
      <c r="M563" t="str">
        <f t="shared" si="8"/>
        <v xml:space="preserve"> </v>
      </c>
    </row>
    <row r="564" spans="1:13" x14ac:dyDescent="0.35">
      <c r="A564" t="s">
        <v>2689</v>
      </c>
      <c r="B564" t="s">
        <v>3540</v>
      </c>
      <c r="C564" t="s">
        <v>4108</v>
      </c>
      <c r="D564" t="s">
        <v>1819</v>
      </c>
      <c r="E564" t="s">
        <v>2390</v>
      </c>
      <c r="F564" t="s">
        <v>1075</v>
      </c>
      <c r="G564" t="s">
        <v>1076</v>
      </c>
      <c r="H564">
        <v>11341</v>
      </c>
      <c r="I564" t="s">
        <v>80</v>
      </c>
      <c r="J564" s="3">
        <v>44938</v>
      </c>
      <c r="M564" t="str">
        <f t="shared" si="8"/>
        <v xml:space="preserve"> </v>
      </c>
    </row>
    <row r="565" spans="1:13" x14ac:dyDescent="0.35">
      <c r="A565" t="s">
        <v>2691</v>
      </c>
      <c r="B565" t="s">
        <v>4965</v>
      </c>
      <c r="C565" t="s">
        <v>4109</v>
      </c>
      <c r="D565" t="s">
        <v>1934</v>
      </c>
      <c r="E565" t="s">
        <v>2388</v>
      </c>
      <c r="F565" t="s">
        <v>1159</v>
      </c>
      <c r="G565" t="s">
        <v>73</v>
      </c>
      <c r="H565">
        <v>8008</v>
      </c>
      <c r="I565" t="s">
        <v>71</v>
      </c>
      <c r="J565" s="3">
        <v>44464</v>
      </c>
      <c r="M565" t="str">
        <f t="shared" si="8"/>
        <v xml:space="preserve"> </v>
      </c>
    </row>
    <row r="566" spans="1:13" x14ac:dyDescent="0.35">
      <c r="A566" t="s">
        <v>2693</v>
      </c>
      <c r="B566" t="s">
        <v>4966</v>
      </c>
      <c r="C566" t="s">
        <v>4110</v>
      </c>
      <c r="D566" t="s">
        <v>1930</v>
      </c>
      <c r="E566" t="s">
        <v>2386</v>
      </c>
      <c r="F566" t="s">
        <v>1170</v>
      </c>
      <c r="G566" t="s">
        <v>76</v>
      </c>
      <c r="H566" t="s">
        <v>1171</v>
      </c>
      <c r="I566" t="s">
        <v>74</v>
      </c>
      <c r="J566" s="3">
        <v>44887</v>
      </c>
      <c r="M566" t="str">
        <f t="shared" si="8"/>
        <v xml:space="preserve"> </v>
      </c>
    </row>
    <row r="567" spans="1:13" x14ac:dyDescent="0.35">
      <c r="A567" t="s">
        <v>2695</v>
      </c>
      <c r="B567" t="s">
        <v>4967</v>
      </c>
      <c r="C567" t="s">
        <v>4111</v>
      </c>
      <c r="D567" t="s">
        <v>1927</v>
      </c>
      <c r="E567" t="s">
        <v>2384</v>
      </c>
      <c r="F567" t="s">
        <v>72</v>
      </c>
      <c r="G567" t="s">
        <v>73</v>
      </c>
      <c r="H567">
        <v>28006</v>
      </c>
      <c r="I567" t="s">
        <v>80</v>
      </c>
      <c r="J567" s="3">
        <v>45278</v>
      </c>
      <c r="M567" t="str">
        <f t="shared" si="8"/>
        <v xml:space="preserve"> </v>
      </c>
    </row>
    <row r="568" spans="1:13" x14ac:dyDescent="0.35">
      <c r="A568" t="s">
        <v>2697</v>
      </c>
      <c r="B568" t="s">
        <v>4968</v>
      </c>
      <c r="C568" t="s">
        <v>4112</v>
      </c>
      <c r="D568" t="s">
        <v>1924</v>
      </c>
      <c r="E568" t="s">
        <v>2382</v>
      </c>
      <c r="F568" t="s">
        <v>90</v>
      </c>
      <c r="G568" t="s">
        <v>91</v>
      </c>
      <c r="H568">
        <v>10117</v>
      </c>
      <c r="I568" t="s">
        <v>71</v>
      </c>
      <c r="J568" s="3">
        <v>44474</v>
      </c>
      <c r="M568" t="str">
        <f t="shared" si="8"/>
        <v xml:space="preserve"> </v>
      </c>
    </row>
    <row r="569" spans="1:13" x14ac:dyDescent="0.35">
      <c r="A569" t="s">
        <v>2699</v>
      </c>
      <c r="B569" t="s">
        <v>4969</v>
      </c>
      <c r="C569" t="s">
        <v>4113</v>
      </c>
      <c r="D569" t="s">
        <v>2379</v>
      </c>
      <c r="E569" t="s">
        <v>2380</v>
      </c>
      <c r="F569" t="s">
        <v>1922</v>
      </c>
      <c r="G569" t="s">
        <v>70</v>
      </c>
      <c r="H569">
        <v>19106</v>
      </c>
      <c r="I569" t="s">
        <v>74</v>
      </c>
      <c r="J569" s="3">
        <v>44910</v>
      </c>
      <c r="M569" t="str">
        <f t="shared" si="8"/>
        <v xml:space="preserve"> </v>
      </c>
    </row>
    <row r="570" spans="1:13" x14ac:dyDescent="0.35">
      <c r="A570" t="s">
        <v>2702</v>
      </c>
      <c r="B570" t="s">
        <v>4922</v>
      </c>
      <c r="C570" t="s">
        <v>4114</v>
      </c>
      <c r="D570" t="s">
        <v>2376</v>
      </c>
      <c r="E570" t="s">
        <v>2377</v>
      </c>
      <c r="F570" t="s">
        <v>78</v>
      </c>
      <c r="G570" t="s">
        <v>79</v>
      </c>
      <c r="H570">
        <v>123456</v>
      </c>
      <c r="I570" t="s">
        <v>80</v>
      </c>
      <c r="J570" s="3">
        <v>45242</v>
      </c>
      <c r="M570" t="str">
        <f t="shared" si="8"/>
        <v xml:space="preserve"> </v>
      </c>
    </row>
    <row r="571" spans="1:13" x14ac:dyDescent="0.35">
      <c r="A571" t="s">
        <v>2704</v>
      </c>
      <c r="B571" t="s">
        <v>4605</v>
      </c>
      <c r="C571" t="s">
        <v>4115</v>
      </c>
      <c r="D571" t="s">
        <v>1885</v>
      </c>
      <c r="E571" t="s">
        <v>2374</v>
      </c>
      <c r="F571" t="s">
        <v>75</v>
      </c>
      <c r="G571" t="s">
        <v>76</v>
      </c>
      <c r="H571" t="s">
        <v>1767</v>
      </c>
      <c r="I571" t="s">
        <v>71</v>
      </c>
      <c r="J571" s="3">
        <v>44512</v>
      </c>
      <c r="M571" t="str">
        <f t="shared" si="8"/>
        <v xml:space="preserve"> </v>
      </c>
    </row>
    <row r="572" spans="1:13" x14ac:dyDescent="0.35">
      <c r="A572" t="s">
        <v>2706</v>
      </c>
      <c r="B572" t="s">
        <v>4970</v>
      </c>
      <c r="C572" t="s">
        <v>4116</v>
      </c>
      <c r="D572" t="s">
        <v>1881</v>
      </c>
      <c r="E572" t="s">
        <v>2372</v>
      </c>
      <c r="F572" t="s">
        <v>1129</v>
      </c>
      <c r="G572" t="s">
        <v>1070</v>
      </c>
      <c r="H572" t="s">
        <v>1883</v>
      </c>
      <c r="I572" t="s">
        <v>74</v>
      </c>
      <c r="J572" s="3">
        <v>44826</v>
      </c>
      <c r="M572" t="str">
        <f t="shared" si="8"/>
        <v xml:space="preserve"> </v>
      </c>
    </row>
    <row r="573" spans="1:13" x14ac:dyDescent="0.35">
      <c r="A573" t="s">
        <v>2708</v>
      </c>
      <c r="B573" t="s">
        <v>4829</v>
      </c>
      <c r="C573" t="s">
        <v>4117</v>
      </c>
      <c r="D573" t="s">
        <v>1758</v>
      </c>
      <c r="E573" t="s">
        <v>2370</v>
      </c>
      <c r="F573" t="s">
        <v>1166</v>
      </c>
      <c r="G573" t="s">
        <v>1076</v>
      </c>
      <c r="H573">
        <v>21599</v>
      </c>
      <c r="I573" t="s">
        <v>80</v>
      </c>
      <c r="J573" s="3">
        <v>45211</v>
      </c>
      <c r="M573" t="str">
        <f t="shared" si="8"/>
        <v xml:space="preserve"> </v>
      </c>
    </row>
    <row r="574" spans="1:13" x14ac:dyDescent="0.35">
      <c r="A574" t="s">
        <v>2710</v>
      </c>
      <c r="B574" t="s">
        <v>4971</v>
      </c>
      <c r="C574" t="s">
        <v>4118</v>
      </c>
      <c r="D574" t="s">
        <v>1898</v>
      </c>
      <c r="E574" t="s">
        <v>2368</v>
      </c>
      <c r="F574" t="s">
        <v>1159</v>
      </c>
      <c r="G574" t="s">
        <v>73</v>
      </c>
      <c r="H574">
        <v>8018</v>
      </c>
      <c r="I574" t="s">
        <v>71</v>
      </c>
      <c r="J574" s="3">
        <v>44542</v>
      </c>
      <c r="M574" t="str">
        <f t="shared" si="8"/>
        <v xml:space="preserve"> </v>
      </c>
    </row>
    <row r="575" spans="1:13" x14ac:dyDescent="0.35">
      <c r="A575" t="s">
        <v>2712</v>
      </c>
      <c r="B575" t="s">
        <v>4972</v>
      </c>
      <c r="C575" t="s">
        <v>4119</v>
      </c>
      <c r="D575" t="s">
        <v>1871</v>
      </c>
      <c r="E575" t="s">
        <v>2366</v>
      </c>
      <c r="F575" t="s">
        <v>1170</v>
      </c>
      <c r="G575" t="s">
        <v>76</v>
      </c>
      <c r="H575" t="s">
        <v>1989</v>
      </c>
      <c r="I575" t="s">
        <v>74</v>
      </c>
      <c r="J575" s="3">
        <v>44852</v>
      </c>
      <c r="M575" t="str">
        <f t="shared" si="8"/>
        <v xml:space="preserve"> </v>
      </c>
    </row>
    <row r="576" spans="1:13" x14ac:dyDescent="0.35">
      <c r="A576" t="s">
        <v>2714</v>
      </c>
      <c r="B576" t="s">
        <v>4973</v>
      </c>
      <c r="C576" t="s">
        <v>4120</v>
      </c>
      <c r="D576" t="s">
        <v>1905</v>
      </c>
      <c r="E576" t="s">
        <v>2364</v>
      </c>
      <c r="F576" t="s">
        <v>72</v>
      </c>
      <c r="G576" t="s">
        <v>73</v>
      </c>
      <c r="H576">
        <v>28001</v>
      </c>
      <c r="I576" t="s">
        <v>80</v>
      </c>
      <c r="J576" s="3">
        <v>45187</v>
      </c>
      <c r="M576" t="str">
        <f t="shared" si="8"/>
        <v xml:space="preserve"> </v>
      </c>
    </row>
    <row r="577" spans="1:13" x14ac:dyDescent="0.35">
      <c r="A577" t="s">
        <v>2716</v>
      </c>
      <c r="B577" t="s">
        <v>4751</v>
      </c>
      <c r="C577" t="s">
        <v>4121</v>
      </c>
      <c r="D577" t="s">
        <v>1895</v>
      </c>
      <c r="E577" t="s">
        <v>2362</v>
      </c>
      <c r="F577" t="s">
        <v>90</v>
      </c>
      <c r="G577" t="s">
        <v>91</v>
      </c>
      <c r="H577">
        <v>10719</v>
      </c>
      <c r="I577" t="s">
        <v>71</v>
      </c>
      <c r="J577" s="3">
        <v>44454</v>
      </c>
      <c r="M577" t="str">
        <f t="shared" si="8"/>
        <v xml:space="preserve"> </v>
      </c>
    </row>
    <row r="578" spans="1:13" x14ac:dyDescent="0.35">
      <c r="A578" t="s">
        <v>2718</v>
      </c>
      <c r="B578" t="s">
        <v>4813</v>
      </c>
      <c r="C578" t="s">
        <v>4122</v>
      </c>
      <c r="D578" t="s">
        <v>2359</v>
      </c>
      <c r="E578" t="s">
        <v>2360</v>
      </c>
      <c r="F578" t="s">
        <v>1864</v>
      </c>
      <c r="G578" t="s">
        <v>70</v>
      </c>
      <c r="H578">
        <v>30303</v>
      </c>
      <c r="I578" t="s">
        <v>74</v>
      </c>
      <c r="J578" s="3">
        <v>44883</v>
      </c>
      <c r="M578" t="str">
        <f t="shared" si="8"/>
        <v xml:space="preserve"> </v>
      </c>
    </row>
    <row r="579" spans="1:13" x14ac:dyDescent="0.35">
      <c r="A579" t="s">
        <v>2721</v>
      </c>
      <c r="B579" t="s">
        <v>4974</v>
      </c>
      <c r="C579" t="s">
        <v>4123</v>
      </c>
      <c r="D579" t="s">
        <v>2356</v>
      </c>
      <c r="E579" t="s">
        <v>2357</v>
      </c>
      <c r="F579" t="s">
        <v>1089</v>
      </c>
      <c r="G579" t="s">
        <v>1090</v>
      </c>
      <c r="H579">
        <v>75600</v>
      </c>
      <c r="I579" t="s">
        <v>80</v>
      </c>
      <c r="J579" s="3">
        <v>45146</v>
      </c>
      <c r="M579" t="str">
        <f t="shared" si="8"/>
        <v xml:space="preserve"> </v>
      </c>
    </row>
    <row r="580" spans="1:13" x14ac:dyDescent="0.35">
      <c r="A580" t="s">
        <v>2723</v>
      </c>
      <c r="B580" t="s">
        <v>4975</v>
      </c>
      <c r="C580" t="s">
        <v>4124</v>
      </c>
      <c r="D580" t="s">
        <v>1383</v>
      </c>
      <c r="E580" t="s">
        <v>2354</v>
      </c>
      <c r="F580" t="s">
        <v>75</v>
      </c>
      <c r="G580" t="s">
        <v>76</v>
      </c>
      <c r="H580" t="s">
        <v>1385</v>
      </c>
      <c r="I580" t="s">
        <v>71</v>
      </c>
      <c r="J580" s="3">
        <v>44491</v>
      </c>
      <c r="M580" t="str">
        <f t="shared" ref="M580:M643" si="9">V580&amp;" "&amp;W580</f>
        <v xml:space="preserve"> </v>
      </c>
    </row>
    <row r="581" spans="1:13" x14ac:dyDescent="0.35">
      <c r="A581" t="s">
        <v>2725</v>
      </c>
      <c r="B581" t="s">
        <v>4976</v>
      </c>
      <c r="C581" t="s">
        <v>4125</v>
      </c>
      <c r="D581" t="s">
        <v>1822</v>
      </c>
      <c r="E581" t="s">
        <v>2352</v>
      </c>
      <c r="F581" t="s">
        <v>1198</v>
      </c>
      <c r="G581" t="s">
        <v>1070</v>
      </c>
      <c r="H581" t="s">
        <v>1199</v>
      </c>
      <c r="I581" t="s">
        <v>74</v>
      </c>
      <c r="J581" s="3">
        <v>44903</v>
      </c>
      <c r="M581" t="str">
        <f t="shared" si="9"/>
        <v xml:space="preserve"> </v>
      </c>
    </row>
    <row r="582" spans="1:13" x14ac:dyDescent="0.35">
      <c r="A582" t="s">
        <v>2727</v>
      </c>
      <c r="B582" t="s">
        <v>4977</v>
      </c>
      <c r="C582" t="s">
        <v>4126</v>
      </c>
      <c r="D582" t="s">
        <v>2142</v>
      </c>
      <c r="E582" t="s">
        <v>2350</v>
      </c>
      <c r="F582" t="s">
        <v>1075</v>
      </c>
      <c r="G582" t="s">
        <v>1076</v>
      </c>
      <c r="H582">
        <v>12311</v>
      </c>
      <c r="I582" t="s">
        <v>80</v>
      </c>
      <c r="J582" s="3">
        <v>45125</v>
      </c>
      <c r="M582" t="str">
        <f t="shared" si="9"/>
        <v xml:space="preserve"> </v>
      </c>
    </row>
    <row r="583" spans="1:13" x14ac:dyDescent="0.35">
      <c r="A583" t="s">
        <v>2729</v>
      </c>
      <c r="B583" t="s">
        <v>3540</v>
      </c>
      <c r="C583" t="s">
        <v>4127</v>
      </c>
      <c r="D583" t="s">
        <v>1786</v>
      </c>
      <c r="E583" t="s">
        <v>2348</v>
      </c>
      <c r="F583" t="s">
        <v>1159</v>
      </c>
      <c r="G583" t="s">
        <v>73</v>
      </c>
      <c r="H583">
        <v>8008</v>
      </c>
      <c r="I583" t="s">
        <v>71</v>
      </c>
      <c r="J583" s="3">
        <v>44522</v>
      </c>
      <c r="M583" t="str">
        <f t="shared" si="9"/>
        <v xml:space="preserve"> </v>
      </c>
    </row>
    <row r="584" spans="1:13" x14ac:dyDescent="0.35">
      <c r="A584" t="s">
        <v>2731</v>
      </c>
      <c r="B584" t="s">
        <v>4933</v>
      </c>
      <c r="C584" t="s">
        <v>4128</v>
      </c>
      <c r="D584" t="s">
        <v>1396</v>
      </c>
      <c r="E584" t="s">
        <v>2346</v>
      </c>
      <c r="F584" t="s">
        <v>1170</v>
      </c>
      <c r="G584" t="s">
        <v>76</v>
      </c>
      <c r="H584" t="s">
        <v>1873</v>
      </c>
      <c r="I584" t="s">
        <v>74</v>
      </c>
      <c r="J584" s="3">
        <v>44812</v>
      </c>
      <c r="M584" t="str">
        <f t="shared" si="9"/>
        <v xml:space="preserve"> </v>
      </c>
    </row>
    <row r="585" spans="1:13" x14ac:dyDescent="0.35">
      <c r="A585" t="s">
        <v>2733</v>
      </c>
      <c r="B585" t="s">
        <v>4978</v>
      </c>
      <c r="C585" t="s">
        <v>4129</v>
      </c>
      <c r="D585" t="s">
        <v>1875</v>
      </c>
      <c r="E585" t="s">
        <v>2344</v>
      </c>
      <c r="F585" t="s">
        <v>72</v>
      </c>
      <c r="G585" t="s">
        <v>73</v>
      </c>
      <c r="H585">
        <v>28006</v>
      </c>
      <c r="I585" t="s">
        <v>80</v>
      </c>
      <c r="J585" s="3">
        <v>45089</v>
      </c>
      <c r="M585" t="str">
        <f t="shared" si="9"/>
        <v xml:space="preserve"> </v>
      </c>
    </row>
    <row r="586" spans="1:13" x14ac:dyDescent="0.35">
      <c r="A586" t="s">
        <v>2735</v>
      </c>
      <c r="B586" t="s">
        <v>4612</v>
      </c>
      <c r="C586" t="s">
        <v>4130</v>
      </c>
      <c r="D586" t="s">
        <v>1430</v>
      </c>
      <c r="E586" t="s">
        <v>2342</v>
      </c>
      <c r="F586" t="s">
        <v>90</v>
      </c>
      <c r="G586" t="s">
        <v>91</v>
      </c>
      <c r="H586">
        <v>10178</v>
      </c>
      <c r="I586" t="s">
        <v>71</v>
      </c>
      <c r="J586" s="3">
        <v>44548</v>
      </c>
      <c r="M586" t="str">
        <f t="shared" si="9"/>
        <v xml:space="preserve"> </v>
      </c>
    </row>
    <row r="587" spans="1:13" x14ac:dyDescent="0.35">
      <c r="A587" t="s">
        <v>2737</v>
      </c>
      <c r="B587" t="s">
        <v>4979</v>
      </c>
      <c r="C587" t="s">
        <v>4131</v>
      </c>
      <c r="D587" t="s">
        <v>2340</v>
      </c>
      <c r="E587" t="s">
        <v>2032</v>
      </c>
      <c r="F587" t="s">
        <v>1834</v>
      </c>
      <c r="G587" t="s">
        <v>70</v>
      </c>
      <c r="H587">
        <v>75202</v>
      </c>
      <c r="I587" t="s">
        <v>74</v>
      </c>
      <c r="J587" s="3">
        <v>44862</v>
      </c>
      <c r="M587" t="str">
        <f t="shared" si="9"/>
        <v xml:space="preserve"> </v>
      </c>
    </row>
    <row r="588" spans="1:13" x14ac:dyDescent="0.35">
      <c r="A588" t="s">
        <v>2740</v>
      </c>
      <c r="B588" t="s">
        <v>4931</v>
      </c>
      <c r="C588" t="s">
        <v>4132</v>
      </c>
      <c r="D588" t="s">
        <v>2337</v>
      </c>
      <c r="E588" t="s">
        <v>2338</v>
      </c>
      <c r="F588" t="s">
        <v>1299</v>
      </c>
      <c r="G588" t="s">
        <v>1090</v>
      </c>
      <c r="H588">
        <v>54810</v>
      </c>
      <c r="I588" t="s">
        <v>80</v>
      </c>
      <c r="J588" s="3">
        <v>45054</v>
      </c>
      <c r="M588" t="str">
        <f t="shared" si="9"/>
        <v xml:space="preserve"> </v>
      </c>
    </row>
    <row r="589" spans="1:13" x14ac:dyDescent="0.35">
      <c r="A589" t="s">
        <v>2742</v>
      </c>
      <c r="B589" t="s">
        <v>4980</v>
      </c>
      <c r="C589" t="s">
        <v>4133</v>
      </c>
      <c r="D589" t="s">
        <v>2125</v>
      </c>
      <c r="E589" t="s">
        <v>2335</v>
      </c>
      <c r="F589" t="s">
        <v>75</v>
      </c>
      <c r="G589" t="s">
        <v>76</v>
      </c>
      <c r="H589" t="s">
        <v>1767</v>
      </c>
      <c r="I589" t="s">
        <v>71</v>
      </c>
      <c r="J589" s="3">
        <v>44467</v>
      </c>
      <c r="M589" t="str">
        <f t="shared" si="9"/>
        <v xml:space="preserve"> </v>
      </c>
    </row>
    <row r="590" spans="1:13" x14ac:dyDescent="0.35">
      <c r="A590" t="s">
        <v>2744</v>
      </c>
      <c r="B590" t="s">
        <v>4981</v>
      </c>
      <c r="C590" t="s">
        <v>4134</v>
      </c>
      <c r="D590" t="s">
        <v>1792</v>
      </c>
      <c r="E590" t="s">
        <v>2333</v>
      </c>
      <c r="F590" t="s">
        <v>1129</v>
      </c>
      <c r="G590" t="s">
        <v>1070</v>
      </c>
      <c r="H590" t="s">
        <v>1130</v>
      </c>
      <c r="I590" t="s">
        <v>74</v>
      </c>
      <c r="J590" s="3">
        <v>44873</v>
      </c>
      <c r="M590" t="str">
        <f t="shared" si="9"/>
        <v xml:space="preserve"> </v>
      </c>
    </row>
    <row r="591" spans="1:13" x14ac:dyDescent="0.35">
      <c r="A591" t="s">
        <v>2746</v>
      </c>
      <c r="B591" t="s">
        <v>4982</v>
      </c>
      <c r="C591" t="s">
        <v>4135</v>
      </c>
      <c r="D591" t="s">
        <v>2119</v>
      </c>
      <c r="E591" t="s">
        <v>2331</v>
      </c>
      <c r="F591" t="s">
        <v>1075</v>
      </c>
      <c r="G591" t="s">
        <v>1076</v>
      </c>
      <c r="H591">
        <v>12311</v>
      </c>
      <c r="I591" t="s">
        <v>80</v>
      </c>
      <c r="J591" s="3">
        <v>45031</v>
      </c>
      <c r="M591" t="str">
        <f t="shared" si="9"/>
        <v xml:space="preserve"> </v>
      </c>
    </row>
    <row r="592" spans="1:13" x14ac:dyDescent="0.35">
      <c r="A592" t="s">
        <v>2748</v>
      </c>
      <c r="B592" t="s">
        <v>4983</v>
      </c>
      <c r="C592" t="s">
        <v>4136</v>
      </c>
      <c r="D592" t="s">
        <v>1433</v>
      </c>
      <c r="E592" t="s">
        <v>2329</v>
      </c>
      <c r="F592" t="s">
        <v>1159</v>
      </c>
      <c r="G592" t="s">
        <v>73</v>
      </c>
      <c r="H592">
        <v>8018</v>
      </c>
      <c r="I592" t="s">
        <v>71</v>
      </c>
      <c r="J592" s="3">
        <v>44477</v>
      </c>
      <c r="M592" t="str">
        <f t="shared" si="9"/>
        <v xml:space="preserve"> </v>
      </c>
    </row>
    <row r="593" spans="1:13" x14ac:dyDescent="0.35">
      <c r="A593" t="s">
        <v>2750</v>
      </c>
      <c r="B593" t="s">
        <v>4984</v>
      </c>
      <c r="C593" t="s">
        <v>4137</v>
      </c>
      <c r="D593" t="s">
        <v>1168</v>
      </c>
      <c r="E593" t="s">
        <v>2327</v>
      </c>
      <c r="F593" t="s">
        <v>1170</v>
      </c>
      <c r="G593" t="s">
        <v>76</v>
      </c>
      <c r="H593" t="s">
        <v>1989</v>
      </c>
      <c r="I593" t="s">
        <v>74</v>
      </c>
      <c r="J593" s="3">
        <v>44917</v>
      </c>
      <c r="M593" t="str">
        <f t="shared" si="9"/>
        <v xml:space="preserve"> </v>
      </c>
    </row>
    <row r="594" spans="1:13" x14ac:dyDescent="0.35">
      <c r="A594" t="s">
        <v>2752</v>
      </c>
      <c r="B594" t="s">
        <v>4791</v>
      </c>
      <c r="C594" t="s">
        <v>4138</v>
      </c>
      <c r="D594" t="s">
        <v>1540</v>
      </c>
      <c r="E594" t="s">
        <v>2325</v>
      </c>
      <c r="F594" t="s">
        <v>72</v>
      </c>
      <c r="G594" t="s">
        <v>73</v>
      </c>
      <c r="H594">
        <v>28001</v>
      </c>
      <c r="I594" t="s">
        <v>80</v>
      </c>
      <c r="J594" s="3">
        <v>45007</v>
      </c>
      <c r="M594" t="str">
        <f t="shared" si="9"/>
        <v xml:space="preserve"> </v>
      </c>
    </row>
    <row r="595" spans="1:13" x14ac:dyDescent="0.35">
      <c r="A595" t="s">
        <v>2754</v>
      </c>
      <c r="B595" t="s">
        <v>4653</v>
      </c>
      <c r="C595" t="s">
        <v>4139</v>
      </c>
      <c r="D595" t="s">
        <v>2110</v>
      </c>
      <c r="E595" t="s">
        <v>2323</v>
      </c>
      <c r="F595" t="s">
        <v>90</v>
      </c>
      <c r="G595" t="s">
        <v>91</v>
      </c>
      <c r="H595">
        <v>10785</v>
      </c>
      <c r="I595" t="s">
        <v>71</v>
      </c>
      <c r="J595" s="3">
        <v>44508</v>
      </c>
      <c r="M595" t="str">
        <f t="shared" si="9"/>
        <v xml:space="preserve"> </v>
      </c>
    </row>
    <row r="596" spans="1:13" x14ac:dyDescent="0.35">
      <c r="A596" t="s">
        <v>2756</v>
      </c>
      <c r="B596" t="s">
        <v>4576</v>
      </c>
      <c r="C596" t="s">
        <v>4140</v>
      </c>
      <c r="D596" t="s">
        <v>1402</v>
      </c>
      <c r="E596" t="s">
        <v>2321</v>
      </c>
      <c r="F596" t="s">
        <v>1404</v>
      </c>
      <c r="G596" t="s">
        <v>70</v>
      </c>
      <c r="H596">
        <v>33139</v>
      </c>
      <c r="I596" t="s">
        <v>74</v>
      </c>
      <c r="J596" s="3">
        <v>44822</v>
      </c>
      <c r="M596" t="str">
        <f t="shared" si="9"/>
        <v xml:space="preserve"> </v>
      </c>
    </row>
    <row r="597" spans="1:13" x14ac:dyDescent="0.35">
      <c r="A597" t="s">
        <v>2758</v>
      </c>
      <c r="B597" t="s">
        <v>4985</v>
      </c>
      <c r="C597" t="s">
        <v>4141</v>
      </c>
      <c r="D597" t="s">
        <v>2318</v>
      </c>
      <c r="E597" t="s">
        <v>2319</v>
      </c>
      <c r="F597" t="s">
        <v>78</v>
      </c>
      <c r="G597" t="s">
        <v>79</v>
      </c>
      <c r="H597">
        <v>123456</v>
      </c>
      <c r="I597" t="s">
        <v>80</v>
      </c>
      <c r="J597" s="3">
        <v>44965</v>
      </c>
      <c r="M597" t="str">
        <f t="shared" si="9"/>
        <v xml:space="preserve"> </v>
      </c>
    </row>
    <row r="598" spans="1:13" x14ac:dyDescent="0.35">
      <c r="A598" t="s">
        <v>2760</v>
      </c>
      <c r="B598" t="s">
        <v>4986</v>
      </c>
      <c r="C598" t="s">
        <v>4142</v>
      </c>
      <c r="D598" t="s">
        <v>2101</v>
      </c>
      <c r="E598" t="s">
        <v>2316</v>
      </c>
      <c r="F598" t="s">
        <v>75</v>
      </c>
      <c r="G598" t="s">
        <v>76</v>
      </c>
      <c r="H598" t="s">
        <v>1385</v>
      </c>
      <c r="I598" t="s">
        <v>71</v>
      </c>
      <c r="J598" s="3">
        <v>44552</v>
      </c>
      <c r="M598" t="str">
        <f t="shared" si="9"/>
        <v xml:space="preserve"> </v>
      </c>
    </row>
    <row r="599" spans="1:13" x14ac:dyDescent="0.35">
      <c r="A599" t="s">
        <v>2762</v>
      </c>
      <c r="B599" t="s">
        <v>4549</v>
      </c>
      <c r="C599" t="s">
        <v>4143</v>
      </c>
      <c r="D599" t="s">
        <v>2313</v>
      </c>
      <c r="E599" t="s">
        <v>2314</v>
      </c>
      <c r="F599" t="s">
        <v>1198</v>
      </c>
      <c r="G599" t="s">
        <v>1070</v>
      </c>
      <c r="H599" t="s">
        <v>1199</v>
      </c>
      <c r="I599" t="s">
        <v>74</v>
      </c>
      <c r="J599" s="3">
        <v>44846</v>
      </c>
      <c r="M599" t="str">
        <f t="shared" si="9"/>
        <v xml:space="preserve"> </v>
      </c>
    </row>
    <row r="600" spans="1:13" x14ac:dyDescent="0.35">
      <c r="A600" t="s">
        <v>2764</v>
      </c>
      <c r="B600" t="s">
        <v>4822</v>
      </c>
      <c r="C600" t="s">
        <v>4144</v>
      </c>
      <c r="D600" t="s">
        <v>2095</v>
      </c>
      <c r="E600" t="s">
        <v>2311</v>
      </c>
      <c r="F600" t="s">
        <v>1075</v>
      </c>
      <c r="G600" t="s">
        <v>1076</v>
      </c>
      <c r="H600">
        <v>11341</v>
      </c>
      <c r="I600" t="s">
        <v>80</v>
      </c>
      <c r="J600" s="3">
        <v>44934</v>
      </c>
      <c r="M600" t="str">
        <f t="shared" si="9"/>
        <v xml:space="preserve"> </v>
      </c>
    </row>
    <row r="601" spans="1:13" x14ac:dyDescent="0.35">
      <c r="A601" t="s">
        <v>2766</v>
      </c>
      <c r="B601" t="s">
        <v>4843</v>
      </c>
      <c r="C601" t="s">
        <v>4145</v>
      </c>
      <c r="D601" t="s">
        <v>1157</v>
      </c>
      <c r="E601" t="s">
        <v>2309</v>
      </c>
      <c r="F601" t="s">
        <v>1159</v>
      </c>
      <c r="G601" t="s">
        <v>73</v>
      </c>
      <c r="H601">
        <v>8008</v>
      </c>
      <c r="I601" t="s">
        <v>71</v>
      </c>
      <c r="J601" s="3">
        <v>44447</v>
      </c>
      <c r="M601" t="str">
        <f t="shared" si="9"/>
        <v xml:space="preserve"> </v>
      </c>
    </row>
    <row r="602" spans="1:13" x14ac:dyDescent="0.35">
      <c r="A602" t="s">
        <v>2768</v>
      </c>
      <c r="B602" t="s">
        <v>4938</v>
      </c>
      <c r="C602" t="s">
        <v>4146</v>
      </c>
      <c r="D602" t="s">
        <v>2090</v>
      </c>
      <c r="E602" t="s">
        <v>2307</v>
      </c>
      <c r="F602" t="s">
        <v>1170</v>
      </c>
      <c r="G602" t="s">
        <v>76</v>
      </c>
      <c r="H602" t="s">
        <v>1171</v>
      </c>
      <c r="I602" t="s">
        <v>74</v>
      </c>
      <c r="J602" s="3">
        <v>44877</v>
      </c>
      <c r="M602" t="str">
        <f t="shared" si="9"/>
        <v xml:space="preserve"> </v>
      </c>
    </row>
    <row r="603" spans="1:13" x14ac:dyDescent="0.35">
      <c r="A603" t="s">
        <v>2770</v>
      </c>
      <c r="B603" t="s">
        <v>4987</v>
      </c>
      <c r="C603" t="s">
        <v>4147</v>
      </c>
      <c r="D603" t="s">
        <v>1484</v>
      </c>
      <c r="E603" t="s">
        <v>2305</v>
      </c>
      <c r="F603" t="s">
        <v>72</v>
      </c>
      <c r="G603" t="s">
        <v>73</v>
      </c>
      <c r="H603">
        <v>28006</v>
      </c>
      <c r="I603" t="s">
        <v>80</v>
      </c>
      <c r="J603" s="3">
        <v>45268</v>
      </c>
      <c r="M603" t="str">
        <f t="shared" si="9"/>
        <v xml:space="preserve"> </v>
      </c>
    </row>
    <row r="604" spans="1:13" x14ac:dyDescent="0.35">
      <c r="A604" t="s">
        <v>2772</v>
      </c>
      <c r="B604" t="s">
        <v>4760</v>
      </c>
      <c r="C604" t="s">
        <v>4148</v>
      </c>
      <c r="D604" t="s">
        <v>2085</v>
      </c>
      <c r="E604" t="s">
        <v>2303</v>
      </c>
      <c r="F604" t="s">
        <v>90</v>
      </c>
      <c r="G604" t="s">
        <v>91</v>
      </c>
      <c r="H604">
        <v>10178</v>
      </c>
      <c r="I604" t="s">
        <v>71</v>
      </c>
      <c r="J604" s="3">
        <v>44481</v>
      </c>
      <c r="M604" t="str">
        <f t="shared" si="9"/>
        <v xml:space="preserve"> </v>
      </c>
    </row>
    <row r="605" spans="1:13" x14ac:dyDescent="0.35">
      <c r="A605" t="s">
        <v>2774</v>
      </c>
      <c r="B605" t="s">
        <v>4988</v>
      </c>
      <c r="C605" t="s">
        <v>4149</v>
      </c>
      <c r="D605" t="s">
        <v>2300</v>
      </c>
      <c r="E605" t="s">
        <v>2301</v>
      </c>
      <c r="F605" t="s">
        <v>1512</v>
      </c>
      <c r="G605" t="s">
        <v>70</v>
      </c>
      <c r="H605">
        <v>77002</v>
      </c>
      <c r="I605" t="s">
        <v>74</v>
      </c>
      <c r="J605" s="3">
        <v>44907</v>
      </c>
      <c r="M605" t="str">
        <f t="shared" si="9"/>
        <v xml:space="preserve"> </v>
      </c>
    </row>
    <row r="606" spans="1:13" x14ac:dyDescent="0.35">
      <c r="A606" t="s">
        <v>2777</v>
      </c>
      <c r="B606" t="s">
        <v>4989</v>
      </c>
      <c r="C606" t="s">
        <v>4150</v>
      </c>
      <c r="D606" t="s">
        <v>2297</v>
      </c>
      <c r="E606" t="s">
        <v>2298</v>
      </c>
      <c r="F606" t="s">
        <v>1089</v>
      </c>
      <c r="G606" t="s">
        <v>1090</v>
      </c>
      <c r="H606">
        <v>75600</v>
      </c>
      <c r="I606" t="s">
        <v>80</v>
      </c>
      <c r="J606" s="3">
        <v>45258</v>
      </c>
      <c r="M606" t="str">
        <f t="shared" si="9"/>
        <v xml:space="preserve"> </v>
      </c>
    </row>
    <row r="607" spans="1:13" x14ac:dyDescent="0.35">
      <c r="A607" t="s">
        <v>2779</v>
      </c>
      <c r="B607" t="s">
        <v>4838</v>
      </c>
      <c r="C607" t="s">
        <v>4151</v>
      </c>
      <c r="D607" t="s">
        <v>1765</v>
      </c>
      <c r="E607" t="s">
        <v>2295</v>
      </c>
      <c r="F607" t="s">
        <v>75</v>
      </c>
      <c r="G607" t="s">
        <v>76</v>
      </c>
      <c r="H607" t="s">
        <v>1767</v>
      </c>
      <c r="I607" t="s">
        <v>71</v>
      </c>
      <c r="J607" s="3">
        <v>44518</v>
      </c>
      <c r="M607" t="str">
        <f t="shared" si="9"/>
        <v xml:space="preserve"> </v>
      </c>
    </row>
    <row r="608" spans="1:13" x14ac:dyDescent="0.35">
      <c r="A608" t="s">
        <v>2781</v>
      </c>
      <c r="B608" t="s">
        <v>4990</v>
      </c>
      <c r="C608" t="s">
        <v>4152</v>
      </c>
      <c r="D608" t="s">
        <v>2292</v>
      </c>
      <c r="E608" t="s">
        <v>2293</v>
      </c>
      <c r="F608" t="s">
        <v>1129</v>
      </c>
      <c r="G608" t="s">
        <v>1070</v>
      </c>
      <c r="H608" t="s">
        <v>1883</v>
      </c>
      <c r="I608" t="s">
        <v>74</v>
      </c>
      <c r="J608" s="3">
        <v>44832</v>
      </c>
      <c r="M608" t="str">
        <f t="shared" si="9"/>
        <v xml:space="preserve"> </v>
      </c>
    </row>
    <row r="609" spans="1:13" x14ac:dyDescent="0.35">
      <c r="A609" t="s">
        <v>2783</v>
      </c>
      <c r="B609" t="s">
        <v>4965</v>
      </c>
      <c r="C609" t="s">
        <v>4153</v>
      </c>
      <c r="D609" t="s">
        <v>2071</v>
      </c>
      <c r="E609" t="s">
        <v>2290</v>
      </c>
      <c r="F609" t="s">
        <v>1075</v>
      </c>
      <c r="G609" t="s">
        <v>1076</v>
      </c>
      <c r="H609">
        <v>12311</v>
      </c>
      <c r="I609" t="s">
        <v>80</v>
      </c>
      <c r="J609" s="3">
        <v>45207</v>
      </c>
      <c r="M609" t="str">
        <f t="shared" si="9"/>
        <v xml:space="preserve"> </v>
      </c>
    </row>
    <row r="610" spans="1:13" x14ac:dyDescent="0.35">
      <c r="A610" t="s">
        <v>2785</v>
      </c>
      <c r="B610" t="s">
        <v>4845</v>
      </c>
      <c r="C610" t="s">
        <v>4154</v>
      </c>
      <c r="D610" t="s">
        <v>2068</v>
      </c>
      <c r="E610" t="s">
        <v>2288</v>
      </c>
      <c r="F610" t="s">
        <v>1159</v>
      </c>
      <c r="G610" t="s">
        <v>73</v>
      </c>
      <c r="H610">
        <v>8018</v>
      </c>
      <c r="I610" t="s">
        <v>71</v>
      </c>
      <c r="J610" s="3">
        <v>44538</v>
      </c>
      <c r="M610" t="str">
        <f t="shared" si="9"/>
        <v xml:space="preserve"> </v>
      </c>
    </row>
    <row r="611" spans="1:13" x14ac:dyDescent="0.35">
      <c r="A611" t="s">
        <v>2787</v>
      </c>
      <c r="B611" t="s">
        <v>4692</v>
      </c>
      <c r="C611" t="s">
        <v>4155</v>
      </c>
      <c r="D611" t="s">
        <v>2065</v>
      </c>
      <c r="E611" t="s">
        <v>2286</v>
      </c>
      <c r="F611" t="s">
        <v>1170</v>
      </c>
      <c r="G611" t="s">
        <v>76</v>
      </c>
      <c r="H611" t="s">
        <v>1873</v>
      </c>
      <c r="I611" t="s">
        <v>74</v>
      </c>
      <c r="J611" s="3">
        <v>44856</v>
      </c>
      <c r="M611" t="str">
        <f t="shared" si="9"/>
        <v xml:space="preserve"> </v>
      </c>
    </row>
    <row r="612" spans="1:13" x14ac:dyDescent="0.35">
      <c r="A612" t="s">
        <v>2789</v>
      </c>
      <c r="B612" t="s">
        <v>4861</v>
      </c>
      <c r="C612" t="s">
        <v>4156</v>
      </c>
      <c r="D612" t="s">
        <v>1380</v>
      </c>
      <c r="E612" t="s">
        <v>2284</v>
      </c>
      <c r="F612" t="s">
        <v>72</v>
      </c>
      <c r="G612" t="s">
        <v>73</v>
      </c>
      <c r="H612">
        <v>28001</v>
      </c>
      <c r="I612" t="s">
        <v>80</v>
      </c>
      <c r="J612" s="3">
        <v>45197</v>
      </c>
      <c r="M612" t="str">
        <f t="shared" si="9"/>
        <v xml:space="preserve"> </v>
      </c>
    </row>
    <row r="613" spans="1:13" x14ac:dyDescent="0.35">
      <c r="A613" t="s">
        <v>2791</v>
      </c>
      <c r="B613" t="s">
        <v>4630</v>
      </c>
      <c r="C613" t="s">
        <v>4157</v>
      </c>
      <c r="D613" t="s">
        <v>2060</v>
      </c>
      <c r="E613" t="s">
        <v>2282</v>
      </c>
      <c r="F613" t="s">
        <v>90</v>
      </c>
      <c r="G613" t="s">
        <v>91</v>
      </c>
      <c r="H613">
        <v>10117</v>
      </c>
      <c r="I613" t="s">
        <v>71</v>
      </c>
      <c r="J613" s="3">
        <v>44461</v>
      </c>
      <c r="M613" t="str">
        <f t="shared" si="9"/>
        <v xml:space="preserve"> </v>
      </c>
    </row>
    <row r="614" spans="1:13" x14ac:dyDescent="0.35">
      <c r="A614" t="s">
        <v>2793</v>
      </c>
      <c r="B614" t="s">
        <v>4991</v>
      </c>
      <c r="C614" t="s">
        <v>4158</v>
      </c>
      <c r="D614" t="s">
        <v>2279</v>
      </c>
      <c r="E614" t="s">
        <v>2280</v>
      </c>
      <c r="F614" t="s">
        <v>1745</v>
      </c>
      <c r="G614" t="s">
        <v>70</v>
      </c>
      <c r="H614">
        <v>85016</v>
      </c>
      <c r="I614" t="s">
        <v>74</v>
      </c>
      <c r="J614" s="3">
        <v>44887</v>
      </c>
      <c r="M614" t="str">
        <f t="shared" si="9"/>
        <v xml:space="preserve"> </v>
      </c>
    </row>
    <row r="615" spans="1:13" x14ac:dyDescent="0.35">
      <c r="A615" t="s">
        <v>2796</v>
      </c>
      <c r="B615" t="s">
        <v>4992</v>
      </c>
      <c r="C615" t="s">
        <v>4159</v>
      </c>
      <c r="D615" t="s">
        <v>2276</v>
      </c>
      <c r="E615" t="s">
        <v>2277</v>
      </c>
      <c r="F615" t="s">
        <v>1299</v>
      </c>
      <c r="G615" t="s">
        <v>1090</v>
      </c>
      <c r="H615">
        <v>54810</v>
      </c>
      <c r="I615" t="s">
        <v>80</v>
      </c>
      <c r="J615" s="3">
        <v>45160</v>
      </c>
      <c r="M615" t="str">
        <f t="shared" si="9"/>
        <v xml:space="preserve"> </v>
      </c>
    </row>
    <row r="616" spans="1:13" x14ac:dyDescent="0.35">
      <c r="A616" t="s">
        <v>2798</v>
      </c>
      <c r="B616" t="s">
        <v>4985</v>
      </c>
      <c r="C616" t="s">
        <v>4160</v>
      </c>
      <c r="D616" t="s">
        <v>2051</v>
      </c>
      <c r="E616" t="s">
        <v>2274</v>
      </c>
      <c r="F616" t="s">
        <v>75</v>
      </c>
      <c r="G616" t="s">
        <v>76</v>
      </c>
      <c r="H616" t="s">
        <v>1385</v>
      </c>
      <c r="I616" t="s">
        <v>71</v>
      </c>
      <c r="J616" s="3">
        <v>44497</v>
      </c>
      <c r="M616" t="str">
        <f t="shared" si="9"/>
        <v xml:space="preserve"> </v>
      </c>
    </row>
    <row r="617" spans="1:13" x14ac:dyDescent="0.35">
      <c r="A617" t="s">
        <v>2800</v>
      </c>
      <c r="B617" t="s">
        <v>4993</v>
      </c>
      <c r="C617" t="s">
        <v>4161</v>
      </c>
      <c r="D617" t="s">
        <v>2271</v>
      </c>
      <c r="E617" t="s">
        <v>2272</v>
      </c>
      <c r="F617" t="s">
        <v>1198</v>
      </c>
      <c r="G617" t="s">
        <v>1070</v>
      </c>
      <c r="H617" t="s">
        <v>1199</v>
      </c>
      <c r="I617" t="s">
        <v>74</v>
      </c>
      <c r="J617" s="3">
        <v>44913</v>
      </c>
      <c r="M617" t="str">
        <f t="shared" si="9"/>
        <v xml:space="preserve"> </v>
      </c>
    </row>
    <row r="618" spans="1:13" x14ac:dyDescent="0.35">
      <c r="A618" t="s">
        <v>2802</v>
      </c>
      <c r="B618" t="s">
        <v>4994</v>
      </c>
      <c r="C618" t="s">
        <v>4162</v>
      </c>
      <c r="D618" t="s">
        <v>2020</v>
      </c>
      <c r="E618" t="s">
        <v>2269</v>
      </c>
      <c r="F618" t="s">
        <v>1166</v>
      </c>
      <c r="G618" t="s">
        <v>1076</v>
      </c>
      <c r="H618">
        <v>21599</v>
      </c>
      <c r="I618" t="s">
        <v>80</v>
      </c>
      <c r="J618" s="3">
        <v>45115</v>
      </c>
      <c r="M618" t="str">
        <f t="shared" si="9"/>
        <v xml:space="preserve"> </v>
      </c>
    </row>
    <row r="619" spans="1:13" x14ac:dyDescent="0.35">
      <c r="A619" t="s">
        <v>2804</v>
      </c>
      <c r="B619" t="s">
        <v>4995</v>
      </c>
      <c r="C619" t="s">
        <v>4163</v>
      </c>
      <c r="D619" t="s">
        <v>2042</v>
      </c>
      <c r="E619" t="s">
        <v>2267</v>
      </c>
      <c r="F619" t="s">
        <v>1159</v>
      </c>
      <c r="G619" t="s">
        <v>73</v>
      </c>
      <c r="H619">
        <v>8008</v>
      </c>
      <c r="I619" t="s">
        <v>71</v>
      </c>
      <c r="J619" s="3">
        <v>44512</v>
      </c>
      <c r="M619" t="str">
        <f t="shared" si="9"/>
        <v xml:space="preserve"> </v>
      </c>
    </row>
    <row r="620" spans="1:13" x14ac:dyDescent="0.35">
      <c r="A620" t="s">
        <v>2806</v>
      </c>
      <c r="B620" t="s">
        <v>4996</v>
      </c>
      <c r="C620" t="s">
        <v>4164</v>
      </c>
      <c r="D620" t="s">
        <v>2039</v>
      </c>
      <c r="E620" t="s">
        <v>2265</v>
      </c>
      <c r="F620" t="s">
        <v>1170</v>
      </c>
      <c r="G620" t="s">
        <v>76</v>
      </c>
      <c r="H620" t="s">
        <v>1171</v>
      </c>
      <c r="I620" t="s">
        <v>74</v>
      </c>
      <c r="J620" s="3">
        <v>44816</v>
      </c>
      <c r="M620" t="str">
        <f t="shared" si="9"/>
        <v xml:space="preserve"> </v>
      </c>
    </row>
    <row r="621" spans="1:13" x14ac:dyDescent="0.35">
      <c r="A621" t="s">
        <v>2808</v>
      </c>
      <c r="B621" t="s">
        <v>4997</v>
      </c>
      <c r="C621" t="s">
        <v>4165</v>
      </c>
      <c r="D621" t="s">
        <v>1268</v>
      </c>
      <c r="E621" t="s">
        <v>2263</v>
      </c>
      <c r="F621" t="s">
        <v>72</v>
      </c>
      <c r="G621" t="s">
        <v>73</v>
      </c>
      <c r="H621">
        <v>28006</v>
      </c>
      <c r="I621" t="s">
        <v>80</v>
      </c>
      <c r="J621" s="3">
        <v>45095</v>
      </c>
      <c r="M621" t="str">
        <f t="shared" si="9"/>
        <v xml:space="preserve"> </v>
      </c>
    </row>
    <row r="622" spans="1:13" x14ac:dyDescent="0.35">
      <c r="A622" t="s">
        <v>2810</v>
      </c>
      <c r="B622" t="s">
        <v>4920</v>
      </c>
      <c r="C622" t="s">
        <v>4166</v>
      </c>
      <c r="D622" t="s">
        <v>2034</v>
      </c>
      <c r="E622" t="s">
        <v>2261</v>
      </c>
      <c r="F622" t="s">
        <v>90</v>
      </c>
      <c r="G622" t="s">
        <v>91</v>
      </c>
      <c r="H622">
        <v>10117</v>
      </c>
      <c r="I622" t="s">
        <v>71</v>
      </c>
      <c r="J622" s="3">
        <v>44558</v>
      </c>
      <c r="M622" t="str">
        <f t="shared" si="9"/>
        <v xml:space="preserve"> </v>
      </c>
    </row>
    <row r="623" spans="1:13" x14ac:dyDescent="0.35">
      <c r="A623" t="s">
        <v>2812</v>
      </c>
      <c r="B623" t="s">
        <v>4998</v>
      </c>
      <c r="C623" t="s">
        <v>4167</v>
      </c>
      <c r="D623" t="s">
        <v>2258</v>
      </c>
      <c r="E623" t="s">
        <v>2259</v>
      </c>
      <c r="F623" t="s">
        <v>1922</v>
      </c>
      <c r="G623" t="s">
        <v>70</v>
      </c>
      <c r="H623">
        <v>19106</v>
      </c>
      <c r="I623" t="s">
        <v>74</v>
      </c>
      <c r="J623" s="3">
        <v>44842</v>
      </c>
      <c r="M623" t="str">
        <f t="shared" si="9"/>
        <v xml:space="preserve"> </v>
      </c>
    </row>
    <row r="624" spans="1:13" x14ac:dyDescent="0.35">
      <c r="A624" t="s">
        <v>2815</v>
      </c>
      <c r="B624" t="s">
        <v>4999</v>
      </c>
      <c r="C624" t="s">
        <v>4168</v>
      </c>
      <c r="D624" t="s">
        <v>2255</v>
      </c>
      <c r="E624" t="s">
        <v>2256</v>
      </c>
      <c r="F624" t="s">
        <v>78</v>
      </c>
      <c r="G624" t="s">
        <v>79</v>
      </c>
      <c r="H624">
        <v>123456</v>
      </c>
      <c r="I624" t="s">
        <v>80</v>
      </c>
      <c r="J624" s="3">
        <v>45074</v>
      </c>
      <c r="M624" t="str">
        <f t="shared" si="9"/>
        <v xml:space="preserve"> </v>
      </c>
    </row>
    <row r="625" spans="1:13" x14ac:dyDescent="0.35">
      <c r="A625" t="s">
        <v>2817</v>
      </c>
      <c r="B625" t="s">
        <v>5000</v>
      </c>
      <c r="C625" t="s">
        <v>4169</v>
      </c>
      <c r="D625" t="s">
        <v>1514</v>
      </c>
      <c r="E625" t="s">
        <v>2253</v>
      </c>
      <c r="F625" t="s">
        <v>75</v>
      </c>
      <c r="G625" t="s">
        <v>76</v>
      </c>
      <c r="H625" t="s">
        <v>1815</v>
      </c>
      <c r="I625" t="s">
        <v>71</v>
      </c>
      <c r="J625" s="3">
        <v>44444</v>
      </c>
      <c r="M625" t="str">
        <f t="shared" si="9"/>
        <v xml:space="preserve"> </v>
      </c>
    </row>
    <row r="626" spans="1:13" x14ac:dyDescent="0.35">
      <c r="A626" t="s">
        <v>2819</v>
      </c>
      <c r="B626" t="s">
        <v>4947</v>
      </c>
      <c r="C626" t="s">
        <v>4170</v>
      </c>
      <c r="D626" t="s">
        <v>2250</v>
      </c>
      <c r="E626" t="s">
        <v>2251</v>
      </c>
      <c r="F626" t="s">
        <v>1129</v>
      </c>
      <c r="G626" t="s">
        <v>1070</v>
      </c>
      <c r="H626" t="s">
        <v>1130</v>
      </c>
      <c r="I626" t="s">
        <v>74</v>
      </c>
      <c r="J626" s="3">
        <v>44880</v>
      </c>
      <c r="M626" t="str">
        <f t="shared" si="9"/>
        <v xml:space="preserve"> </v>
      </c>
    </row>
    <row r="627" spans="1:13" x14ac:dyDescent="0.35">
      <c r="A627" t="s">
        <v>2821</v>
      </c>
      <c r="B627" t="s">
        <v>4717</v>
      </c>
      <c r="C627" t="s">
        <v>4171</v>
      </c>
      <c r="D627" t="s">
        <v>1966</v>
      </c>
      <c r="E627" t="s">
        <v>2248</v>
      </c>
      <c r="F627" t="s">
        <v>1075</v>
      </c>
      <c r="G627" t="s">
        <v>1076</v>
      </c>
      <c r="H627">
        <v>11341</v>
      </c>
      <c r="I627" t="s">
        <v>80</v>
      </c>
      <c r="J627" s="3">
        <v>45044</v>
      </c>
      <c r="M627" t="str">
        <f t="shared" si="9"/>
        <v xml:space="preserve"> </v>
      </c>
    </row>
    <row r="628" spans="1:13" x14ac:dyDescent="0.35">
      <c r="A628" t="s">
        <v>2823</v>
      </c>
      <c r="B628" t="s">
        <v>4937</v>
      </c>
      <c r="C628" t="s">
        <v>4172</v>
      </c>
      <c r="D628" t="s">
        <v>2017</v>
      </c>
      <c r="E628" t="s">
        <v>2246</v>
      </c>
      <c r="F628" t="s">
        <v>1159</v>
      </c>
      <c r="G628" t="s">
        <v>73</v>
      </c>
      <c r="H628">
        <v>8018</v>
      </c>
      <c r="I628" t="s">
        <v>71</v>
      </c>
      <c r="J628" s="3">
        <v>44484</v>
      </c>
      <c r="M628" t="str">
        <f t="shared" si="9"/>
        <v xml:space="preserve"> </v>
      </c>
    </row>
    <row r="629" spans="1:13" x14ac:dyDescent="0.35">
      <c r="A629" t="s">
        <v>2825</v>
      </c>
      <c r="B629" t="s">
        <v>5001</v>
      </c>
      <c r="C629" t="s">
        <v>4173</v>
      </c>
      <c r="D629" t="s">
        <v>2014</v>
      </c>
      <c r="E629" t="s">
        <v>2244</v>
      </c>
      <c r="F629" t="s">
        <v>1170</v>
      </c>
      <c r="G629" t="s">
        <v>76</v>
      </c>
      <c r="H629" t="s">
        <v>1989</v>
      </c>
      <c r="I629" t="s">
        <v>74</v>
      </c>
      <c r="J629" s="3">
        <v>44903</v>
      </c>
      <c r="M629" t="str">
        <f t="shared" si="9"/>
        <v xml:space="preserve"> </v>
      </c>
    </row>
    <row r="630" spans="1:13" x14ac:dyDescent="0.35">
      <c r="A630" t="s">
        <v>2827</v>
      </c>
      <c r="B630" t="s">
        <v>4831</v>
      </c>
      <c r="C630" t="s">
        <v>4174</v>
      </c>
      <c r="D630" t="s">
        <v>2011</v>
      </c>
      <c r="E630" t="s">
        <v>2242</v>
      </c>
      <c r="F630" t="s">
        <v>72</v>
      </c>
      <c r="G630" t="s">
        <v>73</v>
      </c>
      <c r="H630">
        <v>28001</v>
      </c>
      <c r="I630" t="s">
        <v>80</v>
      </c>
      <c r="J630" s="3">
        <v>45000</v>
      </c>
      <c r="M630" t="str">
        <f t="shared" si="9"/>
        <v xml:space="preserve"> </v>
      </c>
    </row>
    <row r="631" spans="1:13" x14ac:dyDescent="0.35">
      <c r="A631" t="s">
        <v>2829</v>
      </c>
      <c r="B631" t="s">
        <v>5002</v>
      </c>
      <c r="C631" t="s">
        <v>4175</v>
      </c>
      <c r="D631" t="s">
        <v>2008</v>
      </c>
      <c r="E631" t="s">
        <v>2240</v>
      </c>
      <c r="F631" t="s">
        <v>90</v>
      </c>
      <c r="G631" t="s">
        <v>91</v>
      </c>
      <c r="H631">
        <v>10719</v>
      </c>
      <c r="I631" t="s">
        <v>71</v>
      </c>
      <c r="J631" s="3">
        <v>44525</v>
      </c>
      <c r="M631" t="str">
        <f t="shared" si="9"/>
        <v xml:space="preserve"> </v>
      </c>
    </row>
    <row r="632" spans="1:13" x14ac:dyDescent="0.35">
      <c r="A632" t="s">
        <v>2831</v>
      </c>
      <c r="B632" t="s">
        <v>5003</v>
      </c>
      <c r="C632" t="s">
        <v>4176</v>
      </c>
      <c r="D632" t="s">
        <v>2237</v>
      </c>
      <c r="E632" t="s">
        <v>2238</v>
      </c>
      <c r="F632" t="s">
        <v>1864</v>
      </c>
      <c r="G632" t="s">
        <v>70</v>
      </c>
      <c r="H632">
        <v>30303</v>
      </c>
      <c r="I632" t="s">
        <v>74</v>
      </c>
      <c r="J632" s="3">
        <v>44826</v>
      </c>
      <c r="M632" t="str">
        <f t="shared" si="9"/>
        <v xml:space="preserve"> </v>
      </c>
    </row>
    <row r="633" spans="1:13" x14ac:dyDescent="0.35">
      <c r="A633" t="s">
        <v>2834</v>
      </c>
      <c r="B633" t="s">
        <v>5004</v>
      </c>
      <c r="C633" t="s">
        <v>4177</v>
      </c>
      <c r="D633" t="s">
        <v>2234</v>
      </c>
      <c r="E633" t="s">
        <v>2235</v>
      </c>
      <c r="F633" t="s">
        <v>1089</v>
      </c>
      <c r="G633" t="s">
        <v>1090</v>
      </c>
      <c r="H633">
        <v>75600</v>
      </c>
      <c r="I633" t="s">
        <v>80</v>
      </c>
      <c r="J633" s="3">
        <v>44975</v>
      </c>
      <c r="M633" t="str">
        <f t="shared" si="9"/>
        <v xml:space="preserve"> </v>
      </c>
    </row>
    <row r="634" spans="1:13" x14ac:dyDescent="0.35">
      <c r="A634" t="s">
        <v>2836</v>
      </c>
      <c r="B634" t="s">
        <v>4662</v>
      </c>
      <c r="C634" t="s">
        <v>4178</v>
      </c>
      <c r="D634" t="s">
        <v>1487</v>
      </c>
      <c r="E634" t="s">
        <v>2232</v>
      </c>
      <c r="F634" t="s">
        <v>75</v>
      </c>
      <c r="G634" t="s">
        <v>76</v>
      </c>
      <c r="H634" t="s">
        <v>1767</v>
      </c>
      <c r="I634" t="s">
        <v>71</v>
      </c>
      <c r="J634" s="3">
        <v>44542</v>
      </c>
      <c r="M634" t="str">
        <f t="shared" si="9"/>
        <v xml:space="preserve"> </v>
      </c>
    </row>
    <row r="635" spans="1:13" x14ac:dyDescent="0.35">
      <c r="A635" t="s">
        <v>2838</v>
      </c>
      <c r="B635" t="s">
        <v>4545</v>
      </c>
      <c r="C635" t="s">
        <v>4179</v>
      </c>
      <c r="D635" t="s">
        <v>2229</v>
      </c>
      <c r="E635" t="s">
        <v>2230</v>
      </c>
      <c r="F635" t="s">
        <v>1198</v>
      </c>
      <c r="G635" t="s">
        <v>1070</v>
      </c>
      <c r="H635" t="s">
        <v>1199</v>
      </c>
      <c r="I635" t="s">
        <v>74</v>
      </c>
      <c r="J635" s="3">
        <v>44852</v>
      </c>
      <c r="M635" t="str">
        <f t="shared" si="9"/>
        <v xml:space="preserve"> </v>
      </c>
    </row>
    <row r="636" spans="1:13" x14ac:dyDescent="0.35">
      <c r="A636" t="s">
        <v>2840</v>
      </c>
      <c r="B636" t="s">
        <v>4561</v>
      </c>
      <c r="C636" t="s">
        <v>4180</v>
      </c>
      <c r="D636" t="s">
        <v>1908</v>
      </c>
      <c r="E636" t="s">
        <v>2227</v>
      </c>
      <c r="F636" t="s">
        <v>1075</v>
      </c>
      <c r="G636" t="s">
        <v>1076</v>
      </c>
      <c r="H636">
        <v>12311</v>
      </c>
      <c r="I636" t="s">
        <v>80</v>
      </c>
      <c r="J636" s="3">
        <v>44951</v>
      </c>
      <c r="M636" t="str">
        <f t="shared" si="9"/>
        <v xml:space="preserve"> </v>
      </c>
    </row>
    <row r="637" spans="1:13" x14ac:dyDescent="0.35">
      <c r="A637" t="s">
        <v>2842</v>
      </c>
      <c r="B637" t="s">
        <v>5005</v>
      </c>
      <c r="C637" t="s">
        <v>4181</v>
      </c>
      <c r="D637" t="s">
        <v>1991</v>
      </c>
      <c r="E637" t="s">
        <v>2225</v>
      </c>
      <c r="F637" t="s">
        <v>1159</v>
      </c>
      <c r="G637" t="s">
        <v>73</v>
      </c>
      <c r="H637">
        <v>8008</v>
      </c>
      <c r="I637" t="s">
        <v>71</v>
      </c>
      <c r="J637" s="3">
        <v>44457</v>
      </c>
      <c r="M637" t="str">
        <f t="shared" si="9"/>
        <v xml:space="preserve"> </v>
      </c>
    </row>
    <row r="638" spans="1:13" x14ac:dyDescent="0.35">
      <c r="A638" t="s">
        <v>2844</v>
      </c>
      <c r="B638" t="s">
        <v>4528</v>
      </c>
      <c r="C638" t="s">
        <v>4182</v>
      </c>
      <c r="D638" t="s">
        <v>1987</v>
      </c>
      <c r="E638" t="s">
        <v>2223</v>
      </c>
      <c r="F638" t="s">
        <v>1170</v>
      </c>
      <c r="G638" t="s">
        <v>76</v>
      </c>
      <c r="H638" t="s">
        <v>1873</v>
      </c>
      <c r="I638" t="s">
        <v>74</v>
      </c>
      <c r="J638" s="3">
        <v>44873</v>
      </c>
      <c r="M638" t="str">
        <f t="shared" si="9"/>
        <v xml:space="preserve"> </v>
      </c>
    </row>
    <row r="639" spans="1:13" x14ac:dyDescent="0.35">
      <c r="A639" t="s">
        <v>2846</v>
      </c>
      <c r="B639" t="s">
        <v>5006</v>
      </c>
      <c r="C639" t="s">
        <v>4183</v>
      </c>
      <c r="D639" t="s">
        <v>1984</v>
      </c>
      <c r="E639" t="s">
        <v>2221</v>
      </c>
      <c r="F639" t="s">
        <v>72</v>
      </c>
      <c r="G639" t="s">
        <v>73</v>
      </c>
      <c r="H639">
        <v>28006</v>
      </c>
      <c r="I639" t="s">
        <v>80</v>
      </c>
      <c r="J639" s="3">
        <v>45282</v>
      </c>
      <c r="M639" t="str">
        <f t="shared" si="9"/>
        <v xml:space="preserve"> </v>
      </c>
    </row>
    <row r="640" spans="1:13" x14ac:dyDescent="0.35">
      <c r="A640" t="s">
        <v>2848</v>
      </c>
      <c r="B640" t="s">
        <v>3539</v>
      </c>
      <c r="C640" t="s">
        <v>4184</v>
      </c>
      <c r="D640" t="s">
        <v>1981</v>
      </c>
      <c r="E640" t="s">
        <v>2219</v>
      </c>
      <c r="F640" t="s">
        <v>90</v>
      </c>
      <c r="G640" t="s">
        <v>91</v>
      </c>
      <c r="H640">
        <v>10178</v>
      </c>
      <c r="I640" t="s">
        <v>71</v>
      </c>
      <c r="J640" s="3">
        <v>44491</v>
      </c>
      <c r="M640" t="str">
        <f t="shared" si="9"/>
        <v xml:space="preserve"> </v>
      </c>
    </row>
    <row r="641" spans="1:13" x14ac:dyDescent="0.35">
      <c r="A641" t="s">
        <v>2850</v>
      </c>
      <c r="B641" t="s">
        <v>4580</v>
      </c>
      <c r="C641" t="s">
        <v>4185</v>
      </c>
      <c r="D641" t="s">
        <v>2216</v>
      </c>
      <c r="E641" t="s">
        <v>2217</v>
      </c>
      <c r="F641" t="s">
        <v>1834</v>
      </c>
      <c r="G641" t="s">
        <v>70</v>
      </c>
      <c r="H641">
        <v>75202</v>
      </c>
      <c r="I641" t="s">
        <v>74</v>
      </c>
      <c r="J641" s="3">
        <v>44910</v>
      </c>
      <c r="M641" t="str">
        <f t="shared" si="9"/>
        <v xml:space="preserve"> </v>
      </c>
    </row>
    <row r="642" spans="1:13" x14ac:dyDescent="0.35">
      <c r="A642" t="s">
        <v>2851</v>
      </c>
      <c r="B642" t="s">
        <v>4990</v>
      </c>
      <c r="C642" t="s">
        <v>4186</v>
      </c>
      <c r="D642" t="s">
        <v>2213</v>
      </c>
      <c r="E642" t="s">
        <v>2214</v>
      </c>
      <c r="F642" t="s">
        <v>1299</v>
      </c>
      <c r="G642" t="s">
        <v>1090</v>
      </c>
      <c r="H642">
        <v>54810</v>
      </c>
      <c r="I642" t="s">
        <v>80</v>
      </c>
      <c r="J642" s="3">
        <v>45248</v>
      </c>
      <c r="M642" t="str">
        <f t="shared" si="9"/>
        <v xml:space="preserve"> </v>
      </c>
    </row>
    <row r="643" spans="1:13" x14ac:dyDescent="0.35">
      <c r="A643" t="s">
        <v>2853</v>
      </c>
      <c r="B643" t="s">
        <v>4602</v>
      </c>
      <c r="C643" t="s">
        <v>4187</v>
      </c>
      <c r="D643" t="s">
        <v>1460</v>
      </c>
      <c r="E643" t="s">
        <v>2211</v>
      </c>
      <c r="F643" t="s">
        <v>75</v>
      </c>
      <c r="G643" t="s">
        <v>76</v>
      </c>
      <c r="H643" t="s">
        <v>1385</v>
      </c>
      <c r="I643" t="s">
        <v>71</v>
      </c>
      <c r="J643" s="3">
        <v>44508</v>
      </c>
      <c r="M643" t="str">
        <f t="shared" si="9"/>
        <v xml:space="preserve"> </v>
      </c>
    </row>
    <row r="644" spans="1:13" x14ac:dyDescent="0.35">
      <c r="A644" t="s">
        <v>2855</v>
      </c>
      <c r="B644" t="s">
        <v>5007</v>
      </c>
      <c r="C644" t="s">
        <v>4188</v>
      </c>
      <c r="D644" t="s">
        <v>2208</v>
      </c>
      <c r="E644" t="s">
        <v>2209</v>
      </c>
      <c r="F644" t="s">
        <v>1129</v>
      </c>
      <c r="G644" t="s">
        <v>1070</v>
      </c>
      <c r="H644" t="s">
        <v>1883</v>
      </c>
      <c r="I644" t="s">
        <v>74</v>
      </c>
      <c r="J644" s="3">
        <v>44812</v>
      </c>
      <c r="M644" t="str">
        <f t="shared" ref="M644:M707" si="10">V644&amp;" "&amp;W644</f>
        <v xml:space="preserve"> </v>
      </c>
    </row>
    <row r="645" spans="1:13" x14ac:dyDescent="0.35">
      <c r="A645" t="s">
        <v>2857</v>
      </c>
      <c r="B645" t="s">
        <v>5008</v>
      </c>
      <c r="C645" t="s">
        <v>4189</v>
      </c>
      <c r="D645" t="s">
        <v>1859</v>
      </c>
      <c r="E645" t="s">
        <v>2206</v>
      </c>
      <c r="F645" t="s">
        <v>1075</v>
      </c>
      <c r="G645" t="s">
        <v>1076</v>
      </c>
      <c r="H645">
        <v>12311</v>
      </c>
      <c r="I645" t="s">
        <v>80</v>
      </c>
      <c r="J645" s="3">
        <v>45227</v>
      </c>
      <c r="M645" t="str">
        <f t="shared" si="10"/>
        <v xml:space="preserve"> </v>
      </c>
    </row>
    <row r="646" spans="1:13" x14ac:dyDescent="0.35">
      <c r="A646" t="s">
        <v>2859</v>
      </c>
      <c r="B646" t="s">
        <v>4565</v>
      </c>
      <c r="C646" t="s">
        <v>4190</v>
      </c>
      <c r="D646" t="s">
        <v>1963</v>
      </c>
      <c r="E646" t="s">
        <v>2204</v>
      </c>
      <c r="F646" t="s">
        <v>1159</v>
      </c>
      <c r="G646" t="s">
        <v>73</v>
      </c>
      <c r="H646">
        <v>8018</v>
      </c>
      <c r="I646" t="s">
        <v>71</v>
      </c>
      <c r="J646" s="3">
        <v>44545</v>
      </c>
      <c r="M646" t="str">
        <f t="shared" si="10"/>
        <v xml:space="preserve"> </v>
      </c>
    </row>
    <row r="647" spans="1:13" x14ac:dyDescent="0.35">
      <c r="A647" t="s">
        <v>2861</v>
      </c>
      <c r="B647" t="s">
        <v>4837</v>
      </c>
      <c r="C647" t="s">
        <v>4191</v>
      </c>
      <c r="D647" t="s">
        <v>1960</v>
      </c>
      <c r="E647" t="s">
        <v>2202</v>
      </c>
      <c r="F647" t="s">
        <v>1170</v>
      </c>
      <c r="G647" t="s">
        <v>76</v>
      </c>
      <c r="H647" t="s">
        <v>1171</v>
      </c>
      <c r="I647" t="s">
        <v>74</v>
      </c>
      <c r="J647" s="3">
        <v>44862</v>
      </c>
      <c r="M647" t="str">
        <f t="shared" si="10"/>
        <v xml:space="preserve"> </v>
      </c>
    </row>
    <row r="648" spans="1:13" x14ac:dyDescent="0.35">
      <c r="A648" t="s">
        <v>2863</v>
      </c>
      <c r="B648" t="s">
        <v>4776</v>
      </c>
      <c r="C648" t="s">
        <v>4192</v>
      </c>
      <c r="D648" t="s">
        <v>1957</v>
      </c>
      <c r="E648" t="s">
        <v>2200</v>
      </c>
      <c r="F648" t="s">
        <v>72</v>
      </c>
      <c r="G648" t="s">
        <v>73</v>
      </c>
      <c r="H648">
        <v>28001</v>
      </c>
      <c r="I648" t="s">
        <v>80</v>
      </c>
      <c r="J648" s="3">
        <v>45181</v>
      </c>
      <c r="M648" t="str">
        <f t="shared" si="10"/>
        <v xml:space="preserve"> </v>
      </c>
    </row>
    <row r="649" spans="1:13" x14ac:dyDescent="0.35">
      <c r="A649" t="s">
        <v>2865</v>
      </c>
      <c r="B649" t="s">
        <v>4804</v>
      </c>
      <c r="C649" t="s">
        <v>4193</v>
      </c>
      <c r="D649" t="s">
        <v>1954</v>
      </c>
      <c r="E649" t="s">
        <v>2198</v>
      </c>
      <c r="F649" t="s">
        <v>90</v>
      </c>
      <c r="G649" t="s">
        <v>91</v>
      </c>
      <c r="H649">
        <v>10785</v>
      </c>
      <c r="I649" t="s">
        <v>71</v>
      </c>
      <c r="J649" s="3">
        <v>44467</v>
      </c>
      <c r="M649" t="str">
        <f t="shared" si="10"/>
        <v xml:space="preserve"> </v>
      </c>
    </row>
    <row r="650" spans="1:13" x14ac:dyDescent="0.35">
      <c r="A650" t="s">
        <v>2867</v>
      </c>
      <c r="B650" t="s">
        <v>4889</v>
      </c>
      <c r="C650" t="s">
        <v>4194</v>
      </c>
      <c r="D650" t="s">
        <v>2195</v>
      </c>
      <c r="E650" t="s">
        <v>2196</v>
      </c>
      <c r="F650" t="s">
        <v>1404</v>
      </c>
      <c r="G650" t="s">
        <v>70</v>
      </c>
      <c r="H650">
        <v>33139</v>
      </c>
      <c r="I650" t="s">
        <v>74</v>
      </c>
      <c r="J650" s="3">
        <v>44890</v>
      </c>
      <c r="M650" t="str">
        <f t="shared" si="10"/>
        <v xml:space="preserve"> </v>
      </c>
    </row>
    <row r="651" spans="1:13" x14ac:dyDescent="0.35">
      <c r="A651" t="s">
        <v>2870</v>
      </c>
      <c r="B651" t="s">
        <v>4862</v>
      </c>
      <c r="C651" t="s">
        <v>4195</v>
      </c>
      <c r="D651" t="s">
        <v>2192</v>
      </c>
      <c r="E651" t="s">
        <v>2193</v>
      </c>
      <c r="F651" t="s">
        <v>78</v>
      </c>
      <c r="G651" t="s">
        <v>79</v>
      </c>
      <c r="H651">
        <v>123456</v>
      </c>
      <c r="I651" t="s">
        <v>80</v>
      </c>
      <c r="J651" s="3">
        <v>45146</v>
      </c>
      <c r="M651" t="str">
        <f t="shared" si="10"/>
        <v xml:space="preserve"> </v>
      </c>
    </row>
    <row r="652" spans="1:13" x14ac:dyDescent="0.35">
      <c r="A652" t="s">
        <v>2872</v>
      </c>
      <c r="B652" t="s">
        <v>4796</v>
      </c>
      <c r="C652" t="s">
        <v>4196</v>
      </c>
      <c r="D652" t="s">
        <v>1914</v>
      </c>
      <c r="E652" t="s">
        <v>2190</v>
      </c>
      <c r="F652" t="s">
        <v>75</v>
      </c>
      <c r="G652" t="s">
        <v>76</v>
      </c>
      <c r="H652" t="s">
        <v>1767</v>
      </c>
      <c r="I652" t="s">
        <v>71</v>
      </c>
      <c r="J652" s="3">
        <v>44477</v>
      </c>
      <c r="M652" t="str">
        <f t="shared" si="10"/>
        <v xml:space="preserve"> </v>
      </c>
    </row>
    <row r="653" spans="1:13" x14ac:dyDescent="0.35">
      <c r="A653" t="s">
        <v>2874</v>
      </c>
      <c r="B653" t="s">
        <v>5009</v>
      </c>
      <c r="C653" t="s">
        <v>4197</v>
      </c>
      <c r="D653" t="s">
        <v>2187</v>
      </c>
      <c r="E653" t="s">
        <v>2188</v>
      </c>
      <c r="F653" t="s">
        <v>1198</v>
      </c>
      <c r="G653" t="s">
        <v>1070</v>
      </c>
      <c r="H653" t="s">
        <v>1199</v>
      </c>
      <c r="I653" t="s">
        <v>74</v>
      </c>
      <c r="J653" s="3">
        <v>44900</v>
      </c>
      <c r="M653" t="str">
        <f t="shared" si="10"/>
        <v xml:space="preserve"> </v>
      </c>
    </row>
    <row r="654" spans="1:13" x14ac:dyDescent="0.35">
      <c r="A654" t="s">
        <v>2876</v>
      </c>
      <c r="B654" t="s">
        <v>5010</v>
      </c>
      <c r="C654" t="s">
        <v>4198</v>
      </c>
      <c r="D654" t="s">
        <v>1819</v>
      </c>
      <c r="E654" t="s">
        <v>2185</v>
      </c>
      <c r="F654" t="s">
        <v>1075</v>
      </c>
      <c r="G654" t="s">
        <v>1076</v>
      </c>
      <c r="H654">
        <v>11341</v>
      </c>
      <c r="I654" t="s">
        <v>80</v>
      </c>
      <c r="J654" s="3">
        <v>45129</v>
      </c>
      <c r="M654" t="str">
        <f t="shared" si="10"/>
        <v xml:space="preserve"> </v>
      </c>
    </row>
    <row r="655" spans="1:13" x14ac:dyDescent="0.35">
      <c r="A655" t="s">
        <v>2878</v>
      </c>
      <c r="B655" t="s">
        <v>5011</v>
      </c>
      <c r="C655" t="s">
        <v>4199</v>
      </c>
      <c r="D655" t="s">
        <v>1934</v>
      </c>
      <c r="E655" t="s">
        <v>2183</v>
      </c>
      <c r="F655" t="s">
        <v>1159</v>
      </c>
      <c r="G655" t="s">
        <v>73</v>
      </c>
      <c r="H655">
        <v>8008</v>
      </c>
      <c r="I655" t="s">
        <v>71</v>
      </c>
      <c r="J655" s="3">
        <v>44518</v>
      </c>
      <c r="M655" t="str">
        <f t="shared" si="10"/>
        <v xml:space="preserve"> </v>
      </c>
    </row>
    <row r="656" spans="1:13" x14ac:dyDescent="0.35">
      <c r="A656" t="s">
        <v>2880</v>
      </c>
      <c r="B656" t="s">
        <v>5012</v>
      </c>
      <c r="C656" t="s">
        <v>4200</v>
      </c>
      <c r="D656" t="s">
        <v>1930</v>
      </c>
      <c r="E656" t="s">
        <v>2181</v>
      </c>
      <c r="F656" t="s">
        <v>1170</v>
      </c>
      <c r="G656" t="s">
        <v>76</v>
      </c>
      <c r="H656" t="s">
        <v>1873</v>
      </c>
      <c r="I656" t="s">
        <v>74</v>
      </c>
      <c r="J656" s="3">
        <v>44822</v>
      </c>
      <c r="M656" t="str">
        <f t="shared" si="10"/>
        <v xml:space="preserve"> </v>
      </c>
    </row>
    <row r="657" spans="1:13" x14ac:dyDescent="0.35">
      <c r="A657" t="s">
        <v>2882</v>
      </c>
      <c r="B657" t="s">
        <v>4988</v>
      </c>
      <c r="C657" t="s">
        <v>4201</v>
      </c>
      <c r="D657" t="s">
        <v>1927</v>
      </c>
      <c r="E657" t="s">
        <v>2179</v>
      </c>
      <c r="F657" t="s">
        <v>72</v>
      </c>
      <c r="G657" t="s">
        <v>73</v>
      </c>
      <c r="H657">
        <v>28006</v>
      </c>
      <c r="I657" t="s">
        <v>80</v>
      </c>
      <c r="J657" s="3">
        <v>45085</v>
      </c>
      <c r="M657" t="str">
        <f t="shared" si="10"/>
        <v xml:space="preserve"> </v>
      </c>
    </row>
    <row r="658" spans="1:13" x14ac:dyDescent="0.35">
      <c r="A658" t="s">
        <v>2884</v>
      </c>
      <c r="B658" t="s">
        <v>4720</v>
      </c>
      <c r="C658" t="s">
        <v>4202</v>
      </c>
      <c r="D658" t="s">
        <v>1924</v>
      </c>
      <c r="E658" t="s">
        <v>2177</v>
      </c>
      <c r="F658" t="s">
        <v>90</v>
      </c>
      <c r="G658" t="s">
        <v>91</v>
      </c>
      <c r="H658">
        <v>10178</v>
      </c>
      <c r="I658" t="s">
        <v>71</v>
      </c>
      <c r="J658" s="3">
        <v>44552</v>
      </c>
      <c r="M658" t="str">
        <f t="shared" si="10"/>
        <v xml:space="preserve"> </v>
      </c>
    </row>
    <row r="659" spans="1:13" x14ac:dyDescent="0.35">
      <c r="A659" t="s">
        <v>2886</v>
      </c>
      <c r="B659" t="s">
        <v>4835</v>
      </c>
      <c r="C659" t="s">
        <v>4203</v>
      </c>
      <c r="D659" t="s">
        <v>2174</v>
      </c>
      <c r="E659" t="s">
        <v>2175</v>
      </c>
      <c r="F659" t="s">
        <v>1512</v>
      </c>
      <c r="G659" t="s">
        <v>70</v>
      </c>
      <c r="H659">
        <v>77002</v>
      </c>
      <c r="I659" t="s">
        <v>74</v>
      </c>
      <c r="J659" s="3">
        <v>44849</v>
      </c>
      <c r="M659" t="str">
        <f t="shared" si="10"/>
        <v xml:space="preserve"> </v>
      </c>
    </row>
    <row r="660" spans="1:13" x14ac:dyDescent="0.35">
      <c r="A660" t="s">
        <v>2888</v>
      </c>
      <c r="B660" t="s">
        <v>4924</v>
      </c>
      <c r="C660" t="s">
        <v>4204</v>
      </c>
      <c r="D660" t="s">
        <v>2171</v>
      </c>
      <c r="E660" t="s">
        <v>2172</v>
      </c>
      <c r="F660" t="s">
        <v>1089</v>
      </c>
      <c r="G660" t="s">
        <v>1090</v>
      </c>
      <c r="H660">
        <v>75600</v>
      </c>
      <c r="I660" t="s">
        <v>80</v>
      </c>
      <c r="J660" s="3">
        <v>45064</v>
      </c>
      <c r="M660" t="str">
        <f t="shared" si="10"/>
        <v xml:space="preserve"> </v>
      </c>
    </row>
    <row r="661" spans="1:13" x14ac:dyDescent="0.35">
      <c r="A661" t="s">
        <v>2890</v>
      </c>
      <c r="B661" t="s">
        <v>5013</v>
      </c>
      <c r="C661" t="s">
        <v>4205</v>
      </c>
      <c r="D661" t="s">
        <v>1885</v>
      </c>
      <c r="E661" t="s">
        <v>2169</v>
      </c>
      <c r="F661" t="s">
        <v>75</v>
      </c>
      <c r="G661" t="s">
        <v>76</v>
      </c>
      <c r="H661" t="s">
        <v>1385</v>
      </c>
      <c r="I661" t="s">
        <v>71</v>
      </c>
      <c r="J661" s="3">
        <v>44451</v>
      </c>
      <c r="M661" t="str">
        <f t="shared" si="10"/>
        <v xml:space="preserve"> </v>
      </c>
    </row>
    <row r="662" spans="1:13" x14ac:dyDescent="0.35">
      <c r="A662" t="s">
        <v>2892</v>
      </c>
      <c r="B662" t="s">
        <v>5014</v>
      </c>
      <c r="C662" t="s">
        <v>4206</v>
      </c>
      <c r="D662" t="s">
        <v>2166</v>
      </c>
      <c r="E662" t="s">
        <v>2167</v>
      </c>
      <c r="F662" t="s">
        <v>1129</v>
      </c>
      <c r="G662" t="s">
        <v>1070</v>
      </c>
      <c r="H662" t="s">
        <v>1130</v>
      </c>
      <c r="I662" t="s">
        <v>74</v>
      </c>
      <c r="J662" s="3">
        <v>44867</v>
      </c>
      <c r="M662" t="str">
        <f t="shared" si="10"/>
        <v xml:space="preserve"> </v>
      </c>
    </row>
    <row r="663" spans="1:13" x14ac:dyDescent="0.35">
      <c r="A663" t="s">
        <v>2894</v>
      </c>
      <c r="B663" t="s">
        <v>5015</v>
      </c>
      <c r="C663" t="s">
        <v>4207</v>
      </c>
      <c r="D663" t="s">
        <v>1758</v>
      </c>
      <c r="E663" t="s">
        <v>2164</v>
      </c>
      <c r="F663" t="s">
        <v>1166</v>
      </c>
      <c r="G663" t="s">
        <v>1076</v>
      </c>
      <c r="H663">
        <v>21599</v>
      </c>
      <c r="I663" t="s">
        <v>80</v>
      </c>
      <c r="J663" s="3">
        <v>45024</v>
      </c>
      <c r="M663" t="str">
        <f t="shared" si="10"/>
        <v xml:space="preserve"> </v>
      </c>
    </row>
    <row r="664" spans="1:13" x14ac:dyDescent="0.35">
      <c r="A664" t="s">
        <v>2896</v>
      </c>
      <c r="B664" t="s">
        <v>5016</v>
      </c>
      <c r="C664" t="s">
        <v>4208</v>
      </c>
      <c r="D664" t="s">
        <v>1898</v>
      </c>
      <c r="E664" t="s">
        <v>2162</v>
      </c>
      <c r="F664" t="s">
        <v>1159</v>
      </c>
      <c r="G664" t="s">
        <v>73</v>
      </c>
      <c r="H664">
        <v>8018</v>
      </c>
      <c r="I664" t="s">
        <v>71</v>
      </c>
      <c r="J664" s="3">
        <v>44487</v>
      </c>
      <c r="M664" t="str">
        <f t="shared" si="10"/>
        <v xml:space="preserve"> </v>
      </c>
    </row>
    <row r="665" spans="1:13" x14ac:dyDescent="0.35">
      <c r="A665" t="s">
        <v>2898</v>
      </c>
      <c r="B665" t="s">
        <v>4913</v>
      </c>
      <c r="C665" t="s">
        <v>4209</v>
      </c>
      <c r="D665" t="s">
        <v>1871</v>
      </c>
      <c r="E665" t="s">
        <v>2160</v>
      </c>
      <c r="F665" t="s">
        <v>1170</v>
      </c>
      <c r="G665" t="s">
        <v>76</v>
      </c>
      <c r="H665" t="s">
        <v>1171</v>
      </c>
      <c r="I665" t="s">
        <v>74</v>
      </c>
      <c r="J665" s="3">
        <v>44907</v>
      </c>
      <c r="M665" t="str">
        <f t="shared" si="10"/>
        <v xml:space="preserve"> </v>
      </c>
    </row>
    <row r="666" spans="1:13" x14ac:dyDescent="0.35">
      <c r="A666" t="s">
        <v>2900</v>
      </c>
      <c r="B666" t="s">
        <v>4728</v>
      </c>
      <c r="C666" t="s">
        <v>4210</v>
      </c>
      <c r="D666" t="s">
        <v>1905</v>
      </c>
      <c r="E666" t="s">
        <v>2158</v>
      </c>
      <c r="F666" t="s">
        <v>72</v>
      </c>
      <c r="G666" t="s">
        <v>73</v>
      </c>
      <c r="H666">
        <v>28001</v>
      </c>
      <c r="I666" t="s">
        <v>80</v>
      </c>
      <c r="J666" s="3">
        <v>45013</v>
      </c>
      <c r="M666" t="str">
        <f t="shared" si="10"/>
        <v xml:space="preserve"> </v>
      </c>
    </row>
    <row r="667" spans="1:13" x14ac:dyDescent="0.35">
      <c r="A667" t="s">
        <v>2902</v>
      </c>
      <c r="B667" t="s">
        <v>5017</v>
      </c>
      <c r="C667" t="s">
        <v>4211</v>
      </c>
      <c r="D667" t="s">
        <v>1895</v>
      </c>
      <c r="E667" t="s">
        <v>2156</v>
      </c>
      <c r="F667" t="s">
        <v>90</v>
      </c>
      <c r="G667" t="s">
        <v>91</v>
      </c>
      <c r="H667">
        <v>10117</v>
      </c>
      <c r="I667" t="s">
        <v>71</v>
      </c>
      <c r="J667" s="3">
        <v>44522</v>
      </c>
      <c r="M667" t="str">
        <f t="shared" si="10"/>
        <v xml:space="preserve"> </v>
      </c>
    </row>
    <row r="668" spans="1:13" x14ac:dyDescent="0.35">
      <c r="A668" t="s">
        <v>2904</v>
      </c>
      <c r="B668" t="s">
        <v>5018</v>
      </c>
      <c r="C668" t="s">
        <v>4212</v>
      </c>
      <c r="D668" t="s">
        <v>2153</v>
      </c>
      <c r="E668" t="s">
        <v>2154</v>
      </c>
      <c r="F668" t="s">
        <v>1745</v>
      </c>
      <c r="G668" t="s">
        <v>70</v>
      </c>
      <c r="H668">
        <v>85016</v>
      </c>
      <c r="I668" t="s">
        <v>74</v>
      </c>
      <c r="J668" s="3">
        <v>44834</v>
      </c>
      <c r="M668" t="str">
        <f t="shared" si="10"/>
        <v xml:space="preserve"> </v>
      </c>
    </row>
    <row r="669" spans="1:13" x14ac:dyDescent="0.35">
      <c r="A669" t="s">
        <v>2906</v>
      </c>
      <c r="B669" t="s">
        <v>5019</v>
      </c>
      <c r="C669" t="s">
        <v>4213</v>
      </c>
      <c r="D669" t="s">
        <v>2150</v>
      </c>
      <c r="E669" t="s">
        <v>2151</v>
      </c>
      <c r="F669" t="s">
        <v>1299</v>
      </c>
      <c r="G669" t="s">
        <v>1090</v>
      </c>
      <c r="H669">
        <v>54810</v>
      </c>
      <c r="I669" t="s">
        <v>80</v>
      </c>
      <c r="J669" s="3">
        <v>44982</v>
      </c>
      <c r="M669" t="str">
        <f t="shared" si="10"/>
        <v xml:space="preserve"> </v>
      </c>
    </row>
    <row r="670" spans="1:13" x14ac:dyDescent="0.35">
      <c r="A670" t="s">
        <v>2908</v>
      </c>
      <c r="B670" t="s">
        <v>4537</v>
      </c>
      <c r="C670" t="s">
        <v>4214</v>
      </c>
      <c r="D670" t="s">
        <v>1383</v>
      </c>
      <c r="E670" t="s">
        <v>2148</v>
      </c>
      <c r="F670" t="s">
        <v>75</v>
      </c>
      <c r="G670" t="s">
        <v>76</v>
      </c>
      <c r="H670" t="s">
        <v>1815</v>
      </c>
      <c r="I670" t="s">
        <v>71</v>
      </c>
      <c r="J670" s="3">
        <v>44538</v>
      </c>
      <c r="M670" t="str">
        <f t="shared" si="10"/>
        <v xml:space="preserve"> </v>
      </c>
    </row>
    <row r="671" spans="1:13" x14ac:dyDescent="0.35">
      <c r="A671" t="s">
        <v>2910</v>
      </c>
      <c r="B671" t="s">
        <v>5020</v>
      </c>
      <c r="C671" t="s">
        <v>4215</v>
      </c>
      <c r="D671" t="s">
        <v>2145</v>
      </c>
      <c r="E671" t="s">
        <v>2146</v>
      </c>
      <c r="F671" t="s">
        <v>1198</v>
      </c>
      <c r="G671" t="s">
        <v>1070</v>
      </c>
      <c r="H671" t="s">
        <v>1199</v>
      </c>
      <c r="I671" t="s">
        <v>74</v>
      </c>
      <c r="J671" s="3">
        <v>44856</v>
      </c>
      <c r="M671" t="str">
        <f t="shared" si="10"/>
        <v xml:space="preserve"> </v>
      </c>
    </row>
    <row r="672" spans="1:13" x14ac:dyDescent="0.35">
      <c r="A672" t="s">
        <v>2912</v>
      </c>
      <c r="B672" t="s">
        <v>5021</v>
      </c>
      <c r="C672" t="s">
        <v>4216</v>
      </c>
      <c r="D672" t="s">
        <v>2142</v>
      </c>
      <c r="E672" t="s">
        <v>2143</v>
      </c>
      <c r="F672" t="s">
        <v>1075</v>
      </c>
      <c r="G672" t="s">
        <v>1076</v>
      </c>
      <c r="H672">
        <v>12311</v>
      </c>
      <c r="I672" t="s">
        <v>80</v>
      </c>
      <c r="J672" s="3">
        <v>44944</v>
      </c>
      <c r="M672" t="str">
        <f t="shared" si="10"/>
        <v xml:space="preserve"> </v>
      </c>
    </row>
    <row r="673" spans="1:13" x14ac:dyDescent="0.35">
      <c r="A673" t="s">
        <v>2914</v>
      </c>
      <c r="B673" t="s">
        <v>5022</v>
      </c>
      <c r="C673" t="s">
        <v>4217</v>
      </c>
      <c r="D673" t="s">
        <v>1786</v>
      </c>
      <c r="E673" t="s">
        <v>2140</v>
      </c>
      <c r="F673" t="s">
        <v>1159</v>
      </c>
      <c r="G673" t="s">
        <v>73</v>
      </c>
      <c r="H673">
        <v>8008</v>
      </c>
      <c r="I673" t="s">
        <v>71</v>
      </c>
      <c r="J673" s="3">
        <v>44469</v>
      </c>
      <c r="M673" t="str">
        <f t="shared" si="10"/>
        <v xml:space="preserve"> </v>
      </c>
    </row>
    <row r="674" spans="1:13" x14ac:dyDescent="0.35">
      <c r="A674" t="s">
        <v>2916</v>
      </c>
      <c r="B674" t="s">
        <v>5023</v>
      </c>
      <c r="C674" t="s">
        <v>4218</v>
      </c>
      <c r="D674" t="s">
        <v>1396</v>
      </c>
      <c r="E674" t="s">
        <v>2138</v>
      </c>
      <c r="F674" t="s">
        <v>1170</v>
      </c>
      <c r="G674" t="s">
        <v>76</v>
      </c>
      <c r="H674" t="s">
        <v>1989</v>
      </c>
      <c r="I674" t="s">
        <v>74</v>
      </c>
      <c r="J674" s="3">
        <v>44893</v>
      </c>
      <c r="M674" t="str">
        <f t="shared" si="10"/>
        <v xml:space="preserve"> </v>
      </c>
    </row>
    <row r="675" spans="1:13" x14ac:dyDescent="0.35">
      <c r="A675" t="s">
        <v>2918</v>
      </c>
      <c r="B675" t="s">
        <v>4581</v>
      </c>
      <c r="C675" t="s">
        <v>4219</v>
      </c>
      <c r="D675" t="s">
        <v>1875</v>
      </c>
      <c r="E675" t="s">
        <v>2136</v>
      </c>
      <c r="F675" t="s">
        <v>72</v>
      </c>
      <c r="G675" t="s">
        <v>73</v>
      </c>
      <c r="H675">
        <v>28006</v>
      </c>
      <c r="I675" t="s">
        <v>80</v>
      </c>
      <c r="J675" s="3">
        <v>45275</v>
      </c>
      <c r="M675" t="str">
        <f t="shared" si="10"/>
        <v xml:space="preserve"> </v>
      </c>
    </row>
    <row r="676" spans="1:13" x14ac:dyDescent="0.35">
      <c r="A676" t="s">
        <v>2920</v>
      </c>
      <c r="B676" t="s">
        <v>4821</v>
      </c>
      <c r="C676" t="s">
        <v>4220</v>
      </c>
      <c r="D676" t="s">
        <v>1430</v>
      </c>
      <c r="E676" t="s">
        <v>2134</v>
      </c>
      <c r="F676" t="s">
        <v>90</v>
      </c>
      <c r="G676" t="s">
        <v>91</v>
      </c>
      <c r="H676">
        <v>10117</v>
      </c>
      <c r="I676" t="s">
        <v>71</v>
      </c>
      <c r="J676" s="3">
        <v>44497</v>
      </c>
      <c r="M676" t="str">
        <f t="shared" si="10"/>
        <v xml:space="preserve"> </v>
      </c>
    </row>
    <row r="677" spans="1:13" x14ac:dyDescent="0.35">
      <c r="A677" t="s">
        <v>2922</v>
      </c>
      <c r="B677" t="s">
        <v>5024</v>
      </c>
      <c r="C677" t="s">
        <v>4221</v>
      </c>
      <c r="D677" t="s">
        <v>2131</v>
      </c>
      <c r="E677" t="s">
        <v>2132</v>
      </c>
      <c r="F677" t="s">
        <v>1922</v>
      </c>
      <c r="G677" t="s">
        <v>70</v>
      </c>
      <c r="H677">
        <v>19106</v>
      </c>
      <c r="I677" t="s">
        <v>74</v>
      </c>
      <c r="J677" s="3">
        <v>44917</v>
      </c>
      <c r="M677" t="str">
        <f t="shared" si="10"/>
        <v xml:space="preserve"> </v>
      </c>
    </row>
    <row r="678" spans="1:13" x14ac:dyDescent="0.35">
      <c r="A678" t="s">
        <v>2924</v>
      </c>
      <c r="B678" t="s">
        <v>5005</v>
      </c>
      <c r="C678" t="s">
        <v>4222</v>
      </c>
      <c r="D678" t="s">
        <v>2128</v>
      </c>
      <c r="E678" t="s">
        <v>2129</v>
      </c>
      <c r="F678" t="s">
        <v>78</v>
      </c>
      <c r="G678" t="s">
        <v>79</v>
      </c>
      <c r="H678">
        <v>123456</v>
      </c>
      <c r="I678" t="s">
        <v>80</v>
      </c>
      <c r="J678" s="3">
        <v>45238</v>
      </c>
      <c r="M678" t="str">
        <f t="shared" si="10"/>
        <v xml:space="preserve"> </v>
      </c>
    </row>
    <row r="679" spans="1:13" x14ac:dyDescent="0.35">
      <c r="A679" t="s">
        <v>2926</v>
      </c>
      <c r="B679" t="s">
        <v>4767</v>
      </c>
      <c r="C679" t="s">
        <v>4223</v>
      </c>
      <c r="D679" t="s">
        <v>2125</v>
      </c>
      <c r="E679" t="s">
        <v>2126</v>
      </c>
      <c r="F679" t="s">
        <v>75</v>
      </c>
      <c r="G679" t="s">
        <v>76</v>
      </c>
      <c r="H679" t="s">
        <v>1767</v>
      </c>
      <c r="I679" t="s">
        <v>71</v>
      </c>
      <c r="J679" s="3">
        <v>44515</v>
      </c>
      <c r="M679" t="str">
        <f t="shared" si="10"/>
        <v xml:space="preserve"> </v>
      </c>
    </row>
    <row r="680" spans="1:13" x14ac:dyDescent="0.35">
      <c r="A680" t="s">
        <v>2928</v>
      </c>
      <c r="B680" t="s">
        <v>5025</v>
      </c>
      <c r="C680" t="s">
        <v>4224</v>
      </c>
      <c r="D680" t="s">
        <v>2122</v>
      </c>
      <c r="E680" t="s">
        <v>2123</v>
      </c>
      <c r="F680" t="s">
        <v>1129</v>
      </c>
      <c r="G680" t="s">
        <v>1070</v>
      </c>
      <c r="H680" t="s">
        <v>1883</v>
      </c>
      <c r="I680" t="s">
        <v>74</v>
      </c>
      <c r="J680" s="3">
        <v>44816</v>
      </c>
      <c r="M680" t="str">
        <f t="shared" si="10"/>
        <v xml:space="preserve"> </v>
      </c>
    </row>
    <row r="681" spans="1:13" x14ac:dyDescent="0.35">
      <c r="A681" t="s">
        <v>2930</v>
      </c>
      <c r="B681" t="s">
        <v>5026</v>
      </c>
      <c r="C681" t="s">
        <v>4225</v>
      </c>
      <c r="D681" t="s">
        <v>2119</v>
      </c>
      <c r="E681" t="s">
        <v>2120</v>
      </c>
      <c r="F681" t="s">
        <v>1075</v>
      </c>
      <c r="G681" t="s">
        <v>1076</v>
      </c>
      <c r="H681">
        <v>12311</v>
      </c>
      <c r="I681" t="s">
        <v>80</v>
      </c>
      <c r="J681" s="3">
        <v>45211</v>
      </c>
      <c r="M681" t="str">
        <f t="shared" si="10"/>
        <v xml:space="preserve"> </v>
      </c>
    </row>
    <row r="682" spans="1:13" x14ac:dyDescent="0.35">
      <c r="A682" t="s">
        <v>2932</v>
      </c>
      <c r="B682" t="s">
        <v>4568</v>
      </c>
      <c r="C682" t="s">
        <v>4226</v>
      </c>
      <c r="D682" t="s">
        <v>1433</v>
      </c>
      <c r="E682" t="s">
        <v>2117</v>
      </c>
      <c r="F682" t="s">
        <v>1159</v>
      </c>
      <c r="G682" t="s">
        <v>73</v>
      </c>
      <c r="H682">
        <v>8018</v>
      </c>
      <c r="I682" t="s">
        <v>71</v>
      </c>
      <c r="J682" s="3">
        <v>44555</v>
      </c>
      <c r="M682" t="str">
        <f t="shared" si="10"/>
        <v xml:space="preserve"> </v>
      </c>
    </row>
    <row r="683" spans="1:13" x14ac:dyDescent="0.35">
      <c r="A683" t="s">
        <v>2934</v>
      </c>
      <c r="B683" t="s">
        <v>5027</v>
      </c>
      <c r="C683" t="s">
        <v>4227</v>
      </c>
      <c r="D683" t="s">
        <v>1168</v>
      </c>
      <c r="E683" t="s">
        <v>2115</v>
      </c>
      <c r="F683" t="s">
        <v>1170</v>
      </c>
      <c r="G683" t="s">
        <v>76</v>
      </c>
      <c r="H683" t="s">
        <v>1873</v>
      </c>
      <c r="I683" t="s">
        <v>74</v>
      </c>
      <c r="J683" s="3">
        <v>44842</v>
      </c>
      <c r="M683" t="str">
        <f t="shared" si="10"/>
        <v xml:space="preserve"> </v>
      </c>
    </row>
    <row r="684" spans="1:13" x14ac:dyDescent="0.35">
      <c r="A684" t="s">
        <v>2936</v>
      </c>
      <c r="B684" t="s">
        <v>4787</v>
      </c>
      <c r="C684" t="s">
        <v>4228</v>
      </c>
      <c r="D684" t="s">
        <v>1540</v>
      </c>
      <c r="E684" t="s">
        <v>2113</v>
      </c>
      <c r="F684" t="s">
        <v>72</v>
      </c>
      <c r="G684" t="s">
        <v>73</v>
      </c>
      <c r="H684">
        <v>28001</v>
      </c>
      <c r="I684" t="s">
        <v>80</v>
      </c>
      <c r="J684" s="3">
        <v>45177</v>
      </c>
      <c r="M684" t="str">
        <f t="shared" si="10"/>
        <v xml:space="preserve"> </v>
      </c>
    </row>
    <row r="685" spans="1:13" x14ac:dyDescent="0.35">
      <c r="A685" t="s">
        <v>2938</v>
      </c>
      <c r="B685" t="s">
        <v>4607</v>
      </c>
      <c r="C685" t="s">
        <v>4229</v>
      </c>
      <c r="D685" t="s">
        <v>2110</v>
      </c>
      <c r="E685" t="s">
        <v>2111</v>
      </c>
      <c r="F685" t="s">
        <v>90</v>
      </c>
      <c r="G685" t="s">
        <v>91</v>
      </c>
      <c r="H685">
        <v>10719</v>
      </c>
      <c r="I685" t="s">
        <v>71</v>
      </c>
      <c r="J685" s="3">
        <v>44461</v>
      </c>
      <c r="M685" t="str">
        <f t="shared" si="10"/>
        <v xml:space="preserve"> </v>
      </c>
    </row>
    <row r="686" spans="1:13" x14ac:dyDescent="0.35">
      <c r="A686" t="s">
        <v>2940</v>
      </c>
      <c r="B686" t="s">
        <v>4952</v>
      </c>
      <c r="C686" t="s">
        <v>4230</v>
      </c>
      <c r="D686" t="s">
        <v>2107</v>
      </c>
      <c r="E686" t="s">
        <v>2108</v>
      </c>
      <c r="F686" t="s">
        <v>1864</v>
      </c>
      <c r="G686" t="s">
        <v>70</v>
      </c>
      <c r="H686">
        <v>30303</v>
      </c>
      <c r="I686" t="s">
        <v>74</v>
      </c>
      <c r="J686" s="3">
        <v>44883</v>
      </c>
      <c r="M686" t="str">
        <f t="shared" si="10"/>
        <v xml:space="preserve"> </v>
      </c>
    </row>
    <row r="687" spans="1:13" x14ac:dyDescent="0.35">
      <c r="A687" t="s">
        <v>2943</v>
      </c>
      <c r="B687" t="s">
        <v>4844</v>
      </c>
      <c r="C687" t="s">
        <v>4231</v>
      </c>
      <c r="D687" t="s">
        <v>2104</v>
      </c>
      <c r="E687" t="s">
        <v>2105</v>
      </c>
      <c r="F687" t="s">
        <v>1089</v>
      </c>
      <c r="G687" t="s">
        <v>1090</v>
      </c>
      <c r="H687">
        <v>75600</v>
      </c>
      <c r="I687" t="s">
        <v>80</v>
      </c>
      <c r="J687" s="3">
        <v>45166</v>
      </c>
      <c r="M687" t="str">
        <f t="shared" si="10"/>
        <v xml:space="preserve"> </v>
      </c>
    </row>
    <row r="688" spans="1:13" x14ac:dyDescent="0.35">
      <c r="A688" t="s">
        <v>2945</v>
      </c>
      <c r="B688" t="s">
        <v>5028</v>
      </c>
      <c r="C688" t="s">
        <v>4232</v>
      </c>
      <c r="D688" t="s">
        <v>2101</v>
      </c>
      <c r="E688" t="s">
        <v>2102</v>
      </c>
      <c r="F688" t="s">
        <v>75</v>
      </c>
      <c r="G688" t="s">
        <v>76</v>
      </c>
      <c r="H688" t="s">
        <v>1385</v>
      </c>
      <c r="I688" t="s">
        <v>71</v>
      </c>
      <c r="J688" s="3">
        <v>44481</v>
      </c>
      <c r="M688" t="str">
        <f t="shared" si="10"/>
        <v xml:space="preserve"> </v>
      </c>
    </row>
    <row r="689" spans="1:13" x14ac:dyDescent="0.35">
      <c r="A689" t="s">
        <v>2947</v>
      </c>
      <c r="B689" t="s">
        <v>5029</v>
      </c>
      <c r="C689" t="s">
        <v>4233</v>
      </c>
      <c r="D689" t="s">
        <v>2098</v>
      </c>
      <c r="E689" t="s">
        <v>2099</v>
      </c>
      <c r="F689" t="s">
        <v>1198</v>
      </c>
      <c r="G689" t="s">
        <v>1070</v>
      </c>
      <c r="H689" t="s">
        <v>1199</v>
      </c>
      <c r="I689" t="s">
        <v>74</v>
      </c>
      <c r="J689" s="3">
        <v>44903</v>
      </c>
      <c r="M689" t="str">
        <f t="shared" si="10"/>
        <v xml:space="preserve"> </v>
      </c>
    </row>
    <row r="690" spans="1:13" x14ac:dyDescent="0.35">
      <c r="A690" t="s">
        <v>2949</v>
      </c>
      <c r="B690" t="s">
        <v>5030</v>
      </c>
      <c r="C690" t="s">
        <v>4234</v>
      </c>
      <c r="D690" t="s">
        <v>2095</v>
      </c>
      <c r="E690" t="s">
        <v>2096</v>
      </c>
      <c r="F690" t="s">
        <v>1075</v>
      </c>
      <c r="G690" t="s">
        <v>1076</v>
      </c>
      <c r="H690">
        <v>11341</v>
      </c>
      <c r="I690" t="s">
        <v>80</v>
      </c>
      <c r="J690" s="3">
        <v>45122</v>
      </c>
      <c r="M690" t="str">
        <f t="shared" si="10"/>
        <v xml:space="preserve"> </v>
      </c>
    </row>
    <row r="691" spans="1:13" x14ac:dyDescent="0.35">
      <c r="A691" t="s">
        <v>2951</v>
      </c>
      <c r="B691" t="s">
        <v>5031</v>
      </c>
      <c r="C691" t="s">
        <v>4235</v>
      </c>
      <c r="D691" t="s">
        <v>1157</v>
      </c>
      <c r="E691" t="s">
        <v>2093</v>
      </c>
      <c r="F691" t="s">
        <v>1159</v>
      </c>
      <c r="G691" t="s">
        <v>73</v>
      </c>
      <c r="H691">
        <v>8008</v>
      </c>
      <c r="I691" t="s">
        <v>71</v>
      </c>
      <c r="J691" s="3">
        <v>44505</v>
      </c>
      <c r="M691" t="str">
        <f t="shared" si="10"/>
        <v xml:space="preserve"> </v>
      </c>
    </row>
    <row r="692" spans="1:13" x14ac:dyDescent="0.35">
      <c r="A692" t="s">
        <v>2953</v>
      </c>
      <c r="B692" t="s">
        <v>5032</v>
      </c>
      <c r="C692" t="s">
        <v>4236</v>
      </c>
      <c r="D692" t="s">
        <v>2090</v>
      </c>
      <c r="E692" t="s">
        <v>2091</v>
      </c>
      <c r="F692" t="s">
        <v>1170</v>
      </c>
      <c r="G692" t="s">
        <v>76</v>
      </c>
      <c r="H692" t="s">
        <v>1171</v>
      </c>
      <c r="I692" t="s">
        <v>74</v>
      </c>
      <c r="J692" s="3">
        <v>44826</v>
      </c>
      <c r="M692" t="str">
        <f t="shared" si="10"/>
        <v xml:space="preserve"> </v>
      </c>
    </row>
    <row r="693" spans="1:13" x14ac:dyDescent="0.35">
      <c r="A693" t="s">
        <v>2955</v>
      </c>
      <c r="B693" t="s">
        <v>5033</v>
      </c>
      <c r="C693" t="s">
        <v>4237</v>
      </c>
      <c r="D693" t="s">
        <v>1484</v>
      </c>
      <c r="E693" t="s">
        <v>2088</v>
      </c>
      <c r="F693" t="s">
        <v>72</v>
      </c>
      <c r="G693" t="s">
        <v>73</v>
      </c>
      <c r="H693">
        <v>28006</v>
      </c>
      <c r="I693" t="s">
        <v>80</v>
      </c>
      <c r="J693" s="3">
        <v>45105</v>
      </c>
      <c r="M693" t="str">
        <f t="shared" si="10"/>
        <v xml:space="preserve"> </v>
      </c>
    </row>
    <row r="694" spans="1:13" x14ac:dyDescent="0.35">
      <c r="A694" t="s">
        <v>2957</v>
      </c>
      <c r="B694" t="s">
        <v>4619</v>
      </c>
      <c r="C694" t="s">
        <v>4238</v>
      </c>
      <c r="D694" t="s">
        <v>2085</v>
      </c>
      <c r="E694" t="s">
        <v>2086</v>
      </c>
      <c r="F694" t="s">
        <v>90</v>
      </c>
      <c r="G694" t="s">
        <v>91</v>
      </c>
      <c r="H694">
        <v>10178</v>
      </c>
      <c r="I694" t="s">
        <v>71</v>
      </c>
      <c r="J694" s="3">
        <v>44542</v>
      </c>
      <c r="M694" t="str">
        <f t="shared" si="10"/>
        <v xml:space="preserve"> </v>
      </c>
    </row>
    <row r="695" spans="1:13" x14ac:dyDescent="0.35">
      <c r="A695" t="s">
        <v>2959</v>
      </c>
      <c r="B695" t="s">
        <v>5030</v>
      </c>
      <c r="C695" t="s">
        <v>4239</v>
      </c>
      <c r="D695" t="s">
        <v>2082</v>
      </c>
      <c r="E695" t="s">
        <v>2083</v>
      </c>
      <c r="F695" t="s">
        <v>1834</v>
      </c>
      <c r="G695" t="s">
        <v>70</v>
      </c>
      <c r="H695">
        <v>75202</v>
      </c>
      <c r="I695" t="s">
        <v>74</v>
      </c>
      <c r="J695" s="3">
        <v>44859</v>
      </c>
      <c r="M695" t="str">
        <f t="shared" si="10"/>
        <v xml:space="preserve"> </v>
      </c>
    </row>
    <row r="696" spans="1:13" x14ac:dyDescent="0.35">
      <c r="A696" t="s">
        <v>2962</v>
      </c>
      <c r="B696" t="s">
        <v>5034</v>
      </c>
      <c r="C696" t="s">
        <v>4240</v>
      </c>
      <c r="D696" t="s">
        <v>2079</v>
      </c>
      <c r="E696" t="s">
        <v>2080</v>
      </c>
      <c r="F696" t="s">
        <v>1299</v>
      </c>
      <c r="G696" t="s">
        <v>1090</v>
      </c>
      <c r="H696">
        <v>54810</v>
      </c>
      <c r="I696" t="s">
        <v>80</v>
      </c>
      <c r="J696" s="3">
        <v>45068</v>
      </c>
      <c r="M696" t="str">
        <f t="shared" si="10"/>
        <v xml:space="preserve"> </v>
      </c>
    </row>
    <row r="697" spans="1:13" x14ac:dyDescent="0.35">
      <c r="A697" t="s">
        <v>2964</v>
      </c>
      <c r="B697" t="s">
        <v>4873</v>
      </c>
      <c r="C697" t="s">
        <v>4241</v>
      </c>
      <c r="D697" t="s">
        <v>1765</v>
      </c>
      <c r="E697" t="s">
        <v>2077</v>
      </c>
      <c r="F697" t="s">
        <v>75</v>
      </c>
      <c r="G697" t="s">
        <v>76</v>
      </c>
      <c r="H697" t="s">
        <v>1815</v>
      </c>
      <c r="I697" t="s">
        <v>71</v>
      </c>
      <c r="J697" s="3">
        <v>44447</v>
      </c>
      <c r="M697" t="str">
        <f t="shared" si="10"/>
        <v xml:space="preserve"> </v>
      </c>
    </row>
    <row r="698" spans="1:13" x14ac:dyDescent="0.35">
      <c r="A698" t="s">
        <v>2966</v>
      </c>
      <c r="B698" t="s">
        <v>5035</v>
      </c>
      <c r="C698" t="s">
        <v>4242</v>
      </c>
      <c r="D698" t="s">
        <v>2074</v>
      </c>
      <c r="E698" t="s">
        <v>2075</v>
      </c>
      <c r="F698" t="s">
        <v>1129</v>
      </c>
      <c r="G698" t="s">
        <v>1070</v>
      </c>
      <c r="H698" t="s">
        <v>1130</v>
      </c>
      <c r="I698" t="s">
        <v>74</v>
      </c>
      <c r="J698" s="3">
        <v>44877</v>
      </c>
      <c r="M698" t="str">
        <f t="shared" si="10"/>
        <v xml:space="preserve"> </v>
      </c>
    </row>
    <row r="699" spans="1:13" x14ac:dyDescent="0.35">
      <c r="A699" t="s">
        <v>2968</v>
      </c>
      <c r="B699" t="s">
        <v>4750</v>
      </c>
      <c r="C699" t="s">
        <v>4243</v>
      </c>
      <c r="D699" t="s">
        <v>2071</v>
      </c>
      <c r="E699" t="s">
        <v>2072</v>
      </c>
      <c r="F699" t="s">
        <v>1075</v>
      </c>
      <c r="G699" t="s">
        <v>1076</v>
      </c>
      <c r="H699">
        <v>12311</v>
      </c>
      <c r="I699" t="s">
        <v>80</v>
      </c>
      <c r="J699" s="3">
        <v>45034</v>
      </c>
      <c r="M699" t="str">
        <f t="shared" si="10"/>
        <v xml:space="preserve"> </v>
      </c>
    </row>
    <row r="700" spans="1:13" x14ac:dyDescent="0.35">
      <c r="A700" t="s">
        <v>2970</v>
      </c>
      <c r="B700" t="s">
        <v>5036</v>
      </c>
      <c r="C700" t="s">
        <v>4244</v>
      </c>
      <c r="D700" t="s">
        <v>2068</v>
      </c>
      <c r="E700" t="s">
        <v>2069</v>
      </c>
      <c r="F700" t="s">
        <v>1159</v>
      </c>
      <c r="G700" t="s">
        <v>73</v>
      </c>
      <c r="H700">
        <v>8018</v>
      </c>
      <c r="I700" t="s">
        <v>71</v>
      </c>
      <c r="J700" s="3">
        <v>44491</v>
      </c>
      <c r="M700" t="str">
        <f t="shared" si="10"/>
        <v xml:space="preserve"> </v>
      </c>
    </row>
    <row r="701" spans="1:13" x14ac:dyDescent="0.35">
      <c r="A701" t="s">
        <v>2972</v>
      </c>
      <c r="B701" t="s">
        <v>4852</v>
      </c>
      <c r="C701" t="s">
        <v>4245</v>
      </c>
      <c r="D701" t="s">
        <v>2065</v>
      </c>
      <c r="E701" t="s">
        <v>2066</v>
      </c>
      <c r="F701" t="s">
        <v>1170</v>
      </c>
      <c r="G701" t="s">
        <v>76</v>
      </c>
      <c r="H701" t="s">
        <v>1989</v>
      </c>
      <c r="I701" t="s">
        <v>74</v>
      </c>
      <c r="J701" s="3">
        <v>44910</v>
      </c>
      <c r="M701" t="str">
        <f t="shared" si="10"/>
        <v xml:space="preserve"> </v>
      </c>
    </row>
    <row r="702" spans="1:13" x14ac:dyDescent="0.35">
      <c r="A702" t="s">
        <v>2974</v>
      </c>
      <c r="B702" t="s">
        <v>5037</v>
      </c>
      <c r="C702" t="s">
        <v>4246</v>
      </c>
      <c r="D702" t="s">
        <v>1380</v>
      </c>
      <c r="E702" t="s">
        <v>2063</v>
      </c>
      <c r="F702" t="s">
        <v>72</v>
      </c>
      <c r="G702" t="s">
        <v>73</v>
      </c>
      <c r="H702">
        <v>28001</v>
      </c>
      <c r="I702" t="s">
        <v>80</v>
      </c>
      <c r="J702" s="3">
        <v>44997</v>
      </c>
      <c r="M702" t="str">
        <f t="shared" si="10"/>
        <v xml:space="preserve"> </v>
      </c>
    </row>
    <row r="703" spans="1:13" x14ac:dyDescent="0.35">
      <c r="A703" t="s">
        <v>2976</v>
      </c>
      <c r="B703" t="s">
        <v>5038</v>
      </c>
      <c r="C703" t="s">
        <v>4247</v>
      </c>
      <c r="D703" t="s">
        <v>2060</v>
      </c>
      <c r="E703" t="s">
        <v>2061</v>
      </c>
      <c r="F703" t="s">
        <v>90</v>
      </c>
      <c r="G703" t="s">
        <v>91</v>
      </c>
      <c r="H703">
        <v>10785</v>
      </c>
      <c r="I703" t="s">
        <v>71</v>
      </c>
      <c r="J703" s="3">
        <v>44528</v>
      </c>
      <c r="M703" t="str">
        <f t="shared" si="10"/>
        <v xml:space="preserve"> </v>
      </c>
    </row>
    <row r="704" spans="1:13" x14ac:dyDescent="0.35">
      <c r="A704" t="s">
        <v>2978</v>
      </c>
      <c r="B704" t="s">
        <v>5039</v>
      </c>
      <c r="C704" t="s">
        <v>4248</v>
      </c>
      <c r="D704" t="s">
        <v>2057</v>
      </c>
      <c r="E704" t="s">
        <v>2058</v>
      </c>
      <c r="F704" t="s">
        <v>1404</v>
      </c>
      <c r="G704" t="s">
        <v>70</v>
      </c>
      <c r="H704">
        <v>33139</v>
      </c>
      <c r="I704" t="s">
        <v>74</v>
      </c>
      <c r="J704" s="3">
        <v>44832</v>
      </c>
      <c r="M704" t="str">
        <f t="shared" si="10"/>
        <v xml:space="preserve"> </v>
      </c>
    </row>
    <row r="705" spans="1:13" x14ac:dyDescent="0.35">
      <c r="A705" t="s">
        <v>2981</v>
      </c>
      <c r="B705" t="s">
        <v>5040</v>
      </c>
      <c r="C705" t="s">
        <v>4249</v>
      </c>
      <c r="D705" t="s">
        <v>2054</v>
      </c>
      <c r="E705" t="s">
        <v>2055</v>
      </c>
      <c r="F705" t="s">
        <v>78</v>
      </c>
      <c r="G705" t="s">
        <v>79</v>
      </c>
      <c r="H705">
        <v>123456</v>
      </c>
      <c r="I705" t="s">
        <v>80</v>
      </c>
      <c r="J705" s="3">
        <v>44979</v>
      </c>
      <c r="M705" t="str">
        <f t="shared" si="10"/>
        <v xml:space="preserve"> </v>
      </c>
    </row>
    <row r="706" spans="1:13" x14ac:dyDescent="0.35">
      <c r="A706" t="s">
        <v>2983</v>
      </c>
      <c r="B706" t="s">
        <v>5041</v>
      </c>
      <c r="C706" t="s">
        <v>4250</v>
      </c>
      <c r="D706" t="s">
        <v>2051</v>
      </c>
      <c r="E706" t="s">
        <v>2052</v>
      </c>
      <c r="F706" t="s">
        <v>75</v>
      </c>
      <c r="G706" t="s">
        <v>76</v>
      </c>
      <c r="H706" t="s">
        <v>1767</v>
      </c>
      <c r="I706" t="s">
        <v>71</v>
      </c>
      <c r="J706" s="3">
        <v>44548</v>
      </c>
      <c r="M706" t="str">
        <f t="shared" si="10"/>
        <v xml:space="preserve"> </v>
      </c>
    </row>
    <row r="707" spans="1:13" x14ac:dyDescent="0.35">
      <c r="A707" t="s">
        <v>2985</v>
      </c>
      <c r="B707" t="s">
        <v>5042</v>
      </c>
      <c r="C707" t="s">
        <v>4251</v>
      </c>
      <c r="D707" t="s">
        <v>2048</v>
      </c>
      <c r="E707" t="s">
        <v>2049</v>
      </c>
      <c r="F707" t="s">
        <v>1198</v>
      </c>
      <c r="G707" t="s">
        <v>1070</v>
      </c>
      <c r="H707" t="s">
        <v>1199</v>
      </c>
      <c r="I707" t="s">
        <v>74</v>
      </c>
      <c r="J707" s="3">
        <v>44854</v>
      </c>
      <c r="M707" t="str">
        <f t="shared" si="10"/>
        <v xml:space="preserve"> </v>
      </c>
    </row>
    <row r="708" spans="1:13" x14ac:dyDescent="0.35">
      <c r="A708" t="s">
        <v>2987</v>
      </c>
      <c r="B708" t="s">
        <v>5043</v>
      </c>
      <c r="C708" t="s">
        <v>4252</v>
      </c>
      <c r="D708" t="s">
        <v>2045</v>
      </c>
      <c r="E708" t="s">
        <v>2046</v>
      </c>
      <c r="F708" t="s">
        <v>1166</v>
      </c>
      <c r="G708" t="s">
        <v>1076</v>
      </c>
      <c r="H708">
        <v>21599</v>
      </c>
      <c r="I708" t="s">
        <v>80</v>
      </c>
      <c r="J708" s="3">
        <v>44936</v>
      </c>
      <c r="M708" t="str">
        <f t="shared" ref="M708:M771" si="11">V708&amp;" "&amp;W708</f>
        <v xml:space="preserve"> </v>
      </c>
    </row>
    <row r="709" spans="1:13" x14ac:dyDescent="0.35">
      <c r="A709" t="s">
        <v>2989</v>
      </c>
      <c r="B709" t="s">
        <v>5044</v>
      </c>
      <c r="C709" t="s">
        <v>4253</v>
      </c>
      <c r="D709" t="s">
        <v>2042</v>
      </c>
      <c r="E709" t="s">
        <v>2043</v>
      </c>
      <c r="F709" t="s">
        <v>1159</v>
      </c>
      <c r="G709" t="s">
        <v>73</v>
      </c>
      <c r="H709">
        <v>8008</v>
      </c>
      <c r="I709" t="s">
        <v>71</v>
      </c>
      <c r="J709" s="3">
        <v>44464</v>
      </c>
      <c r="M709" t="str">
        <f t="shared" si="11"/>
        <v xml:space="preserve"> </v>
      </c>
    </row>
    <row r="710" spans="1:13" x14ac:dyDescent="0.35">
      <c r="A710" t="s">
        <v>2991</v>
      </c>
      <c r="B710" t="s">
        <v>5045</v>
      </c>
      <c r="C710" t="s">
        <v>4254</v>
      </c>
      <c r="D710" t="s">
        <v>2039</v>
      </c>
      <c r="E710" t="s">
        <v>2040</v>
      </c>
      <c r="F710" t="s">
        <v>1170</v>
      </c>
      <c r="G710" t="s">
        <v>76</v>
      </c>
      <c r="H710" t="s">
        <v>1873</v>
      </c>
      <c r="I710" t="s">
        <v>74</v>
      </c>
      <c r="J710" s="3">
        <v>44880</v>
      </c>
      <c r="M710" t="str">
        <f t="shared" si="11"/>
        <v xml:space="preserve"> </v>
      </c>
    </row>
    <row r="711" spans="1:13" x14ac:dyDescent="0.35">
      <c r="A711" t="s">
        <v>2993</v>
      </c>
      <c r="B711" t="s">
        <v>4803</v>
      </c>
      <c r="C711" t="s">
        <v>4255</v>
      </c>
      <c r="D711" t="s">
        <v>1268</v>
      </c>
      <c r="E711" t="s">
        <v>2037</v>
      </c>
      <c r="F711" t="s">
        <v>72</v>
      </c>
      <c r="G711" t="s">
        <v>73</v>
      </c>
      <c r="H711">
        <v>28009</v>
      </c>
      <c r="I711" t="s">
        <v>80</v>
      </c>
      <c r="J711" s="3">
        <v>45265</v>
      </c>
      <c r="M711" t="str">
        <f t="shared" si="11"/>
        <v xml:space="preserve"> </v>
      </c>
    </row>
    <row r="712" spans="1:13" x14ac:dyDescent="0.35">
      <c r="A712" t="s">
        <v>2995</v>
      </c>
      <c r="B712" t="s">
        <v>5046</v>
      </c>
      <c r="C712" t="s">
        <v>4256</v>
      </c>
      <c r="D712" t="s">
        <v>2034</v>
      </c>
      <c r="E712" t="s">
        <v>2035</v>
      </c>
      <c r="F712" t="s">
        <v>90</v>
      </c>
      <c r="G712" t="s">
        <v>91</v>
      </c>
      <c r="H712">
        <v>10178</v>
      </c>
      <c r="I712" t="s">
        <v>71</v>
      </c>
      <c r="J712" s="3">
        <v>44477</v>
      </c>
      <c r="M712" t="str">
        <f t="shared" si="11"/>
        <v xml:space="preserve"> </v>
      </c>
    </row>
    <row r="713" spans="1:13" x14ac:dyDescent="0.35">
      <c r="A713" t="s">
        <v>2997</v>
      </c>
      <c r="B713" t="s">
        <v>4649</v>
      </c>
      <c r="C713" t="s">
        <v>4257</v>
      </c>
      <c r="D713" t="s">
        <v>2031</v>
      </c>
      <c r="E713" t="s">
        <v>2032</v>
      </c>
      <c r="F713" t="s">
        <v>1512</v>
      </c>
      <c r="G713" t="s">
        <v>70</v>
      </c>
      <c r="H713">
        <v>77002</v>
      </c>
      <c r="I713" t="s">
        <v>74</v>
      </c>
      <c r="J713" s="3">
        <v>44905</v>
      </c>
      <c r="M713" t="str">
        <f t="shared" si="11"/>
        <v xml:space="preserve"> </v>
      </c>
    </row>
    <row r="714" spans="1:13" x14ac:dyDescent="0.35">
      <c r="A714" t="s">
        <v>3000</v>
      </c>
      <c r="B714" t="s">
        <v>4807</v>
      </c>
      <c r="C714" t="s">
        <v>4258</v>
      </c>
      <c r="D714" t="s">
        <v>2028</v>
      </c>
      <c r="E714" t="s">
        <v>2029</v>
      </c>
      <c r="F714" t="s">
        <v>1089</v>
      </c>
      <c r="G714" t="s">
        <v>1090</v>
      </c>
      <c r="H714">
        <v>75600</v>
      </c>
      <c r="I714" t="s">
        <v>80</v>
      </c>
      <c r="J714" s="3">
        <v>45245</v>
      </c>
      <c r="M714" t="str">
        <f t="shared" si="11"/>
        <v xml:space="preserve"> </v>
      </c>
    </row>
    <row r="715" spans="1:13" x14ac:dyDescent="0.35">
      <c r="A715" t="s">
        <v>3002</v>
      </c>
      <c r="B715" t="s">
        <v>5047</v>
      </c>
      <c r="C715" t="s">
        <v>4259</v>
      </c>
      <c r="D715" t="s">
        <v>1514</v>
      </c>
      <c r="E715" t="s">
        <v>2026</v>
      </c>
      <c r="F715" t="s">
        <v>75</v>
      </c>
      <c r="G715" t="s">
        <v>76</v>
      </c>
      <c r="H715" t="s">
        <v>1385</v>
      </c>
      <c r="I715" t="s">
        <v>71</v>
      </c>
      <c r="J715" s="3">
        <v>44512</v>
      </c>
      <c r="M715" t="str">
        <f t="shared" si="11"/>
        <v xml:space="preserve"> </v>
      </c>
    </row>
    <row r="716" spans="1:13" x14ac:dyDescent="0.35">
      <c r="A716" t="s">
        <v>3004</v>
      </c>
      <c r="B716" t="s">
        <v>5048</v>
      </c>
      <c r="C716" t="s">
        <v>4260</v>
      </c>
      <c r="D716" t="s">
        <v>2023</v>
      </c>
      <c r="E716" t="s">
        <v>2024</v>
      </c>
      <c r="F716" t="s">
        <v>1129</v>
      </c>
      <c r="G716" t="s">
        <v>1070</v>
      </c>
      <c r="H716" t="s">
        <v>1883</v>
      </c>
      <c r="I716" t="s">
        <v>74</v>
      </c>
      <c r="J716" s="3">
        <v>44809</v>
      </c>
      <c r="M716" t="str">
        <f t="shared" si="11"/>
        <v xml:space="preserve"> </v>
      </c>
    </row>
    <row r="717" spans="1:13" x14ac:dyDescent="0.35">
      <c r="A717" t="s">
        <v>3006</v>
      </c>
      <c r="B717" t="s">
        <v>5049</v>
      </c>
      <c r="C717" t="s">
        <v>4261</v>
      </c>
      <c r="D717" t="s">
        <v>2020</v>
      </c>
      <c r="E717" t="s">
        <v>2021</v>
      </c>
      <c r="F717" t="s">
        <v>1075</v>
      </c>
      <c r="G717" t="s">
        <v>1076</v>
      </c>
      <c r="H717">
        <v>11341</v>
      </c>
      <c r="I717" t="s">
        <v>80</v>
      </c>
      <c r="J717" s="3">
        <v>45221</v>
      </c>
      <c r="M717" t="str">
        <f t="shared" si="11"/>
        <v xml:space="preserve"> </v>
      </c>
    </row>
    <row r="718" spans="1:13" x14ac:dyDescent="0.35">
      <c r="A718" t="s">
        <v>3008</v>
      </c>
      <c r="B718" t="s">
        <v>5050</v>
      </c>
      <c r="C718" t="s">
        <v>4262</v>
      </c>
      <c r="D718" t="s">
        <v>2017</v>
      </c>
      <c r="E718" t="s">
        <v>2018</v>
      </c>
      <c r="F718" t="s">
        <v>1159</v>
      </c>
      <c r="G718" t="s">
        <v>73</v>
      </c>
      <c r="H718">
        <v>8018</v>
      </c>
      <c r="I718" t="s">
        <v>71</v>
      </c>
      <c r="J718" s="3">
        <v>44558</v>
      </c>
      <c r="M718" t="str">
        <f t="shared" si="11"/>
        <v xml:space="preserve"> </v>
      </c>
    </row>
    <row r="719" spans="1:13" x14ac:dyDescent="0.35">
      <c r="A719" t="s">
        <v>3010</v>
      </c>
      <c r="B719" t="s">
        <v>5051</v>
      </c>
      <c r="C719" t="s">
        <v>4263</v>
      </c>
      <c r="D719" t="s">
        <v>2014</v>
      </c>
      <c r="E719" t="s">
        <v>2015</v>
      </c>
      <c r="F719" t="s">
        <v>1170</v>
      </c>
      <c r="G719" t="s">
        <v>76</v>
      </c>
      <c r="H719" t="s">
        <v>1171</v>
      </c>
      <c r="I719" t="s">
        <v>74</v>
      </c>
      <c r="J719" s="3">
        <v>44852</v>
      </c>
      <c r="M719" t="str">
        <f t="shared" si="11"/>
        <v xml:space="preserve"> </v>
      </c>
    </row>
    <row r="720" spans="1:13" x14ac:dyDescent="0.35">
      <c r="A720" t="s">
        <v>3012</v>
      </c>
      <c r="B720" t="s">
        <v>5052</v>
      </c>
      <c r="C720" t="s">
        <v>4264</v>
      </c>
      <c r="D720" t="s">
        <v>2011</v>
      </c>
      <c r="E720" t="s">
        <v>2012</v>
      </c>
      <c r="F720" t="s">
        <v>72</v>
      </c>
      <c r="G720" t="s">
        <v>73</v>
      </c>
      <c r="H720">
        <v>28006</v>
      </c>
      <c r="I720" t="s">
        <v>80</v>
      </c>
      <c r="J720" s="3">
        <v>45194</v>
      </c>
      <c r="M720" t="str">
        <f t="shared" si="11"/>
        <v xml:space="preserve"> </v>
      </c>
    </row>
    <row r="721" spans="1:13" x14ac:dyDescent="0.35">
      <c r="A721" t="s">
        <v>3014</v>
      </c>
      <c r="B721" t="s">
        <v>5053</v>
      </c>
      <c r="C721" t="s">
        <v>4265</v>
      </c>
      <c r="D721" t="s">
        <v>2008</v>
      </c>
      <c r="E721" t="s">
        <v>2009</v>
      </c>
      <c r="F721" t="s">
        <v>90</v>
      </c>
      <c r="G721" t="s">
        <v>91</v>
      </c>
      <c r="H721">
        <v>10117</v>
      </c>
      <c r="I721" t="s">
        <v>71</v>
      </c>
      <c r="J721" s="3">
        <v>44457</v>
      </c>
      <c r="M721" t="str">
        <f t="shared" si="11"/>
        <v xml:space="preserve"> </v>
      </c>
    </row>
    <row r="722" spans="1:13" x14ac:dyDescent="0.35">
      <c r="A722" t="s">
        <v>3016</v>
      </c>
      <c r="B722" t="s">
        <v>5054</v>
      </c>
      <c r="C722" t="s">
        <v>4266</v>
      </c>
      <c r="D722" t="s">
        <v>2005</v>
      </c>
      <c r="E722" t="s">
        <v>2006</v>
      </c>
      <c r="F722" t="s">
        <v>1745</v>
      </c>
      <c r="G722" t="s">
        <v>70</v>
      </c>
      <c r="H722">
        <v>85016</v>
      </c>
      <c r="I722" t="s">
        <v>74</v>
      </c>
      <c r="J722" s="3">
        <v>44873</v>
      </c>
      <c r="M722" t="str">
        <f t="shared" si="11"/>
        <v xml:space="preserve"> </v>
      </c>
    </row>
    <row r="723" spans="1:13" x14ac:dyDescent="0.35">
      <c r="A723" t="s">
        <v>3018</v>
      </c>
      <c r="B723" t="s">
        <v>5055</v>
      </c>
      <c r="C723" t="s">
        <v>4267</v>
      </c>
      <c r="D723" t="s">
        <v>2002</v>
      </c>
      <c r="E723" t="s">
        <v>2003</v>
      </c>
      <c r="F723" t="s">
        <v>1299</v>
      </c>
      <c r="G723" t="s">
        <v>1090</v>
      </c>
      <c r="H723">
        <v>54660</v>
      </c>
      <c r="I723" t="s">
        <v>80</v>
      </c>
      <c r="J723" s="3">
        <v>45150</v>
      </c>
      <c r="M723" t="str">
        <f t="shared" si="11"/>
        <v xml:space="preserve"> </v>
      </c>
    </row>
    <row r="724" spans="1:13" x14ac:dyDescent="0.35">
      <c r="A724" t="s">
        <v>3020</v>
      </c>
      <c r="B724" t="s">
        <v>5000</v>
      </c>
      <c r="C724" t="s">
        <v>4268</v>
      </c>
      <c r="D724" t="s">
        <v>1487</v>
      </c>
      <c r="E724" t="s">
        <v>2000</v>
      </c>
      <c r="F724" t="s">
        <v>75</v>
      </c>
      <c r="G724" t="s">
        <v>76</v>
      </c>
      <c r="H724" t="s">
        <v>1815</v>
      </c>
      <c r="I724" t="s">
        <v>71</v>
      </c>
      <c r="J724" s="3">
        <v>44484</v>
      </c>
      <c r="M724" t="str">
        <f t="shared" si="11"/>
        <v xml:space="preserve"> </v>
      </c>
    </row>
    <row r="725" spans="1:13" x14ac:dyDescent="0.35">
      <c r="A725" t="s">
        <v>3022</v>
      </c>
      <c r="B725" t="s">
        <v>4848</v>
      </c>
      <c r="C725" t="s">
        <v>4269</v>
      </c>
      <c r="D725" t="s">
        <v>1997</v>
      </c>
      <c r="E725" t="s">
        <v>1998</v>
      </c>
      <c r="F725" t="s">
        <v>1198</v>
      </c>
      <c r="G725" t="s">
        <v>1070</v>
      </c>
      <c r="H725" t="s">
        <v>1199</v>
      </c>
      <c r="I725" t="s">
        <v>74</v>
      </c>
      <c r="J725" s="3">
        <v>44915</v>
      </c>
      <c r="M725" t="str">
        <f t="shared" si="11"/>
        <v xml:space="preserve"> </v>
      </c>
    </row>
    <row r="726" spans="1:13" x14ac:dyDescent="0.35">
      <c r="A726" t="s">
        <v>3024</v>
      </c>
      <c r="B726" t="s">
        <v>5056</v>
      </c>
      <c r="C726" t="s">
        <v>4270</v>
      </c>
      <c r="D726" t="s">
        <v>1994</v>
      </c>
      <c r="E726" t="s">
        <v>1995</v>
      </c>
      <c r="F726" t="s">
        <v>1166</v>
      </c>
      <c r="G726" t="s">
        <v>1076</v>
      </c>
      <c r="H726">
        <v>21599</v>
      </c>
      <c r="I726" t="s">
        <v>80</v>
      </c>
      <c r="J726" s="3">
        <v>45135</v>
      </c>
      <c r="M726" t="str">
        <f t="shared" si="11"/>
        <v xml:space="preserve"> </v>
      </c>
    </row>
    <row r="727" spans="1:13" x14ac:dyDescent="0.35">
      <c r="A727" t="s">
        <v>3026</v>
      </c>
      <c r="B727" t="s">
        <v>5057</v>
      </c>
      <c r="C727" t="s">
        <v>4271</v>
      </c>
      <c r="D727" t="s">
        <v>1991</v>
      </c>
      <c r="E727" t="s">
        <v>1992</v>
      </c>
      <c r="F727" t="s">
        <v>1159</v>
      </c>
      <c r="G727" t="s">
        <v>73</v>
      </c>
      <c r="H727">
        <v>8008</v>
      </c>
      <c r="I727" t="s">
        <v>71</v>
      </c>
      <c r="J727" s="3">
        <v>44522</v>
      </c>
      <c r="M727" t="str">
        <f t="shared" si="11"/>
        <v xml:space="preserve"> </v>
      </c>
    </row>
    <row r="728" spans="1:13" x14ac:dyDescent="0.35">
      <c r="A728" t="s">
        <v>3028</v>
      </c>
      <c r="B728" t="s">
        <v>5036</v>
      </c>
      <c r="C728" t="s">
        <v>4272</v>
      </c>
      <c r="D728" t="s">
        <v>1987</v>
      </c>
      <c r="E728" t="s">
        <v>1988</v>
      </c>
      <c r="F728" t="s">
        <v>1170</v>
      </c>
      <c r="G728" t="s">
        <v>76</v>
      </c>
      <c r="H728" t="s">
        <v>1989</v>
      </c>
      <c r="I728" t="s">
        <v>74</v>
      </c>
      <c r="J728" s="3">
        <v>44819</v>
      </c>
      <c r="M728" t="str">
        <f t="shared" si="11"/>
        <v xml:space="preserve"> </v>
      </c>
    </row>
    <row r="729" spans="1:13" x14ac:dyDescent="0.35">
      <c r="A729" t="s">
        <v>3030</v>
      </c>
      <c r="B729" t="s">
        <v>5058</v>
      </c>
      <c r="C729" t="s">
        <v>4273</v>
      </c>
      <c r="D729" t="s">
        <v>1984</v>
      </c>
      <c r="E729" t="s">
        <v>1985</v>
      </c>
      <c r="F729" t="s">
        <v>72</v>
      </c>
      <c r="G729" t="s">
        <v>73</v>
      </c>
      <c r="H729">
        <v>28001</v>
      </c>
      <c r="I729" t="s">
        <v>80</v>
      </c>
      <c r="J729" s="3">
        <v>45092</v>
      </c>
      <c r="M729" t="str">
        <f t="shared" si="11"/>
        <v xml:space="preserve"> </v>
      </c>
    </row>
    <row r="730" spans="1:13" x14ac:dyDescent="0.35">
      <c r="A730" t="s">
        <v>3032</v>
      </c>
      <c r="B730" t="s">
        <v>5032</v>
      </c>
      <c r="C730" t="s">
        <v>4274</v>
      </c>
      <c r="D730" t="s">
        <v>1981</v>
      </c>
      <c r="E730" t="s">
        <v>1982</v>
      </c>
      <c r="F730" t="s">
        <v>90</v>
      </c>
      <c r="G730" t="s">
        <v>91</v>
      </c>
      <c r="H730">
        <v>10117</v>
      </c>
      <c r="I730" t="s">
        <v>71</v>
      </c>
      <c r="J730" s="3">
        <v>44535</v>
      </c>
      <c r="M730" t="str">
        <f t="shared" si="11"/>
        <v xml:space="preserve"> </v>
      </c>
    </row>
    <row r="731" spans="1:13" x14ac:dyDescent="0.35">
      <c r="A731" t="s">
        <v>3034</v>
      </c>
      <c r="B731" t="s">
        <v>4804</v>
      </c>
      <c r="C731" t="s">
        <v>4275</v>
      </c>
      <c r="D731" t="s">
        <v>1977</v>
      </c>
      <c r="E731" t="s">
        <v>1978</v>
      </c>
      <c r="F731" t="s">
        <v>1979</v>
      </c>
      <c r="G731" t="s">
        <v>70</v>
      </c>
      <c r="H731">
        <v>97204</v>
      </c>
      <c r="I731" t="s">
        <v>74</v>
      </c>
      <c r="J731" s="3">
        <v>44846</v>
      </c>
      <c r="M731" t="str">
        <f t="shared" si="11"/>
        <v xml:space="preserve"> </v>
      </c>
    </row>
    <row r="732" spans="1:13" x14ac:dyDescent="0.35">
      <c r="A732" t="s">
        <v>3037</v>
      </c>
      <c r="B732" t="s">
        <v>4554</v>
      </c>
      <c r="C732" t="s">
        <v>4276</v>
      </c>
      <c r="D732" t="s">
        <v>1974</v>
      </c>
      <c r="E732" t="s">
        <v>1975</v>
      </c>
      <c r="F732" t="s">
        <v>78</v>
      </c>
      <c r="G732" t="s">
        <v>79</v>
      </c>
      <c r="H732">
        <v>123456</v>
      </c>
      <c r="I732" t="s">
        <v>80</v>
      </c>
      <c r="J732" s="3">
        <v>45054</v>
      </c>
      <c r="M732" t="str">
        <f t="shared" si="11"/>
        <v xml:space="preserve"> </v>
      </c>
    </row>
    <row r="733" spans="1:13" x14ac:dyDescent="0.35">
      <c r="A733" t="s">
        <v>3039</v>
      </c>
      <c r="B733" t="s">
        <v>5059</v>
      </c>
      <c r="C733" t="s">
        <v>4277</v>
      </c>
      <c r="D733" t="s">
        <v>1460</v>
      </c>
      <c r="E733" t="s">
        <v>1972</v>
      </c>
      <c r="F733" t="s">
        <v>75</v>
      </c>
      <c r="G733" t="s">
        <v>76</v>
      </c>
      <c r="H733" t="s">
        <v>1767</v>
      </c>
      <c r="I733" t="s">
        <v>71</v>
      </c>
      <c r="J733" s="3">
        <v>44449</v>
      </c>
      <c r="M733" t="str">
        <f t="shared" si="11"/>
        <v xml:space="preserve"> </v>
      </c>
    </row>
    <row r="734" spans="1:13" x14ac:dyDescent="0.35">
      <c r="A734" t="s">
        <v>3041</v>
      </c>
      <c r="B734" t="s">
        <v>4768</v>
      </c>
      <c r="C734" t="s">
        <v>4278</v>
      </c>
      <c r="D734" t="s">
        <v>1969</v>
      </c>
      <c r="E734" t="s">
        <v>1970</v>
      </c>
      <c r="F734" t="s">
        <v>1129</v>
      </c>
      <c r="G734" t="s">
        <v>1070</v>
      </c>
      <c r="H734" t="s">
        <v>1130</v>
      </c>
      <c r="I734" t="s">
        <v>74</v>
      </c>
      <c r="J734" s="3">
        <v>44890</v>
      </c>
      <c r="M734" t="str">
        <f t="shared" si="11"/>
        <v xml:space="preserve"> </v>
      </c>
    </row>
    <row r="735" spans="1:13" x14ac:dyDescent="0.35">
      <c r="A735" t="s">
        <v>3043</v>
      </c>
      <c r="B735" t="s">
        <v>5060</v>
      </c>
      <c r="C735" t="s">
        <v>4279</v>
      </c>
      <c r="D735" t="s">
        <v>1966</v>
      </c>
      <c r="E735" t="s">
        <v>1967</v>
      </c>
      <c r="F735" t="s">
        <v>1075</v>
      </c>
      <c r="G735" t="s">
        <v>1076</v>
      </c>
      <c r="H735">
        <v>12311</v>
      </c>
      <c r="I735" t="s">
        <v>80</v>
      </c>
      <c r="J735" s="3">
        <v>45038</v>
      </c>
      <c r="M735" t="str">
        <f t="shared" si="11"/>
        <v xml:space="preserve"> </v>
      </c>
    </row>
    <row r="736" spans="1:13" x14ac:dyDescent="0.35">
      <c r="A736" t="s">
        <v>3045</v>
      </c>
      <c r="B736" t="s">
        <v>4927</v>
      </c>
      <c r="C736" t="s">
        <v>4280</v>
      </c>
      <c r="D736" t="s">
        <v>1963</v>
      </c>
      <c r="E736" t="s">
        <v>1964</v>
      </c>
      <c r="F736" t="s">
        <v>1159</v>
      </c>
      <c r="G736" t="s">
        <v>73</v>
      </c>
      <c r="H736">
        <v>8008</v>
      </c>
      <c r="I736" t="s">
        <v>71</v>
      </c>
      <c r="J736" s="3">
        <v>44497</v>
      </c>
      <c r="M736" t="str">
        <f t="shared" si="11"/>
        <v xml:space="preserve"> </v>
      </c>
    </row>
    <row r="737" spans="1:13" x14ac:dyDescent="0.35">
      <c r="A737" t="s">
        <v>3047</v>
      </c>
      <c r="B737" t="s">
        <v>4827</v>
      </c>
      <c r="C737" t="s">
        <v>4281</v>
      </c>
      <c r="D737" t="s">
        <v>1960</v>
      </c>
      <c r="E737" t="s">
        <v>1961</v>
      </c>
      <c r="F737" t="s">
        <v>1170</v>
      </c>
      <c r="G737" t="s">
        <v>76</v>
      </c>
      <c r="H737" t="s">
        <v>1680</v>
      </c>
      <c r="I737" t="s">
        <v>74</v>
      </c>
      <c r="J737" s="3">
        <v>44897</v>
      </c>
      <c r="M737" t="str">
        <f t="shared" si="11"/>
        <v xml:space="preserve"> </v>
      </c>
    </row>
    <row r="738" spans="1:13" x14ac:dyDescent="0.35">
      <c r="A738" t="s">
        <v>3049</v>
      </c>
      <c r="B738" t="s">
        <v>4705</v>
      </c>
      <c r="C738" t="s">
        <v>4282</v>
      </c>
      <c r="D738" t="s">
        <v>1957</v>
      </c>
      <c r="E738" t="s">
        <v>1958</v>
      </c>
      <c r="F738" t="s">
        <v>72</v>
      </c>
      <c r="G738" t="s">
        <v>73</v>
      </c>
      <c r="H738">
        <v>28014</v>
      </c>
      <c r="I738" t="s">
        <v>80</v>
      </c>
      <c r="J738" s="3">
        <v>44993</v>
      </c>
      <c r="M738" t="str">
        <f t="shared" si="11"/>
        <v xml:space="preserve"> </v>
      </c>
    </row>
    <row r="739" spans="1:13" x14ac:dyDescent="0.35">
      <c r="A739" t="s">
        <v>3051</v>
      </c>
      <c r="B739" t="s">
        <v>5061</v>
      </c>
      <c r="C739" t="s">
        <v>4283</v>
      </c>
      <c r="D739" t="s">
        <v>1954</v>
      </c>
      <c r="E739" t="s">
        <v>1955</v>
      </c>
      <c r="F739" t="s">
        <v>90</v>
      </c>
      <c r="G739" t="s">
        <v>91</v>
      </c>
      <c r="H739">
        <v>10719</v>
      </c>
      <c r="I739" t="s">
        <v>71</v>
      </c>
      <c r="J739" s="3">
        <v>44508</v>
      </c>
      <c r="M739" t="str">
        <f t="shared" si="11"/>
        <v xml:space="preserve"> </v>
      </c>
    </row>
    <row r="740" spans="1:13" x14ac:dyDescent="0.35">
      <c r="A740" t="s">
        <v>3053</v>
      </c>
      <c r="B740" t="s">
        <v>4864</v>
      </c>
      <c r="C740" t="s">
        <v>4284</v>
      </c>
      <c r="D740" t="s">
        <v>1950</v>
      </c>
      <c r="E740" t="s">
        <v>1951</v>
      </c>
      <c r="F740" t="s">
        <v>1952</v>
      </c>
      <c r="G740" t="s">
        <v>70</v>
      </c>
      <c r="H740">
        <v>92101</v>
      </c>
      <c r="I740" t="s">
        <v>74</v>
      </c>
      <c r="J740" s="3">
        <v>44822</v>
      </c>
      <c r="M740" t="str">
        <f t="shared" si="11"/>
        <v xml:space="preserve"> </v>
      </c>
    </row>
    <row r="741" spans="1:13" x14ac:dyDescent="0.35">
      <c r="A741" t="s">
        <v>3056</v>
      </c>
      <c r="B741" t="s">
        <v>5062</v>
      </c>
      <c r="C741" t="s">
        <v>4285</v>
      </c>
      <c r="D741" t="s">
        <v>1946</v>
      </c>
      <c r="E741" t="s">
        <v>1947</v>
      </c>
      <c r="F741" t="s">
        <v>1299</v>
      </c>
      <c r="G741" t="s">
        <v>1090</v>
      </c>
      <c r="H741">
        <v>54810</v>
      </c>
      <c r="I741" t="s">
        <v>80</v>
      </c>
      <c r="J741" s="3">
        <v>44972</v>
      </c>
      <c r="M741" t="str">
        <f t="shared" si="11"/>
        <v xml:space="preserve"> </v>
      </c>
    </row>
    <row r="742" spans="1:13" x14ac:dyDescent="0.35">
      <c r="A742" t="s">
        <v>3058</v>
      </c>
      <c r="B742" t="s">
        <v>4934</v>
      </c>
      <c r="C742" t="s">
        <v>4286</v>
      </c>
      <c r="D742" t="s">
        <v>1943</v>
      </c>
      <c r="E742" t="s">
        <v>1944</v>
      </c>
      <c r="F742" t="s">
        <v>119</v>
      </c>
      <c r="G742" t="s">
        <v>76</v>
      </c>
      <c r="H742" t="s">
        <v>1797</v>
      </c>
      <c r="I742" t="s">
        <v>71</v>
      </c>
      <c r="J742" s="3">
        <v>44545</v>
      </c>
      <c r="M742" t="str">
        <f t="shared" si="11"/>
        <v xml:space="preserve"> </v>
      </c>
    </row>
    <row r="743" spans="1:13" x14ac:dyDescent="0.35">
      <c r="A743" t="s">
        <v>3060</v>
      </c>
      <c r="B743" t="s">
        <v>4708</v>
      </c>
      <c r="C743" t="s">
        <v>4287</v>
      </c>
      <c r="D743" t="s">
        <v>1940</v>
      </c>
      <c r="E743" t="s">
        <v>1941</v>
      </c>
      <c r="F743" t="s">
        <v>1069</v>
      </c>
      <c r="G743" t="s">
        <v>1070</v>
      </c>
      <c r="H743" t="s">
        <v>1254</v>
      </c>
      <c r="I743" t="s">
        <v>74</v>
      </c>
      <c r="J743" s="3">
        <v>44842</v>
      </c>
      <c r="M743" t="str">
        <f t="shared" si="11"/>
        <v xml:space="preserve"> </v>
      </c>
    </row>
    <row r="744" spans="1:13" x14ac:dyDescent="0.35">
      <c r="A744" t="s">
        <v>3062</v>
      </c>
      <c r="B744" t="s">
        <v>4951</v>
      </c>
      <c r="C744" t="s">
        <v>4288</v>
      </c>
      <c r="D744" t="s">
        <v>1937</v>
      </c>
      <c r="E744" t="s">
        <v>1938</v>
      </c>
      <c r="F744" t="s">
        <v>1166</v>
      </c>
      <c r="G744" t="s">
        <v>1076</v>
      </c>
      <c r="H744">
        <v>21599</v>
      </c>
      <c r="I744" t="s">
        <v>80</v>
      </c>
      <c r="J744" s="3">
        <v>44931</v>
      </c>
      <c r="M744" t="str">
        <f t="shared" si="11"/>
        <v xml:space="preserve"> </v>
      </c>
    </row>
    <row r="745" spans="1:13" x14ac:dyDescent="0.35">
      <c r="A745" t="s">
        <v>3064</v>
      </c>
      <c r="B745" t="s">
        <v>4529</v>
      </c>
      <c r="C745" t="s">
        <v>4289</v>
      </c>
      <c r="D745" t="s">
        <v>1934</v>
      </c>
      <c r="E745" t="s">
        <v>1935</v>
      </c>
      <c r="F745" t="s">
        <v>1159</v>
      </c>
      <c r="G745" t="s">
        <v>73</v>
      </c>
      <c r="H745">
        <v>8018</v>
      </c>
      <c r="I745" t="s">
        <v>71</v>
      </c>
      <c r="J745" s="3">
        <v>44461</v>
      </c>
      <c r="M745" t="str">
        <f t="shared" si="11"/>
        <v xml:space="preserve"> </v>
      </c>
    </row>
    <row r="746" spans="1:13" x14ac:dyDescent="0.35">
      <c r="A746" t="s">
        <v>3066</v>
      </c>
      <c r="B746" t="s">
        <v>5063</v>
      </c>
      <c r="C746" t="s">
        <v>4290</v>
      </c>
      <c r="D746" t="s">
        <v>1930</v>
      </c>
      <c r="E746" t="s">
        <v>1931</v>
      </c>
      <c r="F746" t="s">
        <v>1170</v>
      </c>
      <c r="G746" t="s">
        <v>76</v>
      </c>
      <c r="H746" t="s">
        <v>1932</v>
      </c>
      <c r="I746" t="s">
        <v>74</v>
      </c>
      <c r="J746" s="3">
        <v>44867</v>
      </c>
      <c r="M746" t="str">
        <f t="shared" si="11"/>
        <v xml:space="preserve"> </v>
      </c>
    </row>
    <row r="747" spans="1:13" x14ac:dyDescent="0.35">
      <c r="A747" t="s">
        <v>3068</v>
      </c>
      <c r="B747" t="s">
        <v>5064</v>
      </c>
      <c r="C747" t="s">
        <v>4291</v>
      </c>
      <c r="D747" t="s">
        <v>1927</v>
      </c>
      <c r="E747" t="s">
        <v>1928</v>
      </c>
      <c r="F747" t="s">
        <v>72</v>
      </c>
      <c r="G747" t="s">
        <v>73</v>
      </c>
      <c r="H747">
        <v>28013</v>
      </c>
      <c r="I747" t="s">
        <v>80</v>
      </c>
      <c r="J747" s="3">
        <v>45288</v>
      </c>
      <c r="M747" t="str">
        <f t="shared" si="11"/>
        <v xml:space="preserve"> </v>
      </c>
    </row>
    <row r="748" spans="1:13" x14ac:dyDescent="0.35">
      <c r="A748" t="s">
        <v>3070</v>
      </c>
      <c r="B748" t="s">
        <v>5065</v>
      </c>
      <c r="C748" t="s">
        <v>4292</v>
      </c>
      <c r="D748" t="s">
        <v>1924</v>
      </c>
      <c r="E748" t="s">
        <v>1925</v>
      </c>
      <c r="F748" t="s">
        <v>90</v>
      </c>
      <c r="G748" t="s">
        <v>91</v>
      </c>
      <c r="H748">
        <v>10785</v>
      </c>
      <c r="I748" t="s">
        <v>71</v>
      </c>
      <c r="J748" s="3">
        <v>44487</v>
      </c>
      <c r="M748" t="str">
        <f t="shared" si="11"/>
        <v xml:space="preserve"> </v>
      </c>
    </row>
    <row r="749" spans="1:13" x14ac:dyDescent="0.35">
      <c r="A749" t="s">
        <v>3072</v>
      </c>
      <c r="B749" t="s">
        <v>4739</v>
      </c>
      <c r="C749" t="s">
        <v>4293</v>
      </c>
      <c r="D749" t="s">
        <v>1920</v>
      </c>
      <c r="E749" t="s">
        <v>1921</v>
      </c>
      <c r="F749" t="s">
        <v>1922</v>
      </c>
      <c r="G749" t="s">
        <v>70</v>
      </c>
      <c r="H749">
        <v>19106</v>
      </c>
      <c r="I749" t="s">
        <v>74</v>
      </c>
      <c r="J749" s="3">
        <v>44913</v>
      </c>
      <c r="M749" t="str">
        <f t="shared" si="11"/>
        <v xml:space="preserve"> </v>
      </c>
    </row>
    <row r="750" spans="1:13" x14ac:dyDescent="0.35">
      <c r="A750" t="s">
        <v>3074</v>
      </c>
      <c r="B750" t="s">
        <v>5066</v>
      </c>
      <c r="C750" t="s">
        <v>4294</v>
      </c>
      <c r="D750" t="s">
        <v>1917</v>
      </c>
      <c r="E750" t="s">
        <v>1918</v>
      </c>
      <c r="F750" t="s">
        <v>78</v>
      </c>
      <c r="G750" t="s">
        <v>79</v>
      </c>
      <c r="H750">
        <v>123456</v>
      </c>
      <c r="I750" t="s">
        <v>80</v>
      </c>
      <c r="J750" s="3">
        <v>45252</v>
      </c>
      <c r="M750" t="str">
        <f t="shared" si="11"/>
        <v xml:space="preserve"> </v>
      </c>
    </row>
    <row r="751" spans="1:13" x14ac:dyDescent="0.35">
      <c r="A751" t="s">
        <v>3076</v>
      </c>
      <c r="B751" t="s">
        <v>4724</v>
      </c>
      <c r="C751" t="s">
        <v>4295</v>
      </c>
      <c r="D751" t="s">
        <v>1914</v>
      </c>
      <c r="E751" t="s">
        <v>1915</v>
      </c>
      <c r="F751" t="s">
        <v>75</v>
      </c>
      <c r="G751" t="s">
        <v>76</v>
      </c>
      <c r="H751" t="s">
        <v>1815</v>
      </c>
      <c r="I751" t="s">
        <v>71</v>
      </c>
      <c r="J751" s="3">
        <v>44501</v>
      </c>
      <c r="M751" t="str">
        <f t="shared" si="11"/>
        <v xml:space="preserve"> </v>
      </c>
    </row>
    <row r="752" spans="1:13" x14ac:dyDescent="0.35">
      <c r="A752" t="s">
        <v>3078</v>
      </c>
      <c r="B752" t="s">
        <v>5067</v>
      </c>
      <c r="C752" t="s">
        <v>4296</v>
      </c>
      <c r="D752" t="s">
        <v>1911</v>
      </c>
      <c r="E752" t="s">
        <v>1912</v>
      </c>
      <c r="F752" t="s">
        <v>1198</v>
      </c>
      <c r="G752" t="s">
        <v>1070</v>
      </c>
      <c r="H752" t="s">
        <v>1199</v>
      </c>
      <c r="I752" t="s">
        <v>74</v>
      </c>
      <c r="J752" s="3">
        <v>44832</v>
      </c>
      <c r="M752" t="str">
        <f t="shared" si="11"/>
        <v xml:space="preserve"> </v>
      </c>
    </row>
    <row r="753" spans="1:13" x14ac:dyDescent="0.35">
      <c r="A753" t="s">
        <v>3080</v>
      </c>
      <c r="B753" t="s">
        <v>5068</v>
      </c>
      <c r="C753" t="s">
        <v>4297</v>
      </c>
      <c r="D753" t="s">
        <v>1908</v>
      </c>
      <c r="E753" t="s">
        <v>1909</v>
      </c>
      <c r="F753" t="s">
        <v>1075</v>
      </c>
      <c r="G753" t="s">
        <v>1076</v>
      </c>
      <c r="H753">
        <v>11431</v>
      </c>
      <c r="I753" t="s">
        <v>80</v>
      </c>
      <c r="J753" s="3">
        <v>45204</v>
      </c>
      <c r="M753" t="str">
        <f t="shared" si="11"/>
        <v xml:space="preserve"> </v>
      </c>
    </row>
    <row r="754" spans="1:13" x14ac:dyDescent="0.35">
      <c r="A754" t="s">
        <v>3082</v>
      </c>
      <c r="B754" t="s">
        <v>5069</v>
      </c>
      <c r="C754" t="s">
        <v>4298</v>
      </c>
      <c r="D754" t="s">
        <v>1905</v>
      </c>
      <c r="E754" t="s">
        <v>1906</v>
      </c>
      <c r="F754" t="s">
        <v>72</v>
      </c>
      <c r="G754" t="s">
        <v>73</v>
      </c>
      <c r="H754">
        <v>28027</v>
      </c>
      <c r="I754" t="s">
        <v>71</v>
      </c>
      <c r="J754" s="3">
        <v>44540</v>
      </c>
      <c r="M754" t="str">
        <f t="shared" si="11"/>
        <v xml:space="preserve"> </v>
      </c>
    </row>
    <row r="755" spans="1:13" x14ac:dyDescent="0.35">
      <c r="A755" t="s">
        <v>3084</v>
      </c>
      <c r="B755" t="s">
        <v>5070</v>
      </c>
      <c r="C755" t="s">
        <v>4299</v>
      </c>
      <c r="D755" t="s">
        <v>1901</v>
      </c>
      <c r="E755" t="s">
        <v>1902</v>
      </c>
      <c r="F755" t="s">
        <v>119</v>
      </c>
      <c r="G755" t="s">
        <v>76</v>
      </c>
      <c r="H755" t="s">
        <v>1903</v>
      </c>
      <c r="I755" t="s">
        <v>74</v>
      </c>
      <c r="J755" s="3">
        <v>44856</v>
      </c>
      <c r="M755" t="str">
        <f t="shared" si="11"/>
        <v xml:space="preserve"> </v>
      </c>
    </row>
    <row r="756" spans="1:13" x14ac:dyDescent="0.35">
      <c r="A756" t="s">
        <v>3086</v>
      </c>
      <c r="B756" t="s">
        <v>4550</v>
      </c>
      <c r="C756" t="s">
        <v>4300</v>
      </c>
      <c r="D756" t="s">
        <v>1898</v>
      </c>
      <c r="E756" t="s">
        <v>1899</v>
      </c>
      <c r="F756" t="s">
        <v>1159</v>
      </c>
      <c r="G756" t="s">
        <v>73</v>
      </c>
      <c r="H756">
        <v>8008</v>
      </c>
      <c r="I756" t="s">
        <v>80</v>
      </c>
      <c r="J756" s="3">
        <v>45187</v>
      </c>
      <c r="M756" t="str">
        <f t="shared" si="11"/>
        <v xml:space="preserve"> </v>
      </c>
    </row>
    <row r="757" spans="1:13" x14ac:dyDescent="0.35">
      <c r="A757" t="s">
        <v>3088</v>
      </c>
      <c r="B757" t="s">
        <v>4945</v>
      </c>
      <c r="C757" t="s">
        <v>4301</v>
      </c>
      <c r="D757" t="s">
        <v>1895</v>
      </c>
      <c r="E757" t="s">
        <v>1896</v>
      </c>
      <c r="F757" t="s">
        <v>90</v>
      </c>
      <c r="G757" t="s">
        <v>91</v>
      </c>
      <c r="H757">
        <v>10178</v>
      </c>
      <c r="I757" t="s">
        <v>71</v>
      </c>
      <c r="J757" s="3">
        <v>44451</v>
      </c>
      <c r="M757" t="str">
        <f t="shared" si="11"/>
        <v xml:space="preserve"> </v>
      </c>
    </row>
    <row r="758" spans="1:13" x14ac:dyDescent="0.35">
      <c r="A758" t="s">
        <v>3090</v>
      </c>
      <c r="B758" t="s">
        <v>4590</v>
      </c>
      <c r="C758" t="s">
        <v>4302</v>
      </c>
      <c r="D758" t="s">
        <v>1891</v>
      </c>
      <c r="E758" t="s">
        <v>1892</v>
      </c>
      <c r="F758" t="s">
        <v>1893</v>
      </c>
      <c r="G758" t="s">
        <v>70</v>
      </c>
      <c r="H758">
        <v>33139</v>
      </c>
      <c r="I758" t="s">
        <v>74</v>
      </c>
      <c r="J758" s="3">
        <v>44875</v>
      </c>
      <c r="M758" t="str">
        <f t="shared" si="11"/>
        <v xml:space="preserve"> </v>
      </c>
    </row>
    <row r="759" spans="1:13" x14ac:dyDescent="0.35">
      <c r="A759" t="s">
        <v>3091</v>
      </c>
      <c r="B759" t="s">
        <v>5071</v>
      </c>
      <c r="C759" t="s">
        <v>4303</v>
      </c>
      <c r="D759" t="s">
        <v>1887</v>
      </c>
      <c r="E759" t="s">
        <v>1888</v>
      </c>
      <c r="F759" t="s">
        <v>1089</v>
      </c>
      <c r="G759" t="s">
        <v>1090</v>
      </c>
      <c r="H759">
        <v>75500</v>
      </c>
      <c r="I759" t="s">
        <v>80</v>
      </c>
      <c r="J759" s="3">
        <v>45163</v>
      </c>
      <c r="M759" t="str">
        <f t="shared" si="11"/>
        <v xml:space="preserve"> </v>
      </c>
    </row>
    <row r="760" spans="1:13" x14ac:dyDescent="0.35">
      <c r="A760" t="s">
        <v>3093</v>
      </c>
      <c r="B760" t="s">
        <v>4733</v>
      </c>
      <c r="C760" t="s">
        <v>4304</v>
      </c>
      <c r="D760" t="s">
        <v>1885</v>
      </c>
      <c r="E760" t="s">
        <v>1384</v>
      </c>
      <c r="F760" t="s">
        <v>75</v>
      </c>
      <c r="G760" t="s">
        <v>76</v>
      </c>
      <c r="H760" t="s">
        <v>1385</v>
      </c>
      <c r="I760" t="s">
        <v>71</v>
      </c>
      <c r="J760" s="3">
        <v>44474</v>
      </c>
      <c r="M760" t="str">
        <f t="shared" si="11"/>
        <v xml:space="preserve"> </v>
      </c>
    </row>
    <row r="761" spans="1:13" x14ac:dyDescent="0.35">
      <c r="A761" t="s">
        <v>3095</v>
      </c>
      <c r="B761" t="s">
        <v>5072</v>
      </c>
      <c r="C761" t="s">
        <v>4305</v>
      </c>
      <c r="D761" t="s">
        <v>1881</v>
      </c>
      <c r="E761" t="s">
        <v>1882</v>
      </c>
      <c r="F761" t="s">
        <v>1129</v>
      </c>
      <c r="G761" t="s">
        <v>1070</v>
      </c>
      <c r="H761" t="s">
        <v>1883</v>
      </c>
      <c r="I761" t="s">
        <v>74</v>
      </c>
      <c r="J761" s="3">
        <v>44900</v>
      </c>
      <c r="M761" t="str">
        <f t="shared" si="11"/>
        <v xml:space="preserve"> </v>
      </c>
    </row>
    <row r="762" spans="1:13" x14ac:dyDescent="0.35">
      <c r="A762" t="s">
        <v>3097</v>
      </c>
      <c r="B762" t="s">
        <v>5059</v>
      </c>
      <c r="C762" t="s">
        <v>4306</v>
      </c>
      <c r="D762" t="s">
        <v>1878</v>
      </c>
      <c r="E762" t="s">
        <v>1879</v>
      </c>
      <c r="F762" t="s">
        <v>1166</v>
      </c>
      <c r="G762" t="s">
        <v>1076</v>
      </c>
      <c r="H762">
        <v>21599</v>
      </c>
      <c r="I762" t="s">
        <v>80</v>
      </c>
      <c r="J762" s="3">
        <v>45119</v>
      </c>
      <c r="M762" t="str">
        <f t="shared" si="11"/>
        <v xml:space="preserve"> </v>
      </c>
    </row>
    <row r="763" spans="1:13" x14ac:dyDescent="0.35">
      <c r="A763" t="s">
        <v>3099</v>
      </c>
      <c r="B763" t="s">
        <v>4613</v>
      </c>
      <c r="C763" t="s">
        <v>4307</v>
      </c>
      <c r="D763" t="s">
        <v>1875</v>
      </c>
      <c r="E763" t="s">
        <v>1876</v>
      </c>
      <c r="F763" t="s">
        <v>72</v>
      </c>
      <c r="G763" t="s">
        <v>73</v>
      </c>
      <c r="H763">
        <v>28013</v>
      </c>
      <c r="I763" t="s">
        <v>71</v>
      </c>
      <c r="J763" s="3">
        <v>44515</v>
      </c>
      <c r="M763" t="str">
        <f t="shared" si="11"/>
        <v xml:space="preserve"> </v>
      </c>
    </row>
    <row r="764" spans="1:13" x14ac:dyDescent="0.35">
      <c r="A764" t="s">
        <v>3101</v>
      </c>
      <c r="B764" t="s">
        <v>5073</v>
      </c>
      <c r="C764" t="s">
        <v>4308</v>
      </c>
      <c r="D764" t="s">
        <v>1871</v>
      </c>
      <c r="E764" t="s">
        <v>1872</v>
      </c>
      <c r="F764" t="s">
        <v>1170</v>
      </c>
      <c r="G764" t="s">
        <v>76</v>
      </c>
      <c r="H764" t="s">
        <v>1873</v>
      </c>
      <c r="I764" t="s">
        <v>74</v>
      </c>
      <c r="J764" s="3">
        <v>44812</v>
      </c>
      <c r="M764" t="str">
        <f t="shared" si="11"/>
        <v xml:space="preserve"> </v>
      </c>
    </row>
    <row r="765" spans="1:13" x14ac:dyDescent="0.35">
      <c r="A765" t="s">
        <v>3103</v>
      </c>
      <c r="B765" t="s">
        <v>5074</v>
      </c>
      <c r="C765" t="s">
        <v>4309</v>
      </c>
      <c r="D765" s="2">
        <v>582122345678</v>
      </c>
      <c r="E765" t="s">
        <v>1869</v>
      </c>
      <c r="F765" t="s">
        <v>1634</v>
      </c>
      <c r="G765" t="s">
        <v>1635</v>
      </c>
      <c r="H765">
        <v>1060</v>
      </c>
      <c r="I765" t="s">
        <v>80</v>
      </c>
      <c r="J765" s="3">
        <v>45099</v>
      </c>
      <c r="M765" t="str">
        <f t="shared" si="11"/>
        <v xml:space="preserve"> </v>
      </c>
    </row>
    <row r="766" spans="1:13" x14ac:dyDescent="0.35">
      <c r="A766" t="s">
        <v>3105</v>
      </c>
      <c r="B766" t="s">
        <v>5075</v>
      </c>
      <c r="C766" t="s">
        <v>4310</v>
      </c>
      <c r="D766" s="2">
        <v>49711123456</v>
      </c>
      <c r="E766" t="s">
        <v>1866</v>
      </c>
      <c r="F766" t="s">
        <v>1867</v>
      </c>
      <c r="G766" t="s">
        <v>91</v>
      </c>
      <c r="H766">
        <v>70173</v>
      </c>
      <c r="I766" t="s">
        <v>71</v>
      </c>
      <c r="J766" s="3">
        <v>44550</v>
      </c>
      <c r="M766" t="str">
        <f t="shared" si="11"/>
        <v xml:space="preserve"> </v>
      </c>
    </row>
    <row r="767" spans="1:13" x14ac:dyDescent="0.35">
      <c r="A767" t="s">
        <v>3107</v>
      </c>
      <c r="B767" t="s">
        <v>5076</v>
      </c>
      <c r="C767" t="s">
        <v>4311</v>
      </c>
      <c r="D767" t="s">
        <v>1862</v>
      </c>
      <c r="E767" t="s">
        <v>1863</v>
      </c>
      <c r="F767" t="s">
        <v>1864</v>
      </c>
      <c r="G767" t="s">
        <v>70</v>
      </c>
      <c r="H767">
        <v>30303</v>
      </c>
      <c r="I767" t="s">
        <v>74</v>
      </c>
      <c r="J767" s="3">
        <v>44864</v>
      </c>
      <c r="M767" t="str">
        <f t="shared" si="11"/>
        <v xml:space="preserve"> </v>
      </c>
    </row>
    <row r="768" spans="1:13" x14ac:dyDescent="0.35">
      <c r="A768" t="s">
        <v>3109</v>
      </c>
      <c r="B768" t="s">
        <v>4611</v>
      </c>
      <c r="C768" t="s">
        <v>4312</v>
      </c>
      <c r="D768" t="s">
        <v>1859</v>
      </c>
      <c r="E768" t="s">
        <v>1860</v>
      </c>
      <c r="F768" t="s">
        <v>1075</v>
      </c>
      <c r="G768" t="s">
        <v>1076</v>
      </c>
      <c r="H768">
        <v>11765</v>
      </c>
      <c r="I768" t="s">
        <v>80</v>
      </c>
      <c r="J768" s="3">
        <v>45061</v>
      </c>
      <c r="M768" t="str">
        <f t="shared" si="11"/>
        <v xml:space="preserve"> </v>
      </c>
    </row>
    <row r="769" spans="1:13" x14ac:dyDescent="0.35">
      <c r="A769" t="s">
        <v>3111</v>
      </c>
      <c r="B769" t="s">
        <v>4920</v>
      </c>
      <c r="C769" t="s">
        <v>4313</v>
      </c>
      <c r="D769" t="s">
        <v>1856</v>
      </c>
      <c r="E769" t="s">
        <v>1857</v>
      </c>
      <c r="F769" t="s">
        <v>119</v>
      </c>
      <c r="G769" t="s">
        <v>76</v>
      </c>
      <c r="H769" t="s">
        <v>120</v>
      </c>
      <c r="I769" t="s">
        <v>71</v>
      </c>
      <c r="J769" s="3">
        <v>44444</v>
      </c>
      <c r="M769" t="str">
        <f t="shared" si="11"/>
        <v xml:space="preserve"> </v>
      </c>
    </row>
    <row r="770" spans="1:13" x14ac:dyDescent="0.35">
      <c r="A770" t="s">
        <v>3113</v>
      </c>
      <c r="B770" t="s">
        <v>5077</v>
      </c>
      <c r="C770" t="s">
        <v>4314</v>
      </c>
      <c r="D770" t="s">
        <v>1852</v>
      </c>
      <c r="E770" t="s">
        <v>1853</v>
      </c>
      <c r="F770" t="s">
        <v>1069</v>
      </c>
      <c r="G770" t="s">
        <v>1070</v>
      </c>
      <c r="H770" t="s">
        <v>1854</v>
      </c>
      <c r="I770" t="s">
        <v>74</v>
      </c>
      <c r="J770" s="3">
        <v>44883</v>
      </c>
      <c r="M770" t="str">
        <f t="shared" si="11"/>
        <v xml:space="preserve"> </v>
      </c>
    </row>
    <row r="771" spans="1:13" x14ac:dyDescent="0.35">
      <c r="A771" t="s">
        <v>3115</v>
      </c>
      <c r="B771" t="s">
        <v>5078</v>
      </c>
      <c r="C771" t="s">
        <v>4315</v>
      </c>
      <c r="D771" t="s">
        <v>1849</v>
      </c>
      <c r="E771" t="s">
        <v>1850</v>
      </c>
      <c r="F771" t="s">
        <v>1166</v>
      </c>
      <c r="G771" t="s">
        <v>1076</v>
      </c>
      <c r="H771">
        <v>21599</v>
      </c>
      <c r="I771" t="s">
        <v>80</v>
      </c>
      <c r="J771" s="3">
        <v>45046</v>
      </c>
      <c r="M771" t="str">
        <f t="shared" si="11"/>
        <v xml:space="preserve"> </v>
      </c>
    </row>
    <row r="772" spans="1:13" x14ac:dyDescent="0.35">
      <c r="A772" t="s">
        <v>3117</v>
      </c>
      <c r="B772" t="s">
        <v>5079</v>
      </c>
      <c r="C772" t="s">
        <v>4316</v>
      </c>
      <c r="D772" t="s">
        <v>1846</v>
      </c>
      <c r="E772" t="s">
        <v>1847</v>
      </c>
      <c r="F772" t="s">
        <v>1219</v>
      </c>
      <c r="G772" t="s">
        <v>73</v>
      </c>
      <c r="H772">
        <v>46010</v>
      </c>
      <c r="I772" t="s">
        <v>71</v>
      </c>
      <c r="J772" s="3">
        <v>44479</v>
      </c>
      <c r="M772" t="str">
        <f t="shared" ref="M772:M835" si="12">V772&amp;" "&amp;W772</f>
        <v xml:space="preserve"> </v>
      </c>
    </row>
    <row r="773" spans="1:13" x14ac:dyDescent="0.35">
      <c r="A773" t="s">
        <v>3119</v>
      </c>
      <c r="B773" t="s">
        <v>5080</v>
      </c>
      <c r="C773" t="s">
        <v>4317</v>
      </c>
      <c r="D773" t="s">
        <v>1843</v>
      </c>
      <c r="E773" t="s">
        <v>1796</v>
      </c>
      <c r="F773" t="s">
        <v>1615</v>
      </c>
      <c r="G773" t="s">
        <v>76</v>
      </c>
      <c r="H773" t="s">
        <v>1844</v>
      </c>
      <c r="I773" t="s">
        <v>74</v>
      </c>
      <c r="J773" s="3">
        <v>44907</v>
      </c>
      <c r="M773" t="str">
        <f t="shared" si="12"/>
        <v xml:space="preserve"> </v>
      </c>
    </row>
    <row r="774" spans="1:13" x14ac:dyDescent="0.35">
      <c r="A774" t="s">
        <v>3121</v>
      </c>
      <c r="B774" t="s">
        <v>5081</v>
      </c>
      <c r="C774" t="s">
        <v>4318</v>
      </c>
      <c r="D774" t="s">
        <v>1839</v>
      </c>
      <c r="E774" t="s">
        <v>1840</v>
      </c>
      <c r="F774" t="s">
        <v>1841</v>
      </c>
      <c r="G774" t="s">
        <v>1176</v>
      </c>
      <c r="H774">
        <v>50021</v>
      </c>
      <c r="I774" t="s">
        <v>80</v>
      </c>
      <c r="J774" s="3">
        <v>45010</v>
      </c>
      <c r="M774" t="str">
        <f t="shared" si="12"/>
        <v xml:space="preserve"> </v>
      </c>
    </row>
    <row r="775" spans="1:13" x14ac:dyDescent="0.35">
      <c r="A775" t="s">
        <v>3123</v>
      </c>
      <c r="B775" t="s">
        <v>4564</v>
      </c>
      <c r="C775" t="s">
        <v>4319</v>
      </c>
      <c r="D775" s="2">
        <v>49341123456</v>
      </c>
      <c r="E775" t="s">
        <v>1836</v>
      </c>
      <c r="F775" t="s">
        <v>1837</v>
      </c>
      <c r="G775" t="s">
        <v>91</v>
      </c>
      <c r="H775">
        <v>4109</v>
      </c>
      <c r="I775" t="s">
        <v>71</v>
      </c>
      <c r="J775" s="3">
        <v>44505</v>
      </c>
      <c r="M775" t="str">
        <f t="shared" si="12"/>
        <v xml:space="preserve"> </v>
      </c>
    </row>
    <row r="776" spans="1:13" x14ac:dyDescent="0.35">
      <c r="A776" t="s">
        <v>3125</v>
      </c>
      <c r="B776" t="s">
        <v>5082</v>
      </c>
      <c r="C776" t="s">
        <v>4320</v>
      </c>
      <c r="D776" t="s">
        <v>1832</v>
      </c>
      <c r="E776" t="s">
        <v>1833</v>
      </c>
      <c r="F776" t="s">
        <v>1834</v>
      </c>
      <c r="G776" t="s">
        <v>70</v>
      </c>
      <c r="H776">
        <v>75202</v>
      </c>
      <c r="I776" t="s">
        <v>74</v>
      </c>
      <c r="J776" s="3">
        <v>44826</v>
      </c>
      <c r="M776" t="str">
        <f t="shared" si="12"/>
        <v xml:space="preserve"> </v>
      </c>
    </row>
    <row r="777" spans="1:13" x14ac:dyDescent="0.35">
      <c r="A777" t="s">
        <v>3127</v>
      </c>
      <c r="B777" t="s">
        <v>5083</v>
      </c>
      <c r="C777" t="s">
        <v>4321</v>
      </c>
      <c r="D777" t="s">
        <v>1829</v>
      </c>
      <c r="E777" t="s">
        <v>1830</v>
      </c>
      <c r="F777" t="s">
        <v>78</v>
      </c>
      <c r="G777" t="s">
        <v>79</v>
      </c>
      <c r="H777">
        <v>123456</v>
      </c>
      <c r="I777" t="s">
        <v>80</v>
      </c>
      <c r="J777" s="3">
        <v>44985</v>
      </c>
      <c r="M777" t="str">
        <f t="shared" si="12"/>
        <v xml:space="preserve"> </v>
      </c>
    </row>
    <row r="778" spans="1:13" x14ac:dyDescent="0.35">
      <c r="A778" t="s">
        <v>3129</v>
      </c>
      <c r="B778" t="s">
        <v>4680</v>
      </c>
      <c r="C778" t="s">
        <v>4322</v>
      </c>
      <c r="D778" t="s">
        <v>1825</v>
      </c>
      <c r="E778" t="s">
        <v>1826</v>
      </c>
      <c r="F778" t="s">
        <v>1084</v>
      </c>
      <c r="G778" t="s">
        <v>76</v>
      </c>
      <c r="H778" t="s">
        <v>1827</v>
      </c>
      <c r="I778" t="s">
        <v>71</v>
      </c>
      <c r="J778" s="3">
        <v>44560</v>
      </c>
      <c r="M778" t="str">
        <f t="shared" si="12"/>
        <v xml:space="preserve"> </v>
      </c>
    </row>
    <row r="779" spans="1:13" x14ac:dyDescent="0.35">
      <c r="A779" t="s">
        <v>3131</v>
      </c>
      <c r="B779" t="s">
        <v>5084</v>
      </c>
      <c r="C779" t="s">
        <v>4323</v>
      </c>
      <c r="D779" t="s">
        <v>1822</v>
      </c>
      <c r="E779" t="s">
        <v>1823</v>
      </c>
      <c r="F779" t="s">
        <v>1198</v>
      </c>
      <c r="G779" t="s">
        <v>1070</v>
      </c>
      <c r="H779" t="s">
        <v>1199</v>
      </c>
      <c r="I779" t="s">
        <v>74</v>
      </c>
      <c r="J779" s="3">
        <v>44848</v>
      </c>
      <c r="M779" t="str">
        <f t="shared" si="12"/>
        <v xml:space="preserve"> </v>
      </c>
    </row>
    <row r="780" spans="1:13" x14ac:dyDescent="0.35">
      <c r="A780" t="s">
        <v>3133</v>
      </c>
      <c r="B780" t="s">
        <v>5085</v>
      </c>
      <c r="C780" t="s">
        <v>4324</v>
      </c>
      <c r="D780" t="s">
        <v>1819</v>
      </c>
      <c r="E780" t="s">
        <v>1820</v>
      </c>
      <c r="F780" t="s">
        <v>1075</v>
      </c>
      <c r="G780" t="s">
        <v>1076</v>
      </c>
      <c r="H780">
        <v>12311</v>
      </c>
      <c r="I780" t="s">
        <v>80</v>
      </c>
      <c r="J780" s="3">
        <v>44946</v>
      </c>
      <c r="M780" t="str">
        <f t="shared" si="12"/>
        <v xml:space="preserve"> </v>
      </c>
    </row>
    <row r="781" spans="1:13" x14ac:dyDescent="0.35">
      <c r="A781" t="s">
        <v>3135</v>
      </c>
      <c r="B781" t="s">
        <v>4833</v>
      </c>
      <c r="C781" t="s">
        <v>4325</v>
      </c>
      <c r="D781" t="s">
        <v>1540</v>
      </c>
      <c r="E781" t="s">
        <v>1817</v>
      </c>
      <c r="F781" t="s">
        <v>72</v>
      </c>
      <c r="G781" t="s">
        <v>73</v>
      </c>
      <c r="H781">
        <v>28006</v>
      </c>
      <c r="I781" t="s">
        <v>71</v>
      </c>
      <c r="J781" s="3">
        <v>44454</v>
      </c>
      <c r="M781" t="str">
        <f t="shared" si="12"/>
        <v xml:space="preserve"> </v>
      </c>
    </row>
    <row r="782" spans="1:13" x14ac:dyDescent="0.35">
      <c r="A782" t="s">
        <v>3137</v>
      </c>
      <c r="B782" t="s">
        <v>4876</v>
      </c>
      <c r="C782" t="s">
        <v>4326</v>
      </c>
      <c r="D782" t="s">
        <v>1383</v>
      </c>
      <c r="E782" t="s">
        <v>1814</v>
      </c>
      <c r="F782" t="s">
        <v>75</v>
      </c>
      <c r="G782" t="s">
        <v>76</v>
      </c>
      <c r="H782" t="s">
        <v>1815</v>
      </c>
      <c r="I782" t="s">
        <v>74</v>
      </c>
      <c r="J782" s="3">
        <v>44893</v>
      </c>
      <c r="M782" t="str">
        <f t="shared" si="12"/>
        <v xml:space="preserve"> </v>
      </c>
    </row>
    <row r="783" spans="1:13" x14ac:dyDescent="0.35">
      <c r="A783" t="s">
        <v>3139</v>
      </c>
      <c r="B783" t="s">
        <v>5086</v>
      </c>
      <c r="C783" t="s">
        <v>4327</v>
      </c>
      <c r="D783" t="s">
        <v>1809</v>
      </c>
      <c r="E783" t="s">
        <v>1810</v>
      </c>
      <c r="F783" t="s">
        <v>1811</v>
      </c>
      <c r="G783" t="s">
        <v>92</v>
      </c>
      <c r="H783" t="s">
        <v>1812</v>
      </c>
      <c r="I783" t="s">
        <v>80</v>
      </c>
      <c r="J783" s="3">
        <v>45272</v>
      </c>
      <c r="M783" t="str">
        <f t="shared" si="12"/>
        <v xml:space="preserve"> </v>
      </c>
    </row>
    <row r="784" spans="1:13" x14ac:dyDescent="0.35">
      <c r="A784" t="s">
        <v>3141</v>
      </c>
      <c r="B784" t="s">
        <v>5087</v>
      </c>
      <c r="C784" t="s">
        <v>4328</v>
      </c>
      <c r="D784" s="2">
        <v>49621123456</v>
      </c>
      <c r="E784" t="s">
        <v>1806</v>
      </c>
      <c r="F784" t="s">
        <v>1807</v>
      </c>
      <c r="G784" t="s">
        <v>91</v>
      </c>
      <c r="H784">
        <v>68159</v>
      </c>
      <c r="I784" t="s">
        <v>71</v>
      </c>
      <c r="J784" s="3">
        <v>44494</v>
      </c>
      <c r="M784" t="str">
        <f t="shared" si="12"/>
        <v xml:space="preserve"> </v>
      </c>
    </row>
    <row r="785" spans="1:13" x14ac:dyDescent="0.35">
      <c r="A785" t="s">
        <v>3143</v>
      </c>
      <c r="B785" t="s">
        <v>4717</v>
      </c>
      <c r="C785" t="s">
        <v>4329</v>
      </c>
      <c r="D785" t="s">
        <v>1802</v>
      </c>
      <c r="E785" t="s">
        <v>1803</v>
      </c>
      <c r="F785" t="s">
        <v>1804</v>
      </c>
      <c r="G785" t="s">
        <v>70</v>
      </c>
      <c r="H785">
        <v>98101</v>
      </c>
      <c r="I785" t="s">
        <v>74</v>
      </c>
      <c r="J785" s="3">
        <v>44903</v>
      </c>
      <c r="M785" t="str">
        <f t="shared" si="12"/>
        <v xml:space="preserve"> </v>
      </c>
    </row>
    <row r="786" spans="1:13" x14ac:dyDescent="0.35">
      <c r="A786" t="s">
        <v>3145</v>
      </c>
      <c r="B786" t="s">
        <v>4654</v>
      </c>
      <c r="C786" t="s">
        <v>4330</v>
      </c>
      <c r="D786" t="s">
        <v>1799</v>
      </c>
      <c r="E786" t="s">
        <v>1800</v>
      </c>
      <c r="F786" t="s">
        <v>1299</v>
      </c>
      <c r="G786" t="s">
        <v>1090</v>
      </c>
      <c r="H786">
        <v>54000</v>
      </c>
      <c r="I786" t="s">
        <v>80</v>
      </c>
      <c r="J786" s="3">
        <v>45235</v>
      </c>
      <c r="M786" t="str">
        <f t="shared" si="12"/>
        <v xml:space="preserve"> </v>
      </c>
    </row>
    <row r="787" spans="1:13" x14ac:dyDescent="0.35">
      <c r="A787" t="s">
        <v>3147</v>
      </c>
      <c r="B787" t="s">
        <v>5088</v>
      </c>
      <c r="C787" t="s">
        <v>4331</v>
      </c>
      <c r="D787" t="s">
        <v>1795</v>
      </c>
      <c r="E787" t="s">
        <v>1796</v>
      </c>
      <c r="F787" t="s">
        <v>119</v>
      </c>
      <c r="G787" t="s">
        <v>76</v>
      </c>
      <c r="H787" t="s">
        <v>1797</v>
      </c>
      <c r="I787" t="s">
        <v>71</v>
      </c>
      <c r="J787" s="3">
        <v>44520</v>
      </c>
      <c r="M787" t="str">
        <f t="shared" si="12"/>
        <v xml:space="preserve"> </v>
      </c>
    </row>
    <row r="788" spans="1:13" x14ac:dyDescent="0.35">
      <c r="A788" t="s">
        <v>3149</v>
      </c>
      <c r="B788" t="s">
        <v>5089</v>
      </c>
      <c r="C788" t="s">
        <v>4332</v>
      </c>
      <c r="D788" t="s">
        <v>1792</v>
      </c>
      <c r="E788" t="s">
        <v>1793</v>
      </c>
      <c r="F788" t="s">
        <v>1129</v>
      </c>
      <c r="G788" t="s">
        <v>1070</v>
      </c>
      <c r="H788" t="s">
        <v>1130</v>
      </c>
      <c r="I788" t="s">
        <v>74</v>
      </c>
      <c r="J788" s="3">
        <v>44816</v>
      </c>
      <c r="M788" t="str">
        <f t="shared" si="12"/>
        <v xml:space="preserve"> </v>
      </c>
    </row>
    <row r="789" spans="1:13" x14ac:dyDescent="0.35">
      <c r="A789" t="s">
        <v>3151</v>
      </c>
      <c r="B789" t="s">
        <v>5090</v>
      </c>
      <c r="C789" t="s">
        <v>4333</v>
      </c>
      <c r="D789" t="s">
        <v>1789</v>
      </c>
      <c r="E789" t="s">
        <v>1790</v>
      </c>
      <c r="F789" t="s">
        <v>1166</v>
      </c>
      <c r="G789" t="s">
        <v>1076</v>
      </c>
      <c r="H789">
        <v>21599</v>
      </c>
      <c r="I789" t="s">
        <v>80</v>
      </c>
      <c r="J789" s="3">
        <v>45217</v>
      </c>
      <c r="M789" t="str">
        <f t="shared" si="12"/>
        <v xml:space="preserve"> </v>
      </c>
    </row>
    <row r="790" spans="1:13" x14ac:dyDescent="0.35">
      <c r="A790" t="s">
        <v>3153</v>
      </c>
      <c r="B790" t="s">
        <v>5091</v>
      </c>
      <c r="C790" t="s">
        <v>4334</v>
      </c>
      <c r="D790" t="s">
        <v>1786</v>
      </c>
      <c r="E790" t="s">
        <v>1787</v>
      </c>
      <c r="F790" t="s">
        <v>1159</v>
      </c>
      <c r="G790" t="s">
        <v>73</v>
      </c>
      <c r="H790">
        <v>8008</v>
      </c>
      <c r="I790" t="s">
        <v>71</v>
      </c>
      <c r="J790" s="3">
        <v>44552</v>
      </c>
      <c r="M790" t="str">
        <f t="shared" si="12"/>
        <v xml:space="preserve"> </v>
      </c>
    </row>
    <row r="791" spans="1:13" x14ac:dyDescent="0.35">
      <c r="A791" t="s">
        <v>3155</v>
      </c>
      <c r="B791" t="s">
        <v>5092</v>
      </c>
      <c r="C791" t="s">
        <v>4335</v>
      </c>
      <c r="D791" t="s">
        <v>1396</v>
      </c>
      <c r="E791" t="s">
        <v>1784</v>
      </c>
      <c r="F791" t="s">
        <v>1170</v>
      </c>
      <c r="G791" t="s">
        <v>76</v>
      </c>
      <c r="H791" t="s">
        <v>1171</v>
      </c>
      <c r="I791" t="s">
        <v>74</v>
      </c>
      <c r="J791" s="3">
        <v>44839</v>
      </c>
      <c r="M791" t="str">
        <f t="shared" si="12"/>
        <v xml:space="preserve"> </v>
      </c>
    </row>
    <row r="792" spans="1:13" x14ac:dyDescent="0.35">
      <c r="A792" t="s">
        <v>3157</v>
      </c>
      <c r="B792" t="s">
        <v>4865</v>
      </c>
      <c r="C792" t="s">
        <v>4336</v>
      </c>
      <c r="D792" t="s">
        <v>1779</v>
      </c>
      <c r="E792" t="s">
        <v>1780</v>
      </c>
      <c r="F792" t="s">
        <v>1781</v>
      </c>
      <c r="G792" t="s">
        <v>1782</v>
      </c>
      <c r="H792">
        <v>15001</v>
      </c>
      <c r="I792" t="s">
        <v>80</v>
      </c>
      <c r="J792" s="3">
        <v>45199</v>
      </c>
      <c r="M792" t="str">
        <f t="shared" si="12"/>
        <v xml:space="preserve"> </v>
      </c>
    </row>
    <row r="793" spans="1:13" x14ac:dyDescent="0.35">
      <c r="A793" t="s">
        <v>3159</v>
      </c>
      <c r="B793" t="s">
        <v>5093</v>
      </c>
      <c r="C793" t="s">
        <v>4337</v>
      </c>
      <c r="D793" s="2">
        <v>49228123456</v>
      </c>
      <c r="E793" t="s">
        <v>1776</v>
      </c>
      <c r="F793" t="s">
        <v>1777</v>
      </c>
      <c r="G793" t="s">
        <v>91</v>
      </c>
      <c r="H793">
        <v>53111</v>
      </c>
      <c r="I793" t="s">
        <v>71</v>
      </c>
      <c r="J793" s="3">
        <v>44467</v>
      </c>
      <c r="M793" t="str">
        <f t="shared" si="12"/>
        <v xml:space="preserve"> </v>
      </c>
    </row>
    <row r="794" spans="1:13" x14ac:dyDescent="0.35">
      <c r="A794" t="s">
        <v>3161</v>
      </c>
      <c r="B794" t="s">
        <v>5012</v>
      </c>
      <c r="C794" t="s">
        <v>4338</v>
      </c>
      <c r="D794" t="s">
        <v>1772</v>
      </c>
      <c r="E794" t="s">
        <v>1773</v>
      </c>
      <c r="F794" t="s">
        <v>1774</v>
      </c>
      <c r="G794" t="s">
        <v>70</v>
      </c>
      <c r="H794">
        <v>80202</v>
      </c>
      <c r="I794" t="s">
        <v>74</v>
      </c>
      <c r="J794" s="3">
        <v>44880</v>
      </c>
      <c r="M794" t="str">
        <f t="shared" si="12"/>
        <v xml:space="preserve"> </v>
      </c>
    </row>
    <row r="795" spans="1:13" x14ac:dyDescent="0.35">
      <c r="A795" t="s">
        <v>3163</v>
      </c>
      <c r="B795" t="s">
        <v>5094</v>
      </c>
      <c r="C795" t="s">
        <v>4339</v>
      </c>
      <c r="D795" t="s">
        <v>1769</v>
      </c>
      <c r="E795" t="s">
        <v>1770</v>
      </c>
      <c r="F795" t="s">
        <v>1741</v>
      </c>
      <c r="G795" t="s">
        <v>70</v>
      </c>
      <c r="H795">
        <v>317</v>
      </c>
      <c r="I795" t="s">
        <v>80</v>
      </c>
      <c r="J795" s="3">
        <v>45153</v>
      </c>
      <c r="M795" t="str">
        <f t="shared" si="12"/>
        <v xml:space="preserve"> </v>
      </c>
    </row>
    <row r="796" spans="1:13" x14ac:dyDescent="0.35">
      <c r="A796" t="s">
        <v>3165</v>
      </c>
      <c r="B796" t="s">
        <v>5095</v>
      </c>
      <c r="C796" t="s">
        <v>4340</v>
      </c>
      <c r="D796" t="s">
        <v>1765</v>
      </c>
      <c r="E796" t="s">
        <v>1766</v>
      </c>
      <c r="F796" t="s">
        <v>75</v>
      </c>
      <c r="G796" t="s">
        <v>76</v>
      </c>
      <c r="H796" t="s">
        <v>1767</v>
      </c>
      <c r="I796" t="s">
        <v>71</v>
      </c>
      <c r="J796" s="3">
        <v>44426</v>
      </c>
      <c r="M796" t="str">
        <f t="shared" si="12"/>
        <v xml:space="preserve"> </v>
      </c>
    </row>
    <row r="797" spans="1:13" x14ac:dyDescent="0.35">
      <c r="A797" t="s">
        <v>3167</v>
      </c>
      <c r="B797" t="s">
        <v>5096</v>
      </c>
      <c r="C797" t="s">
        <v>4341</v>
      </c>
      <c r="D797" t="s">
        <v>1761</v>
      </c>
      <c r="E797" t="s">
        <v>1762</v>
      </c>
      <c r="F797" t="s">
        <v>1069</v>
      </c>
      <c r="G797" t="s">
        <v>1070</v>
      </c>
      <c r="H797" t="s">
        <v>1763</v>
      </c>
      <c r="I797" t="s">
        <v>74</v>
      </c>
      <c r="J797" s="3">
        <v>44917</v>
      </c>
      <c r="M797" t="str">
        <f t="shared" si="12"/>
        <v xml:space="preserve"> </v>
      </c>
    </row>
    <row r="798" spans="1:13" x14ac:dyDescent="0.35">
      <c r="A798" t="s">
        <v>3169</v>
      </c>
      <c r="B798" t="s">
        <v>5097</v>
      </c>
      <c r="C798" t="s">
        <v>4342</v>
      </c>
      <c r="D798" t="s">
        <v>1758</v>
      </c>
      <c r="E798" t="s">
        <v>1759</v>
      </c>
      <c r="F798" t="s">
        <v>1075</v>
      </c>
      <c r="G798" t="s">
        <v>1076</v>
      </c>
      <c r="H798">
        <v>11341</v>
      </c>
      <c r="I798" t="s">
        <v>80</v>
      </c>
      <c r="J798" s="3">
        <v>45112</v>
      </c>
      <c r="M798" t="str">
        <f t="shared" si="12"/>
        <v xml:space="preserve"> </v>
      </c>
    </row>
    <row r="799" spans="1:13" x14ac:dyDescent="0.35">
      <c r="A799" t="s">
        <v>3171</v>
      </c>
      <c r="B799" t="s">
        <v>5098</v>
      </c>
      <c r="C799" t="s">
        <v>4343</v>
      </c>
      <c r="D799" t="s">
        <v>1755</v>
      </c>
      <c r="E799" t="s">
        <v>1756</v>
      </c>
      <c r="F799" t="s">
        <v>72</v>
      </c>
      <c r="G799" t="s">
        <v>73</v>
      </c>
      <c r="H799">
        <v>28046</v>
      </c>
      <c r="I799" t="s">
        <v>71</v>
      </c>
      <c r="J799" s="3">
        <v>44510</v>
      </c>
      <c r="M799" t="str">
        <f t="shared" si="12"/>
        <v xml:space="preserve"> </v>
      </c>
    </row>
    <row r="800" spans="1:13" x14ac:dyDescent="0.35">
      <c r="A800" t="s">
        <v>3173</v>
      </c>
      <c r="B800" t="s">
        <v>5099</v>
      </c>
      <c r="C800" t="s">
        <v>4344</v>
      </c>
      <c r="D800" t="s">
        <v>1752</v>
      </c>
      <c r="E800" t="s">
        <v>1753</v>
      </c>
      <c r="F800" t="s">
        <v>1206</v>
      </c>
      <c r="G800" t="s">
        <v>76</v>
      </c>
      <c r="H800" t="s">
        <v>1207</v>
      </c>
      <c r="I800" t="s">
        <v>74</v>
      </c>
      <c r="J800" s="3">
        <v>44806</v>
      </c>
      <c r="M800" t="str">
        <f t="shared" si="12"/>
        <v xml:space="preserve"> </v>
      </c>
    </row>
    <row r="801" spans="1:13" x14ac:dyDescent="0.35">
      <c r="A801" t="s">
        <v>3175</v>
      </c>
      <c r="B801" t="s">
        <v>5100</v>
      </c>
      <c r="C801" t="s">
        <v>4345</v>
      </c>
      <c r="D801" s="2">
        <v>50624567890</v>
      </c>
      <c r="E801" t="s">
        <v>1750</v>
      </c>
      <c r="F801" t="s">
        <v>1579</v>
      </c>
      <c r="G801" t="s">
        <v>1580</v>
      </c>
      <c r="H801">
        <v>10102</v>
      </c>
      <c r="I801" t="s">
        <v>80</v>
      </c>
      <c r="J801" s="3">
        <v>45105</v>
      </c>
      <c r="M801" t="str">
        <f t="shared" si="12"/>
        <v xml:space="preserve"> </v>
      </c>
    </row>
    <row r="802" spans="1:13" x14ac:dyDescent="0.35">
      <c r="A802" t="s">
        <v>3177</v>
      </c>
      <c r="B802" t="s">
        <v>5101</v>
      </c>
      <c r="C802" t="s">
        <v>4346</v>
      </c>
      <c r="D802" s="2">
        <v>49731123456</v>
      </c>
      <c r="E802" t="s">
        <v>1747</v>
      </c>
      <c r="F802" t="s">
        <v>1748</v>
      </c>
      <c r="G802" t="s">
        <v>91</v>
      </c>
      <c r="H802">
        <v>89073</v>
      </c>
      <c r="I802" t="s">
        <v>71</v>
      </c>
      <c r="J802" s="3">
        <v>44545</v>
      </c>
      <c r="M802" t="str">
        <f t="shared" si="12"/>
        <v xml:space="preserve"> </v>
      </c>
    </row>
    <row r="803" spans="1:13" x14ac:dyDescent="0.35">
      <c r="A803" t="s">
        <v>3179</v>
      </c>
      <c r="B803" t="s">
        <v>5102</v>
      </c>
      <c r="C803" t="s">
        <v>4347</v>
      </c>
      <c r="D803" t="s">
        <v>1743</v>
      </c>
      <c r="E803" t="s">
        <v>1744</v>
      </c>
      <c r="F803" t="s">
        <v>1745</v>
      </c>
      <c r="G803" t="s">
        <v>70</v>
      </c>
      <c r="H803">
        <v>85016</v>
      </c>
      <c r="I803" t="s">
        <v>74</v>
      </c>
      <c r="J803" s="3">
        <v>44844</v>
      </c>
      <c r="M803" t="str">
        <f t="shared" si="12"/>
        <v xml:space="preserve"> </v>
      </c>
    </row>
    <row r="804" spans="1:13" x14ac:dyDescent="0.35">
      <c r="A804" t="s">
        <v>3180</v>
      </c>
      <c r="B804" t="s">
        <v>4883</v>
      </c>
      <c r="C804" t="s">
        <v>4348</v>
      </c>
      <c r="D804" t="s">
        <v>1739</v>
      </c>
      <c r="E804" t="s">
        <v>1740</v>
      </c>
      <c r="F804" t="s">
        <v>1741</v>
      </c>
      <c r="G804" t="s">
        <v>70</v>
      </c>
      <c r="H804">
        <v>306</v>
      </c>
      <c r="I804" t="s">
        <v>80</v>
      </c>
      <c r="J804" s="3">
        <v>45066</v>
      </c>
      <c r="M804" t="str">
        <f t="shared" si="12"/>
        <v xml:space="preserve"> </v>
      </c>
    </row>
    <row r="805" spans="1:13" x14ac:dyDescent="0.35">
      <c r="A805" t="s">
        <v>3182</v>
      </c>
      <c r="B805" t="s">
        <v>5103</v>
      </c>
      <c r="C805" t="s">
        <v>4349</v>
      </c>
      <c r="D805" t="s">
        <v>1734</v>
      </c>
      <c r="E805" t="s">
        <v>1735</v>
      </c>
      <c r="F805" t="s">
        <v>1736</v>
      </c>
      <c r="G805" t="s">
        <v>76</v>
      </c>
      <c r="H805" t="s">
        <v>1737</v>
      </c>
      <c r="I805" t="s">
        <v>71</v>
      </c>
      <c r="J805" s="3">
        <v>44499</v>
      </c>
      <c r="M805" t="str">
        <f t="shared" si="12"/>
        <v xml:space="preserve"> </v>
      </c>
    </row>
    <row r="806" spans="1:13" x14ac:dyDescent="0.35">
      <c r="A806" t="s">
        <v>3184</v>
      </c>
      <c r="B806" t="s">
        <v>5104</v>
      </c>
      <c r="C806" t="s">
        <v>4350</v>
      </c>
      <c r="D806" t="s">
        <v>1729</v>
      </c>
      <c r="E806" t="s">
        <v>1730</v>
      </c>
      <c r="F806" t="s">
        <v>1731</v>
      </c>
      <c r="G806" t="s">
        <v>1070</v>
      </c>
      <c r="H806" t="s">
        <v>1732</v>
      </c>
      <c r="I806" t="s">
        <v>74</v>
      </c>
      <c r="J806" s="3">
        <v>44870</v>
      </c>
      <c r="M806" t="str">
        <f t="shared" si="12"/>
        <v xml:space="preserve"> </v>
      </c>
    </row>
    <row r="807" spans="1:13" x14ac:dyDescent="0.35">
      <c r="A807" t="s">
        <v>3186</v>
      </c>
      <c r="B807" t="s">
        <v>5063</v>
      </c>
      <c r="C807" t="s">
        <v>4351</v>
      </c>
      <c r="D807" t="s">
        <v>1726</v>
      </c>
      <c r="E807" t="s">
        <v>1727</v>
      </c>
      <c r="F807" t="s">
        <v>1166</v>
      </c>
      <c r="G807" t="s">
        <v>1076</v>
      </c>
      <c r="H807">
        <v>21599</v>
      </c>
      <c r="I807" t="s">
        <v>80</v>
      </c>
      <c r="J807" s="3">
        <v>45028</v>
      </c>
      <c r="M807" t="str">
        <f t="shared" si="12"/>
        <v xml:space="preserve"> </v>
      </c>
    </row>
    <row r="808" spans="1:13" x14ac:dyDescent="0.35">
      <c r="A808" t="s">
        <v>3188</v>
      </c>
      <c r="B808" t="s">
        <v>4633</v>
      </c>
      <c r="C808" t="s">
        <v>4352</v>
      </c>
      <c r="D808" t="s">
        <v>1722</v>
      </c>
      <c r="E808" t="s">
        <v>1723</v>
      </c>
      <c r="F808" t="s">
        <v>1724</v>
      </c>
      <c r="G808" t="s">
        <v>73</v>
      </c>
      <c r="H808">
        <v>33003</v>
      </c>
      <c r="I808" t="s">
        <v>71</v>
      </c>
      <c r="J808" s="3">
        <v>44459</v>
      </c>
      <c r="M808" t="str">
        <f t="shared" si="12"/>
        <v xml:space="preserve"> </v>
      </c>
    </row>
    <row r="809" spans="1:13" x14ac:dyDescent="0.35">
      <c r="A809" t="s">
        <v>3190</v>
      </c>
      <c r="B809" t="s">
        <v>5105</v>
      </c>
      <c r="C809" t="s">
        <v>4353</v>
      </c>
      <c r="D809" t="s">
        <v>1717</v>
      </c>
      <c r="E809" t="s">
        <v>1718</v>
      </c>
      <c r="F809" t="s">
        <v>1719</v>
      </c>
      <c r="G809" t="s">
        <v>76</v>
      </c>
      <c r="H809" t="s">
        <v>1720</v>
      </c>
      <c r="I809" t="s">
        <v>74</v>
      </c>
      <c r="J809" s="3">
        <v>44913</v>
      </c>
      <c r="M809" t="str">
        <f t="shared" si="12"/>
        <v xml:space="preserve"> </v>
      </c>
    </row>
    <row r="810" spans="1:13" x14ac:dyDescent="0.35">
      <c r="A810" t="s">
        <v>3192</v>
      </c>
      <c r="B810" t="s">
        <v>5106</v>
      </c>
      <c r="C810" t="s">
        <v>4354</v>
      </c>
      <c r="D810" t="s">
        <v>1712</v>
      </c>
      <c r="E810" t="s">
        <v>1713</v>
      </c>
      <c r="F810" t="s">
        <v>1714</v>
      </c>
      <c r="G810" t="s">
        <v>1715</v>
      </c>
      <c r="H810">
        <v>816</v>
      </c>
      <c r="I810" t="s">
        <v>80</v>
      </c>
      <c r="J810" s="3">
        <v>45003</v>
      </c>
      <c r="M810" t="str">
        <f t="shared" si="12"/>
        <v xml:space="preserve"> </v>
      </c>
    </row>
    <row r="811" spans="1:13" x14ac:dyDescent="0.35">
      <c r="A811" t="s">
        <v>3194</v>
      </c>
      <c r="B811" t="s">
        <v>5107</v>
      </c>
      <c r="C811" t="s">
        <v>4355</v>
      </c>
      <c r="D811" s="2">
        <v>49361123456</v>
      </c>
      <c r="E811" t="s">
        <v>1709</v>
      </c>
      <c r="F811" t="s">
        <v>1710</v>
      </c>
      <c r="G811" t="s">
        <v>91</v>
      </c>
      <c r="H811">
        <v>99084</v>
      </c>
      <c r="I811" t="s">
        <v>71</v>
      </c>
      <c r="J811" s="3">
        <v>44528</v>
      </c>
      <c r="M811" t="str">
        <f t="shared" si="12"/>
        <v xml:space="preserve"> </v>
      </c>
    </row>
    <row r="812" spans="1:13" x14ac:dyDescent="0.35">
      <c r="A812" t="s">
        <v>3196</v>
      </c>
      <c r="B812" t="s">
        <v>5108</v>
      </c>
      <c r="C812" t="s">
        <v>4356</v>
      </c>
      <c r="D812" t="s">
        <v>1705</v>
      </c>
      <c r="E812" t="s">
        <v>1706</v>
      </c>
      <c r="F812" t="s">
        <v>1707</v>
      </c>
      <c r="G812" t="s">
        <v>70</v>
      </c>
      <c r="H812">
        <v>89109</v>
      </c>
      <c r="I812" t="s">
        <v>74</v>
      </c>
      <c r="J812" s="3">
        <v>44829</v>
      </c>
      <c r="M812" t="str">
        <f t="shared" si="12"/>
        <v xml:space="preserve"> </v>
      </c>
    </row>
    <row r="813" spans="1:13" x14ac:dyDescent="0.35">
      <c r="A813" t="s">
        <v>3198</v>
      </c>
      <c r="B813" t="s">
        <v>4762</v>
      </c>
      <c r="C813" t="s">
        <v>4357</v>
      </c>
      <c r="D813" s="2">
        <v>249155123456</v>
      </c>
      <c r="E813" t="s">
        <v>1701</v>
      </c>
      <c r="F813" t="s">
        <v>1702</v>
      </c>
      <c r="G813" t="s">
        <v>1703</v>
      </c>
      <c r="H813">
        <v>11111</v>
      </c>
      <c r="I813" t="s">
        <v>80</v>
      </c>
      <c r="J813" s="3">
        <v>44979</v>
      </c>
      <c r="M813" t="str">
        <f t="shared" si="12"/>
        <v xml:space="preserve"> </v>
      </c>
    </row>
    <row r="814" spans="1:13" x14ac:dyDescent="0.35">
      <c r="A814" t="s">
        <v>3200</v>
      </c>
      <c r="B814" t="s">
        <v>4747</v>
      </c>
      <c r="C814" t="s">
        <v>4358</v>
      </c>
      <c r="D814" t="s">
        <v>1696</v>
      </c>
      <c r="E814" t="s">
        <v>1697</v>
      </c>
      <c r="F814" t="s">
        <v>1698</v>
      </c>
      <c r="G814" t="s">
        <v>76</v>
      </c>
      <c r="H814" t="s">
        <v>1699</v>
      </c>
      <c r="I814" t="s">
        <v>71</v>
      </c>
      <c r="J814" s="3">
        <v>44538</v>
      </c>
      <c r="M814" t="str">
        <f t="shared" si="12"/>
        <v xml:space="preserve"> </v>
      </c>
    </row>
    <row r="815" spans="1:13" x14ac:dyDescent="0.35">
      <c r="A815" t="s">
        <v>3202</v>
      </c>
      <c r="B815" t="s">
        <v>4739</v>
      </c>
      <c r="C815" t="s">
        <v>4359</v>
      </c>
      <c r="D815" t="s">
        <v>1691</v>
      </c>
      <c r="E815" t="s">
        <v>1692</v>
      </c>
      <c r="F815" t="s">
        <v>1693</v>
      </c>
      <c r="G815" t="s">
        <v>1070</v>
      </c>
      <c r="H815" t="s">
        <v>1694</v>
      </c>
      <c r="I815" t="s">
        <v>74</v>
      </c>
      <c r="J815" s="3">
        <v>44854</v>
      </c>
      <c r="M815" t="str">
        <f t="shared" si="12"/>
        <v xml:space="preserve"> </v>
      </c>
    </row>
    <row r="816" spans="1:13" x14ac:dyDescent="0.35">
      <c r="A816" t="s">
        <v>3204</v>
      </c>
      <c r="B816" t="s">
        <v>4904</v>
      </c>
      <c r="C816" t="s">
        <v>4360</v>
      </c>
      <c r="D816" t="s">
        <v>1687</v>
      </c>
      <c r="E816" t="s">
        <v>1688</v>
      </c>
      <c r="F816" t="s">
        <v>1689</v>
      </c>
      <c r="G816" t="s">
        <v>1076</v>
      </c>
      <c r="H816">
        <v>34511</v>
      </c>
      <c r="I816" t="s">
        <v>80</v>
      </c>
      <c r="J816" s="3">
        <v>44941</v>
      </c>
      <c r="M816" t="str">
        <f t="shared" si="12"/>
        <v xml:space="preserve"> </v>
      </c>
    </row>
    <row r="817" spans="1:13" x14ac:dyDescent="0.35">
      <c r="A817" t="s">
        <v>3206</v>
      </c>
      <c r="B817" t="s">
        <v>4708</v>
      </c>
      <c r="C817" t="s">
        <v>4361</v>
      </c>
      <c r="D817" t="s">
        <v>1682</v>
      </c>
      <c r="E817" t="s">
        <v>1683</v>
      </c>
      <c r="F817" t="s">
        <v>1684</v>
      </c>
      <c r="G817" t="s">
        <v>92</v>
      </c>
      <c r="H817" t="s">
        <v>1685</v>
      </c>
      <c r="I817" t="s">
        <v>71</v>
      </c>
      <c r="J817" s="3">
        <v>44438</v>
      </c>
      <c r="M817" t="str">
        <f t="shared" si="12"/>
        <v xml:space="preserve"> </v>
      </c>
    </row>
    <row r="818" spans="1:13" x14ac:dyDescent="0.35">
      <c r="A818" t="s">
        <v>3208</v>
      </c>
      <c r="B818" t="s">
        <v>5109</v>
      </c>
      <c r="C818" t="s">
        <v>4362</v>
      </c>
      <c r="D818" t="s">
        <v>1168</v>
      </c>
      <c r="E818" t="s">
        <v>1679</v>
      </c>
      <c r="F818" t="s">
        <v>1170</v>
      </c>
      <c r="G818" t="s">
        <v>76</v>
      </c>
      <c r="H818" t="s">
        <v>1680</v>
      </c>
      <c r="I818" t="s">
        <v>74</v>
      </c>
      <c r="J818" s="3">
        <v>44877</v>
      </c>
      <c r="M818" t="str">
        <f t="shared" si="12"/>
        <v xml:space="preserve"> </v>
      </c>
    </row>
    <row r="819" spans="1:13" x14ac:dyDescent="0.35">
      <c r="A819" t="s">
        <v>3210</v>
      </c>
      <c r="B819" t="s">
        <v>4846</v>
      </c>
      <c r="C819" t="s">
        <v>4363</v>
      </c>
      <c r="D819" t="s">
        <v>1674</v>
      </c>
      <c r="E819" t="s">
        <v>1675</v>
      </c>
      <c r="F819" t="s">
        <v>1676</v>
      </c>
      <c r="G819" t="s">
        <v>1677</v>
      </c>
      <c r="H819">
        <v>170135</v>
      </c>
      <c r="I819" t="s">
        <v>80</v>
      </c>
      <c r="J819" s="3">
        <v>45265</v>
      </c>
      <c r="M819" t="str">
        <f t="shared" si="12"/>
        <v xml:space="preserve"> </v>
      </c>
    </row>
    <row r="820" spans="1:13" x14ac:dyDescent="0.35">
      <c r="A820" t="s">
        <v>3212</v>
      </c>
      <c r="B820" t="s">
        <v>4577</v>
      </c>
      <c r="C820" t="s">
        <v>4364</v>
      </c>
      <c r="D820" t="s">
        <v>1668</v>
      </c>
      <c r="E820" t="s">
        <v>1669</v>
      </c>
      <c r="F820" t="s">
        <v>1670</v>
      </c>
      <c r="G820" t="s">
        <v>1671</v>
      </c>
      <c r="H820" t="s">
        <v>1672</v>
      </c>
      <c r="I820" t="s">
        <v>71</v>
      </c>
      <c r="J820" s="3">
        <v>44477</v>
      </c>
      <c r="M820" t="str">
        <f t="shared" si="12"/>
        <v xml:space="preserve"> </v>
      </c>
    </row>
    <row r="821" spans="1:13" x14ac:dyDescent="0.35">
      <c r="A821" t="s">
        <v>3214</v>
      </c>
      <c r="B821" t="s">
        <v>5110</v>
      </c>
      <c r="C821" t="s">
        <v>4365</v>
      </c>
      <c r="D821" t="s">
        <v>1664</v>
      </c>
      <c r="E821" t="s">
        <v>1665</v>
      </c>
      <c r="F821" t="s">
        <v>1666</v>
      </c>
      <c r="G821" t="s">
        <v>93</v>
      </c>
      <c r="H821">
        <v>41931</v>
      </c>
      <c r="I821" t="s">
        <v>74</v>
      </c>
      <c r="J821" s="3">
        <v>44803</v>
      </c>
      <c r="M821" t="str">
        <f t="shared" si="12"/>
        <v xml:space="preserve"> </v>
      </c>
    </row>
    <row r="822" spans="1:13" x14ac:dyDescent="0.35">
      <c r="A822" t="s">
        <v>3216</v>
      </c>
      <c r="B822" t="s">
        <v>5111</v>
      </c>
      <c r="C822" t="s">
        <v>4366</v>
      </c>
      <c r="D822" t="s">
        <v>1660</v>
      </c>
      <c r="E822" t="s">
        <v>1661</v>
      </c>
      <c r="F822" t="s">
        <v>1662</v>
      </c>
      <c r="G822" t="s">
        <v>1187</v>
      </c>
      <c r="H822">
        <v>4100</v>
      </c>
      <c r="I822" t="s">
        <v>80</v>
      </c>
      <c r="J822" s="3">
        <v>45258</v>
      </c>
      <c r="M822" t="str">
        <f t="shared" si="12"/>
        <v xml:space="preserve"> </v>
      </c>
    </row>
    <row r="823" spans="1:13" x14ac:dyDescent="0.35">
      <c r="A823" t="s">
        <v>3218</v>
      </c>
      <c r="B823" t="s">
        <v>4771</v>
      </c>
      <c r="C823" t="s">
        <v>4367</v>
      </c>
      <c r="D823" t="s">
        <v>1655</v>
      </c>
      <c r="E823" t="s">
        <v>1656</v>
      </c>
      <c r="F823" t="s">
        <v>1657</v>
      </c>
      <c r="G823" t="s">
        <v>76</v>
      </c>
      <c r="H823" t="s">
        <v>1658</v>
      </c>
      <c r="I823" t="s">
        <v>71</v>
      </c>
      <c r="J823" s="3">
        <v>44515</v>
      </c>
      <c r="M823" t="str">
        <f t="shared" si="12"/>
        <v xml:space="preserve"> </v>
      </c>
    </row>
    <row r="824" spans="1:13" x14ac:dyDescent="0.35">
      <c r="A824" t="s">
        <v>3220</v>
      </c>
      <c r="B824" t="s">
        <v>5112</v>
      </c>
      <c r="C824" t="s">
        <v>4368</v>
      </c>
      <c r="D824" t="s">
        <v>1650</v>
      </c>
      <c r="E824" t="s">
        <v>1651</v>
      </c>
      <c r="F824" t="s">
        <v>1652</v>
      </c>
      <c r="G824" t="s">
        <v>1070</v>
      </c>
      <c r="H824" t="s">
        <v>1653</v>
      </c>
      <c r="I824" t="s">
        <v>74</v>
      </c>
      <c r="J824" s="3">
        <v>44812</v>
      </c>
      <c r="M824" t="str">
        <f t="shared" si="12"/>
        <v xml:space="preserve"> </v>
      </c>
    </row>
    <row r="825" spans="1:13" x14ac:dyDescent="0.35">
      <c r="A825" t="s">
        <v>3222</v>
      </c>
      <c r="B825" t="s">
        <v>5113</v>
      </c>
      <c r="C825" t="s">
        <v>4369</v>
      </c>
      <c r="D825" t="s">
        <v>1646</v>
      </c>
      <c r="E825" t="s">
        <v>1647</v>
      </c>
      <c r="F825" t="s">
        <v>1648</v>
      </c>
      <c r="G825" t="s">
        <v>1076</v>
      </c>
      <c r="H825">
        <v>43511</v>
      </c>
      <c r="I825" t="s">
        <v>80</v>
      </c>
      <c r="J825" s="3">
        <v>45201</v>
      </c>
      <c r="M825" t="str">
        <f t="shared" si="12"/>
        <v xml:space="preserve"> </v>
      </c>
    </row>
    <row r="826" spans="1:13" x14ac:dyDescent="0.35">
      <c r="A826" t="s">
        <v>3224</v>
      </c>
      <c r="B826" t="s">
        <v>5114</v>
      </c>
      <c r="C826" t="s">
        <v>4370</v>
      </c>
      <c r="D826" t="s">
        <v>1642</v>
      </c>
      <c r="E826" t="s">
        <v>1643</v>
      </c>
      <c r="F826" t="s">
        <v>1644</v>
      </c>
      <c r="G826" t="s">
        <v>115</v>
      </c>
      <c r="H826">
        <v>8000</v>
      </c>
      <c r="I826" t="s">
        <v>71</v>
      </c>
      <c r="J826" s="3">
        <v>44555</v>
      </c>
      <c r="M826" t="str">
        <f t="shared" si="12"/>
        <v xml:space="preserve"> </v>
      </c>
    </row>
    <row r="827" spans="1:13" x14ac:dyDescent="0.35">
      <c r="A827" t="s">
        <v>3226</v>
      </c>
      <c r="B827" t="s">
        <v>1509</v>
      </c>
      <c r="C827" t="s">
        <v>4371</v>
      </c>
      <c r="D827" t="s">
        <v>1637</v>
      </c>
      <c r="E827" t="s">
        <v>1638</v>
      </c>
      <c r="F827" t="s">
        <v>1639</v>
      </c>
      <c r="G827" t="s">
        <v>76</v>
      </c>
      <c r="H827" t="s">
        <v>1640</v>
      </c>
      <c r="I827" t="s">
        <v>74</v>
      </c>
      <c r="J827" s="3">
        <v>44862</v>
      </c>
      <c r="M827" t="str">
        <f t="shared" si="12"/>
        <v xml:space="preserve"> </v>
      </c>
    </row>
    <row r="828" spans="1:13" x14ac:dyDescent="0.35">
      <c r="A828" t="s">
        <v>3228</v>
      </c>
      <c r="B828" t="s">
        <v>4803</v>
      </c>
      <c r="C828" t="s">
        <v>4372</v>
      </c>
      <c r="D828" s="2">
        <v>582121234567</v>
      </c>
      <c r="E828" t="s">
        <v>1633</v>
      </c>
      <c r="F828" t="s">
        <v>1634</v>
      </c>
      <c r="G828" t="s">
        <v>1635</v>
      </c>
      <c r="H828">
        <v>1050</v>
      </c>
      <c r="I828" t="s">
        <v>80</v>
      </c>
      <c r="J828" s="3">
        <v>45183</v>
      </c>
      <c r="M828" t="str">
        <f t="shared" si="12"/>
        <v xml:space="preserve"> </v>
      </c>
    </row>
    <row r="829" spans="1:13" x14ac:dyDescent="0.35">
      <c r="A829" t="s">
        <v>3230</v>
      </c>
      <c r="B829" t="s">
        <v>4731</v>
      </c>
      <c r="C829" t="s">
        <v>4373</v>
      </c>
      <c r="D829" t="s">
        <v>1628</v>
      </c>
      <c r="E829" t="s">
        <v>1629</v>
      </c>
      <c r="F829" t="s">
        <v>1630</v>
      </c>
      <c r="G829" t="s">
        <v>1111</v>
      </c>
      <c r="H829" t="s">
        <v>1631</v>
      </c>
      <c r="I829" t="s">
        <v>71</v>
      </c>
      <c r="J829" s="3">
        <v>44444</v>
      </c>
      <c r="M829" t="str">
        <f t="shared" si="12"/>
        <v xml:space="preserve"> </v>
      </c>
    </row>
    <row r="830" spans="1:13" x14ac:dyDescent="0.35">
      <c r="A830" t="s">
        <v>3232</v>
      </c>
      <c r="B830" t="s">
        <v>5108</v>
      </c>
      <c r="C830" t="s">
        <v>4374</v>
      </c>
      <c r="D830" t="s">
        <v>1623</v>
      </c>
      <c r="E830" t="s">
        <v>1624</v>
      </c>
      <c r="F830" t="s">
        <v>1625</v>
      </c>
      <c r="G830" t="s">
        <v>109</v>
      </c>
      <c r="H830" t="s">
        <v>1626</v>
      </c>
      <c r="I830" t="s">
        <v>74</v>
      </c>
      <c r="J830" s="3">
        <v>44887</v>
      </c>
      <c r="M830" t="str">
        <f t="shared" si="12"/>
        <v xml:space="preserve"> </v>
      </c>
    </row>
    <row r="831" spans="1:13" x14ac:dyDescent="0.35">
      <c r="A831" t="s">
        <v>3234</v>
      </c>
      <c r="B831" t="s">
        <v>5115</v>
      </c>
      <c r="C831" t="s">
        <v>4375</v>
      </c>
      <c r="D831" t="s">
        <v>1618</v>
      </c>
      <c r="E831" t="s">
        <v>1619</v>
      </c>
      <c r="F831" t="s">
        <v>1620</v>
      </c>
      <c r="G831" t="s">
        <v>1621</v>
      </c>
      <c r="H831">
        <v>10001</v>
      </c>
      <c r="I831" t="s">
        <v>80</v>
      </c>
      <c r="J831" s="3">
        <v>45160</v>
      </c>
      <c r="M831" t="str">
        <f t="shared" si="12"/>
        <v xml:space="preserve"> </v>
      </c>
    </row>
    <row r="832" spans="1:13" x14ac:dyDescent="0.35">
      <c r="A832" t="s">
        <v>3236</v>
      </c>
      <c r="B832" t="s">
        <v>4687</v>
      </c>
      <c r="C832" t="s">
        <v>4376</v>
      </c>
      <c r="D832" t="s">
        <v>1613</v>
      </c>
      <c r="E832" t="s">
        <v>1614</v>
      </c>
      <c r="F832" t="s">
        <v>1615</v>
      </c>
      <c r="G832" t="s">
        <v>76</v>
      </c>
      <c r="H832" t="s">
        <v>1616</v>
      </c>
      <c r="I832" t="s">
        <v>71</v>
      </c>
      <c r="J832" s="3">
        <v>44481</v>
      </c>
      <c r="M832" t="str">
        <f t="shared" si="12"/>
        <v xml:space="preserve"> </v>
      </c>
    </row>
    <row r="833" spans="1:13" x14ac:dyDescent="0.35">
      <c r="A833" t="s">
        <v>3238</v>
      </c>
      <c r="B833" t="s">
        <v>5116</v>
      </c>
      <c r="C833" t="s">
        <v>4377</v>
      </c>
      <c r="D833" t="s">
        <v>1608</v>
      </c>
      <c r="E833" t="s">
        <v>1609</v>
      </c>
      <c r="F833" t="s">
        <v>1610</v>
      </c>
      <c r="G833" t="s">
        <v>1611</v>
      </c>
      <c r="H833">
        <v>100</v>
      </c>
      <c r="I833" t="s">
        <v>74</v>
      </c>
      <c r="J833" s="3">
        <v>44909</v>
      </c>
      <c r="M833" t="str">
        <f t="shared" si="12"/>
        <v xml:space="preserve"> </v>
      </c>
    </row>
    <row r="834" spans="1:13" x14ac:dyDescent="0.35">
      <c r="A834" t="s">
        <v>3240</v>
      </c>
      <c r="B834" t="s">
        <v>5117</v>
      </c>
      <c r="C834" t="s">
        <v>4378</v>
      </c>
      <c r="D834" t="s">
        <v>1604</v>
      </c>
      <c r="E834" t="s">
        <v>1605</v>
      </c>
      <c r="F834" t="s">
        <v>1606</v>
      </c>
      <c r="G834" t="s">
        <v>1076</v>
      </c>
      <c r="H834">
        <v>42511</v>
      </c>
      <c r="I834" t="s">
        <v>80</v>
      </c>
      <c r="J834" s="3">
        <v>45125</v>
      </c>
      <c r="M834" t="str">
        <f t="shared" si="12"/>
        <v xml:space="preserve"> </v>
      </c>
    </row>
    <row r="835" spans="1:13" x14ac:dyDescent="0.35">
      <c r="A835" t="s">
        <v>3242</v>
      </c>
      <c r="B835" t="s">
        <v>5118</v>
      </c>
      <c r="C835" t="s">
        <v>4379</v>
      </c>
      <c r="D835" t="s">
        <v>1600</v>
      </c>
      <c r="E835" t="s">
        <v>1601</v>
      </c>
      <c r="F835" t="s">
        <v>1602</v>
      </c>
      <c r="G835" t="s">
        <v>73</v>
      </c>
      <c r="H835">
        <v>48001</v>
      </c>
      <c r="I835" t="s">
        <v>71</v>
      </c>
      <c r="J835" s="3">
        <v>44505</v>
      </c>
      <c r="M835" t="str">
        <f t="shared" si="12"/>
        <v xml:space="preserve"> </v>
      </c>
    </row>
    <row r="836" spans="1:13" x14ac:dyDescent="0.35">
      <c r="A836" t="s">
        <v>3244</v>
      </c>
      <c r="B836" t="s">
        <v>4955</v>
      </c>
      <c r="C836" t="s">
        <v>4380</v>
      </c>
      <c r="D836" t="s">
        <v>1595</v>
      </c>
      <c r="E836" t="s">
        <v>1596</v>
      </c>
      <c r="F836" t="s">
        <v>1597</v>
      </c>
      <c r="G836" t="s">
        <v>76</v>
      </c>
      <c r="H836" t="s">
        <v>1598</v>
      </c>
      <c r="I836" t="s">
        <v>74</v>
      </c>
      <c r="J836" s="3">
        <v>44821</v>
      </c>
      <c r="M836" t="str">
        <f t="shared" ref="M836:M899" si="13">V836&amp;" "&amp;W836</f>
        <v xml:space="preserve"> </v>
      </c>
    </row>
    <row r="837" spans="1:13" x14ac:dyDescent="0.35">
      <c r="A837" t="s">
        <v>3246</v>
      </c>
      <c r="B837" t="s">
        <v>5119</v>
      </c>
      <c r="C837" t="s">
        <v>4381</v>
      </c>
      <c r="D837" t="s">
        <v>1589</v>
      </c>
      <c r="E837" t="s">
        <v>1590</v>
      </c>
      <c r="F837" t="s">
        <v>1591</v>
      </c>
      <c r="G837" t="s">
        <v>1592</v>
      </c>
      <c r="H837" t="s">
        <v>1593</v>
      </c>
      <c r="I837" t="s">
        <v>80</v>
      </c>
      <c r="J837" s="3">
        <v>45074</v>
      </c>
      <c r="M837" t="str">
        <f t="shared" si="13"/>
        <v xml:space="preserve"> </v>
      </c>
    </row>
    <row r="838" spans="1:13" x14ac:dyDescent="0.35">
      <c r="A838" t="s">
        <v>3248</v>
      </c>
      <c r="B838" t="s">
        <v>4924</v>
      </c>
      <c r="C838" t="s">
        <v>4382</v>
      </c>
      <c r="D838" t="s">
        <v>1585</v>
      </c>
      <c r="E838" t="s">
        <v>1586</v>
      </c>
      <c r="F838" t="s">
        <v>1587</v>
      </c>
      <c r="G838" t="s">
        <v>87</v>
      </c>
      <c r="H838">
        <v>600002</v>
      </c>
      <c r="I838" t="s">
        <v>71</v>
      </c>
      <c r="J838" s="3">
        <v>44425</v>
      </c>
      <c r="M838" t="str">
        <f t="shared" si="13"/>
        <v xml:space="preserve"> </v>
      </c>
    </row>
    <row r="839" spans="1:13" x14ac:dyDescent="0.35">
      <c r="A839" t="s">
        <v>3250</v>
      </c>
      <c r="B839" t="s">
        <v>4932</v>
      </c>
      <c r="C839" t="s">
        <v>4383</v>
      </c>
      <c r="D839" s="2">
        <v>49351123456</v>
      </c>
      <c r="E839" t="s">
        <v>1582</v>
      </c>
      <c r="F839" t="s">
        <v>1583</v>
      </c>
      <c r="G839" t="s">
        <v>91</v>
      </c>
      <c r="H839">
        <v>1067</v>
      </c>
      <c r="I839" t="s">
        <v>74</v>
      </c>
      <c r="J839" s="3">
        <v>44842</v>
      </c>
      <c r="M839" t="str">
        <f t="shared" si="13"/>
        <v xml:space="preserve"> </v>
      </c>
    </row>
    <row r="840" spans="1:13" x14ac:dyDescent="0.35">
      <c r="A840" t="s">
        <v>3251</v>
      </c>
      <c r="B840" t="s">
        <v>4905</v>
      </c>
      <c r="C840" t="s">
        <v>4384</v>
      </c>
      <c r="D840" s="2">
        <v>50622345678</v>
      </c>
      <c r="E840" t="s">
        <v>1578</v>
      </c>
      <c r="F840" t="s">
        <v>1579</v>
      </c>
      <c r="G840" t="s">
        <v>1580</v>
      </c>
      <c r="H840">
        <v>10101</v>
      </c>
      <c r="I840" t="s">
        <v>80</v>
      </c>
      <c r="J840" s="3">
        <v>45079</v>
      </c>
      <c r="M840" t="str">
        <f t="shared" si="13"/>
        <v xml:space="preserve"> </v>
      </c>
    </row>
    <row r="841" spans="1:13" x14ac:dyDescent="0.35">
      <c r="A841" t="s">
        <v>3253</v>
      </c>
      <c r="B841" t="s">
        <v>5120</v>
      </c>
      <c r="C841" t="s">
        <v>4385</v>
      </c>
      <c r="D841" s="2">
        <v>85256789012</v>
      </c>
      <c r="E841" t="s">
        <v>1576</v>
      </c>
      <c r="F841" t="s">
        <v>1428</v>
      </c>
      <c r="G841" t="s">
        <v>89</v>
      </c>
      <c r="H841">
        <v>999077</v>
      </c>
      <c r="I841" t="s">
        <v>71</v>
      </c>
      <c r="J841" s="3">
        <v>44464</v>
      </c>
      <c r="M841" t="str">
        <f t="shared" si="13"/>
        <v xml:space="preserve"> </v>
      </c>
    </row>
    <row r="842" spans="1:13" x14ac:dyDescent="0.35">
      <c r="A842" t="s">
        <v>3255</v>
      </c>
      <c r="B842" t="s">
        <v>5060</v>
      </c>
      <c r="C842" t="s">
        <v>4386</v>
      </c>
      <c r="D842" t="s">
        <v>1571</v>
      </c>
      <c r="E842" t="s">
        <v>1572</v>
      </c>
      <c r="F842" t="s">
        <v>1573</v>
      </c>
      <c r="G842" t="s">
        <v>1574</v>
      </c>
      <c r="H842">
        <v>154</v>
      </c>
      <c r="I842" t="s">
        <v>74</v>
      </c>
      <c r="J842" s="3">
        <v>44895</v>
      </c>
      <c r="M842" t="str">
        <f t="shared" si="13"/>
        <v xml:space="preserve"> </v>
      </c>
    </row>
    <row r="843" spans="1:13" x14ac:dyDescent="0.35">
      <c r="A843" t="s">
        <v>3257</v>
      </c>
      <c r="B843" t="s">
        <v>5121</v>
      </c>
      <c r="C843" t="s">
        <v>4387</v>
      </c>
      <c r="D843" t="s">
        <v>1566</v>
      </c>
      <c r="E843" t="s">
        <v>1567</v>
      </c>
      <c r="F843" t="s">
        <v>1568</v>
      </c>
      <c r="G843" t="s">
        <v>1569</v>
      </c>
      <c r="H843">
        <v>113</v>
      </c>
      <c r="I843" t="s">
        <v>80</v>
      </c>
      <c r="J843" s="3">
        <v>45021</v>
      </c>
      <c r="M843" t="str">
        <f t="shared" si="13"/>
        <v xml:space="preserve"> </v>
      </c>
    </row>
    <row r="844" spans="1:13" x14ac:dyDescent="0.35">
      <c r="A844" t="s">
        <v>3259</v>
      </c>
      <c r="B844" t="s">
        <v>5122</v>
      </c>
      <c r="C844" t="s">
        <v>4388</v>
      </c>
      <c r="D844" t="s">
        <v>1562</v>
      </c>
      <c r="E844" t="s">
        <v>1563</v>
      </c>
      <c r="F844" t="s">
        <v>1564</v>
      </c>
      <c r="G844" t="s">
        <v>93</v>
      </c>
      <c r="H844">
        <v>48924</v>
      </c>
      <c r="I844" t="s">
        <v>71</v>
      </c>
      <c r="J844" s="3">
        <v>44550</v>
      </c>
      <c r="M844" t="str">
        <f t="shared" si="13"/>
        <v xml:space="preserve"> </v>
      </c>
    </row>
    <row r="845" spans="1:13" x14ac:dyDescent="0.35">
      <c r="A845" t="s">
        <v>3261</v>
      </c>
      <c r="B845" t="s">
        <v>5123</v>
      </c>
      <c r="C845" t="s">
        <v>4389</v>
      </c>
      <c r="D845" s="2">
        <v>390551234567</v>
      </c>
      <c r="E845" t="s">
        <v>1559</v>
      </c>
      <c r="F845" t="s">
        <v>1560</v>
      </c>
      <c r="G845" t="s">
        <v>82</v>
      </c>
      <c r="H845">
        <v>50122</v>
      </c>
      <c r="I845" t="s">
        <v>74</v>
      </c>
      <c r="J845" s="3">
        <v>44787</v>
      </c>
      <c r="M845" t="str">
        <f t="shared" si="13"/>
        <v xml:space="preserve"> </v>
      </c>
    </row>
    <row r="846" spans="1:13" x14ac:dyDescent="0.35">
      <c r="A846" t="s">
        <v>3263</v>
      </c>
      <c r="B846" t="s">
        <v>5124</v>
      </c>
      <c r="C846" t="s">
        <v>4390</v>
      </c>
      <c r="D846" t="s">
        <v>1555</v>
      </c>
      <c r="E846" t="s">
        <v>1556</v>
      </c>
      <c r="F846" t="s">
        <v>1557</v>
      </c>
      <c r="G846" t="s">
        <v>1090</v>
      </c>
      <c r="H846">
        <v>44000</v>
      </c>
      <c r="I846" t="s">
        <v>80</v>
      </c>
      <c r="J846" s="3">
        <v>45007</v>
      </c>
      <c r="M846" t="str">
        <f t="shared" si="13"/>
        <v xml:space="preserve"> </v>
      </c>
    </row>
    <row r="847" spans="1:13" x14ac:dyDescent="0.35">
      <c r="A847" t="s">
        <v>3265</v>
      </c>
      <c r="B847" t="s">
        <v>4884</v>
      </c>
      <c r="C847" t="s">
        <v>4391</v>
      </c>
      <c r="D847" t="s">
        <v>1551</v>
      </c>
      <c r="E847" t="s">
        <v>1552</v>
      </c>
      <c r="F847" t="s">
        <v>1553</v>
      </c>
      <c r="G847" t="s">
        <v>89</v>
      </c>
      <c r="H847">
        <v>610016</v>
      </c>
      <c r="I847" t="s">
        <v>71</v>
      </c>
      <c r="J847" s="3">
        <v>44610</v>
      </c>
      <c r="M847" t="str">
        <f t="shared" si="13"/>
        <v xml:space="preserve"> </v>
      </c>
    </row>
    <row r="848" spans="1:13" x14ac:dyDescent="0.35">
      <c r="A848" t="s">
        <v>3267</v>
      </c>
      <c r="B848" t="s">
        <v>4626</v>
      </c>
      <c r="C848" t="s">
        <v>4392</v>
      </c>
      <c r="D848" s="2">
        <v>49221123456</v>
      </c>
      <c r="E848" t="s">
        <v>1548</v>
      </c>
      <c r="F848" t="s">
        <v>1549</v>
      </c>
      <c r="G848" t="s">
        <v>91</v>
      </c>
      <c r="H848">
        <v>50667</v>
      </c>
      <c r="I848" t="s">
        <v>74</v>
      </c>
      <c r="J848" s="3">
        <v>44936</v>
      </c>
      <c r="M848" t="str">
        <f t="shared" si="13"/>
        <v xml:space="preserve"> </v>
      </c>
    </row>
    <row r="849" spans="1:13" x14ac:dyDescent="0.35">
      <c r="A849" t="s">
        <v>3269</v>
      </c>
      <c r="B849" t="s">
        <v>5078</v>
      </c>
      <c r="C849" t="s">
        <v>4393</v>
      </c>
      <c r="D849" t="s">
        <v>1543</v>
      </c>
      <c r="E849" t="s">
        <v>1544</v>
      </c>
      <c r="F849" t="s">
        <v>119</v>
      </c>
      <c r="G849" t="s">
        <v>76</v>
      </c>
      <c r="H849" t="s">
        <v>1545</v>
      </c>
      <c r="I849" t="s">
        <v>80</v>
      </c>
      <c r="J849" s="3">
        <v>44915</v>
      </c>
      <c r="M849" t="str">
        <f t="shared" si="13"/>
        <v xml:space="preserve"> </v>
      </c>
    </row>
    <row r="850" spans="1:13" x14ac:dyDescent="0.35">
      <c r="A850" t="s">
        <v>3271</v>
      </c>
      <c r="B850" t="s">
        <v>5125</v>
      </c>
      <c r="C850" t="s">
        <v>4394</v>
      </c>
      <c r="D850" t="s">
        <v>1540</v>
      </c>
      <c r="E850" t="s">
        <v>1541</v>
      </c>
      <c r="F850" t="s">
        <v>72</v>
      </c>
      <c r="G850" t="s">
        <v>73</v>
      </c>
      <c r="H850">
        <v>28004</v>
      </c>
      <c r="I850" t="s">
        <v>74</v>
      </c>
      <c r="J850" s="3">
        <v>45174</v>
      </c>
      <c r="M850" t="str">
        <f t="shared" si="13"/>
        <v xml:space="preserve"> </v>
      </c>
    </row>
    <row r="851" spans="1:13" x14ac:dyDescent="0.35">
      <c r="A851" t="s">
        <v>3273</v>
      </c>
      <c r="B851" t="s">
        <v>5126</v>
      </c>
      <c r="C851" t="s">
        <v>4395</v>
      </c>
      <c r="D851" t="s">
        <v>1537</v>
      </c>
      <c r="E851" t="s">
        <v>1538</v>
      </c>
      <c r="F851" t="s">
        <v>1467</v>
      </c>
      <c r="G851" t="s">
        <v>1468</v>
      </c>
      <c r="H851">
        <v>10000</v>
      </c>
      <c r="I851" t="s">
        <v>71</v>
      </c>
      <c r="J851" s="3">
        <v>44530</v>
      </c>
      <c r="M851" t="str">
        <f t="shared" si="13"/>
        <v xml:space="preserve"> </v>
      </c>
    </row>
    <row r="852" spans="1:13" x14ac:dyDescent="0.35">
      <c r="A852" t="s">
        <v>3275</v>
      </c>
      <c r="B852" t="s">
        <v>5127</v>
      </c>
      <c r="C852" t="s">
        <v>4396</v>
      </c>
      <c r="D852" s="2">
        <v>6578901234</v>
      </c>
      <c r="E852" t="s">
        <v>1535</v>
      </c>
      <c r="F852" t="s">
        <v>1145</v>
      </c>
      <c r="G852" t="s">
        <v>1145</v>
      </c>
      <c r="H852">
        <v>238875</v>
      </c>
      <c r="I852" t="s">
        <v>80</v>
      </c>
      <c r="J852" s="3">
        <v>44839</v>
      </c>
      <c r="M852" t="str">
        <f t="shared" si="13"/>
        <v xml:space="preserve"> </v>
      </c>
    </row>
    <row r="853" spans="1:13" x14ac:dyDescent="0.35">
      <c r="A853" t="s">
        <v>3277</v>
      </c>
      <c r="B853" t="s">
        <v>4663</v>
      </c>
      <c r="C853" t="s">
        <v>4397</v>
      </c>
      <c r="D853" t="s">
        <v>1532</v>
      </c>
      <c r="E853" t="s">
        <v>1533</v>
      </c>
      <c r="F853" t="s">
        <v>1299</v>
      </c>
      <c r="G853" t="s">
        <v>1090</v>
      </c>
      <c r="H853">
        <v>54660</v>
      </c>
      <c r="I853" t="s">
        <v>74</v>
      </c>
      <c r="J853" s="3">
        <v>45240</v>
      </c>
      <c r="M853" t="str">
        <f t="shared" si="13"/>
        <v xml:space="preserve"> </v>
      </c>
    </row>
    <row r="854" spans="1:13" x14ac:dyDescent="0.35">
      <c r="A854" t="s">
        <v>3279</v>
      </c>
      <c r="B854" t="s">
        <v>5128</v>
      </c>
      <c r="C854" t="s">
        <v>4398</v>
      </c>
      <c r="D854" t="s">
        <v>1529</v>
      </c>
      <c r="E854" t="s">
        <v>1530</v>
      </c>
      <c r="F854" t="s">
        <v>1149</v>
      </c>
      <c r="G854" t="s">
        <v>1150</v>
      </c>
      <c r="H854">
        <v>2300</v>
      </c>
      <c r="I854" t="s">
        <v>71</v>
      </c>
      <c r="J854" s="3">
        <v>44433</v>
      </c>
      <c r="M854" t="str">
        <f t="shared" si="13"/>
        <v xml:space="preserve"> </v>
      </c>
    </row>
    <row r="855" spans="1:13" x14ac:dyDescent="0.35">
      <c r="A855" t="s">
        <v>3281</v>
      </c>
      <c r="B855" t="s">
        <v>5129</v>
      </c>
      <c r="C855" t="s">
        <v>4399</v>
      </c>
      <c r="D855" t="s">
        <v>1526</v>
      </c>
      <c r="E855" t="s">
        <v>1527</v>
      </c>
      <c r="F855" t="s">
        <v>1121</v>
      </c>
      <c r="G855" t="s">
        <v>87</v>
      </c>
      <c r="H855">
        <v>380015</v>
      </c>
      <c r="I855" t="s">
        <v>80</v>
      </c>
      <c r="J855" s="3">
        <v>44812</v>
      </c>
      <c r="M855" t="str">
        <f t="shared" si="13"/>
        <v xml:space="preserve"> </v>
      </c>
    </row>
    <row r="856" spans="1:13" x14ac:dyDescent="0.35">
      <c r="A856" t="s">
        <v>3283</v>
      </c>
      <c r="B856" t="s">
        <v>4724</v>
      </c>
      <c r="C856" t="s">
        <v>4400</v>
      </c>
      <c r="D856" t="s">
        <v>1521</v>
      </c>
      <c r="E856" t="s">
        <v>1522</v>
      </c>
      <c r="F856" t="s">
        <v>1523</v>
      </c>
      <c r="G856" t="s">
        <v>1524</v>
      </c>
      <c r="H856">
        <v>11000</v>
      </c>
      <c r="I856" t="s">
        <v>74</v>
      </c>
      <c r="J856" s="3">
        <v>45214</v>
      </c>
      <c r="M856" t="str">
        <f t="shared" si="13"/>
        <v xml:space="preserve"> </v>
      </c>
    </row>
    <row r="857" spans="1:13" x14ac:dyDescent="0.35">
      <c r="A857" t="s">
        <v>3285</v>
      </c>
      <c r="B857" t="s">
        <v>5002</v>
      </c>
      <c r="C857" t="s">
        <v>4401</v>
      </c>
      <c r="D857" t="s">
        <v>1518</v>
      </c>
      <c r="E857" t="s">
        <v>1519</v>
      </c>
      <c r="F857" t="s">
        <v>1166</v>
      </c>
      <c r="G857" t="s">
        <v>1076</v>
      </c>
      <c r="H857">
        <v>21599</v>
      </c>
      <c r="I857" t="s">
        <v>71</v>
      </c>
      <c r="J857" s="3">
        <v>44497</v>
      </c>
      <c r="M857" t="str">
        <f t="shared" si="13"/>
        <v xml:space="preserve"> </v>
      </c>
    </row>
    <row r="858" spans="1:13" x14ac:dyDescent="0.35">
      <c r="A858" t="s">
        <v>3287</v>
      </c>
      <c r="B858" t="s">
        <v>4570</v>
      </c>
      <c r="C858" t="s">
        <v>4402</v>
      </c>
      <c r="D858" t="s">
        <v>1514</v>
      </c>
      <c r="E858" t="s">
        <v>1515</v>
      </c>
      <c r="F858" t="s">
        <v>75</v>
      </c>
      <c r="G858" t="s">
        <v>76</v>
      </c>
      <c r="H858" t="s">
        <v>1516</v>
      </c>
      <c r="I858" t="s">
        <v>80</v>
      </c>
      <c r="J858" s="3">
        <v>44907</v>
      </c>
      <c r="M858" t="str">
        <f t="shared" si="13"/>
        <v xml:space="preserve"> </v>
      </c>
    </row>
    <row r="859" spans="1:13" x14ac:dyDescent="0.35">
      <c r="A859" t="s">
        <v>3289</v>
      </c>
      <c r="B859" t="s">
        <v>4564</v>
      </c>
      <c r="C859" t="s">
        <v>4403</v>
      </c>
      <c r="D859" t="s">
        <v>1510</v>
      </c>
      <c r="E859" t="s">
        <v>1511</v>
      </c>
      <c r="F859" t="s">
        <v>1512</v>
      </c>
      <c r="G859" t="s">
        <v>70</v>
      </c>
      <c r="H859">
        <v>77002</v>
      </c>
      <c r="I859" t="s">
        <v>74</v>
      </c>
      <c r="J859" s="3">
        <v>45126</v>
      </c>
      <c r="M859" t="str">
        <f t="shared" si="13"/>
        <v xml:space="preserve"> </v>
      </c>
    </row>
    <row r="860" spans="1:13" x14ac:dyDescent="0.35">
      <c r="A860" t="s">
        <v>3291</v>
      </c>
      <c r="B860" t="s">
        <v>5011</v>
      </c>
      <c r="C860" t="s">
        <v>4404</v>
      </c>
      <c r="D860" t="s">
        <v>1505</v>
      </c>
      <c r="E860" t="s">
        <v>1506</v>
      </c>
      <c r="F860" t="s">
        <v>1284</v>
      </c>
      <c r="G860" t="s">
        <v>115</v>
      </c>
      <c r="H860" t="s">
        <v>1507</v>
      </c>
      <c r="I860" t="s">
        <v>71</v>
      </c>
      <c r="J860" s="3">
        <v>44451</v>
      </c>
      <c r="M860" t="str">
        <f t="shared" si="13"/>
        <v xml:space="preserve"> </v>
      </c>
    </row>
    <row r="861" spans="1:13" x14ac:dyDescent="0.35">
      <c r="A861" t="s">
        <v>3293</v>
      </c>
      <c r="B861" t="s">
        <v>4988</v>
      </c>
      <c r="C861" t="s">
        <v>4405</v>
      </c>
      <c r="D861" t="s">
        <v>1501</v>
      </c>
      <c r="E861" t="s">
        <v>1502</v>
      </c>
      <c r="F861" t="s">
        <v>119</v>
      </c>
      <c r="G861" t="s">
        <v>76</v>
      </c>
      <c r="H861" t="s">
        <v>1503</v>
      </c>
      <c r="I861" t="s">
        <v>80</v>
      </c>
      <c r="J861" s="3">
        <v>44890</v>
      </c>
      <c r="M861" t="str">
        <f t="shared" si="13"/>
        <v xml:space="preserve"> </v>
      </c>
    </row>
    <row r="862" spans="1:13" x14ac:dyDescent="0.35">
      <c r="A862" t="s">
        <v>3295</v>
      </c>
      <c r="B862" t="s">
        <v>5130</v>
      </c>
      <c r="C862" t="s">
        <v>4406</v>
      </c>
      <c r="D862" t="s">
        <v>1498</v>
      </c>
      <c r="E862" t="s">
        <v>1499</v>
      </c>
      <c r="F862" t="s">
        <v>84</v>
      </c>
      <c r="G862" t="s">
        <v>85</v>
      </c>
      <c r="H862">
        <v>75001</v>
      </c>
      <c r="I862" t="s">
        <v>74</v>
      </c>
      <c r="J862" s="3">
        <v>45140</v>
      </c>
      <c r="M862" t="str">
        <f t="shared" si="13"/>
        <v xml:space="preserve"> </v>
      </c>
    </row>
    <row r="863" spans="1:13" x14ac:dyDescent="0.35">
      <c r="A863" t="s">
        <v>3297</v>
      </c>
      <c r="B863" t="s">
        <v>5131</v>
      </c>
      <c r="C863" t="s">
        <v>4407</v>
      </c>
      <c r="D863" t="s">
        <v>1495</v>
      </c>
      <c r="E863" t="s">
        <v>1496</v>
      </c>
      <c r="F863" t="s">
        <v>1075</v>
      </c>
      <c r="G863" t="s">
        <v>1076</v>
      </c>
      <c r="H863">
        <v>11431</v>
      </c>
      <c r="I863" t="s">
        <v>71</v>
      </c>
      <c r="J863" s="3">
        <v>44535</v>
      </c>
      <c r="M863" t="str">
        <f t="shared" si="13"/>
        <v xml:space="preserve"> </v>
      </c>
    </row>
    <row r="864" spans="1:13" x14ac:dyDescent="0.35">
      <c r="A864" t="s">
        <v>3299</v>
      </c>
      <c r="B864" t="s">
        <v>4919</v>
      </c>
      <c r="C864" t="s">
        <v>4408</v>
      </c>
      <c r="D864" t="s">
        <v>1491</v>
      </c>
      <c r="E864" t="s">
        <v>1492</v>
      </c>
      <c r="F864" t="s">
        <v>114</v>
      </c>
      <c r="G864" t="s">
        <v>115</v>
      </c>
      <c r="H864" t="s">
        <v>1493</v>
      </c>
      <c r="I864" t="s">
        <v>80</v>
      </c>
      <c r="J864" s="3">
        <v>44790</v>
      </c>
      <c r="M864" t="str">
        <f t="shared" si="13"/>
        <v xml:space="preserve"> </v>
      </c>
    </row>
    <row r="865" spans="1:13" x14ac:dyDescent="0.35">
      <c r="A865" t="s">
        <v>3301</v>
      </c>
      <c r="B865" t="s">
        <v>5132</v>
      </c>
      <c r="C865" t="s">
        <v>4409</v>
      </c>
      <c r="D865" t="s">
        <v>1487</v>
      </c>
      <c r="E865" t="s">
        <v>1488</v>
      </c>
      <c r="F865" t="s">
        <v>75</v>
      </c>
      <c r="G865" t="s">
        <v>76</v>
      </c>
      <c r="H865" t="s">
        <v>1489</v>
      </c>
      <c r="I865" t="s">
        <v>74</v>
      </c>
      <c r="J865" s="3">
        <v>45197</v>
      </c>
      <c r="M865" t="str">
        <f t="shared" si="13"/>
        <v xml:space="preserve"> </v>
      </c>
    </row>
    <row r="866" spans="1:13" x14ac:dyDescent="0.35">
      <c r="A866" t="s">
        <v>3303</v>
      </c>
      <c r="B866" t="s">
        <v>5133</v>
      </c>
      <c r="C866" t="s">
        <v>4410</v>
      </c>
      <c r="D866" t="s">
        <v>1484</v>
      </c>
      <c r="E866" t="s">
        <v>1485</v>
      </c>
      <c r="F866" t="s">
        <v>72</v>
      </c>
      <c r="G866" t="s">
        <v>73</v>
      </c>
      <c r="H866">
        <v>28012</v>
      </c>
      <c r="I866" t="s">
        <v>71</v>
      </c>
      <c r="J866" s="3">
        <v>44512</v>
      </c>
      <c r="M866" t="str">
        <f t="shared" si="13"/>
        <v xml:space="preserve"> </v>
      </c>
    </row>
    <row r="867" spans="1:13" x14ac:dyDescent="0.35">
      <c r="A867" t="s">
        <v>3305</v>
      </c>
      <c r="B867" t="s">
        <v>5134</v>
      </c>
      <c r="C867" t="s">
        <v>4411</v>
      </c>
      <c r="D867" t="s">
        <v>1481</v>
      </c>
      <c r="E867" t="s">
        <v>1482</v>
      </c>
      <c r="F867" t="s">
        <v>1415</v>
      </c>
      <c r="G867" t="s">
        <v>1416</v>
      </c>
      <c r="H867">
        <v>1000</v>
      </c>
      <c r="I867" t="s">
        <v>80</v>
      </c>
      <c r="J867" s="3">
        <v>44856</v>
      </c>
      <c r="M867" t="str">
        <f t="shared" si="13"/>
        <v xml:space="preserve"> </v>
      </c>
    </row>
    <row r="868" spans="1:13" x14ac:dyDescent="0.35">
      <c r="A868" t="s">
        <v>3307</v>
      </c>
      <c r="B868" t="s">
        <v>5095</v>
      </c>
      <c r="C868" t="s">
        <v>4412</v>
      </c>
      <c r="D868" s="2">
        <v>6567891234</v>
      </c>
      <c r="E868" t="s">
        <v>1479</v>
      </c>
      <c r="F868" t="s">
        <v>1145</v>
      </c>
      <c r="G868" t="s">
        <v>1145</v>
      </c>
      <c r="H868">
        <v>48624</v>
      </c>
      <c r="I868" t="s">
        <v>74</v>
      </c>
      <c r="J868" s="3">
        <v>45092</v>
      </c>
      <c r="M868" t="str">
        <f t="shared" si="13"/>
        <v xml:space="preserve"> </v>
      </c>
    </row>
    <row r="869" spans="1:13" x14ac:dyDescent="0.35">
      <c r="A869" t="s">
        <v>3309</v>
      </c>
      <c r="B869" t="s">
        <v>5135</v>
      </c>
      <c r="C869" t="s">
        <v>4413</v>
      </c>
      <c r="D869" t="s">
        <v>1476</v>
      </c>
      <c r="E869" t="s">
        <v>1477</v>
      </c>
      <c r="F869" t="s">
        <v>1089</v>
      </c>
      <c r="G869" t="s">
        <v>1090</v>
      </c>
      <c r="H869">
        <v>75600</v>
      </c>
      <c r="I869" t="s">
        <v>71</v>
      </c>
      <c r="J869" s="3">
        <v>44476</v>
      </c>
      <c r="M869" t="str">
        <f t="shared" si="13"/>
        <v xml:space="preserve"> </v>
      </c>
    </row>
    <row r="870" spans="1:13" x14ac:dyDescent="0.35">
      <c r="A870" t="s">
        <v>3311</v>
      </c>
      <c r="B870" t="s">
        <v>4830</v>
      </c>
      <c r="C870" t="s">
        <v>4414</v>
      </c>
      <c r="D870" t="s">
        <v>1473</v>
      </c>
      <c r="E870" t="s">
        <v>1474</v>
      </c>
      <c r="F870" t="s">
        <v>1149</v>
      </c>
      <c r="G870" t="s">
        <v>1150</v>
      </c>
      <c r="H870">
        <v>1050</v>
      </c>
      <c r="I870" t="s">
        <v>80</v>
      </c>
      <c r="J870" s="3">
        <v>44807</v>
      </c>
      <c r="M870" t="str">
        <f t="shared" si="13"/>
        <v xml:space="preserve"> </v>
      </c>
    </row>
    <row r="871" spans="1:13" x14ac:dyDescent="0.35">
      <c r="A871" t="s">
        <v>3313</v>
      </c>
      <c r="B871" t="s">
        <v>4931</v>
      </c>
      <c r="C871" t="s">
        <v>4415</v>
      </c>
      <c r="D871" t="s">
        <v>1470</v>
      </c>
      <c r="E871" t="s">
        <v>1471</v>
      </c>
      <c r="F871" t="s">
        <v>1134</v>
      </c>
      <c r="G871" t="s">
        <v>87</v>
      </c>
      <c r="H871">
        <v>110001</v>
      </c>
      <c r="I871" t="s">
        <v>74</v>
      </c>
      <c r="J871" s="3">
        <v>45250</v>
      </c>
      <c r="M871" t="str">
        <f t="shared" si="13"/>
        <v xml:space="preserve"> </v>
      </c>
    </row>
    <row r="872" spans="1:13" x14ac:dyDescent="0.35">
      <c r="A872" t="s">
        <v>3315</v>
      </c>
      <c r="B872" t="s">
        <v>4561</v>
      </c>
      <c r="C872" t="s">
        <v>4416</v>
      </c>
      <c r="D872" t="s">
        <v>1465</v>
      </c>
      <c r="E872" t="s">
        <v>1466</v>
      </c>
      <c r="F872" t="s">
        <v>1467</v>
      </c>
      <c r="G872" t="s">
        <v>1468</v>
      </c>
      <c r="H872">
        <v>10000</v>
      </c>
      <c r="I872" t="s">
        <v>71</v>
      </c>
      <c r="J872" s="3">
        <v>44422</v>
      </c>
      <c r="M872" t="str">
        <f t="shared" si="13"/>
        <v xml:space="preserve"> </v>
      </c>
    </row>
    <row r="873" spans="1:13" x14ac:dyDescent="0.35">
      <c r="A873" t="s">
        <v>3317</v>
      </c>
      <c r="B873" t="s">
        <v>4859</v>
      </c>
      <c r="C873" t="s">
        <v>4417</v>
      </c>
      <c r="D873" t="s">
        <v>1371</v>
      </c>
      <c r="E873" t="s">
        <v>1463</v>
      </c>
      <c r="F873" t="s">
        <v>1166</v>
      </c>
      <c r="G873" t="s">
        <v>1076</v>
      </c>
      <c r="H873">
        <v>21599</v>
      </c>
      <c r="I873" t="s">
        <v>80</v>
      </c>
      <c r="J873" s="3">
        <v>44923</v>
      </c>
      <c r="M873" t="str">
        <f t="shared" si="13"/>
        <v xml:space="preserve"> </v>
      </c>
    </row>
    <row r="874" spans="1:13" x14ac:dyDescent="0.35">
      <c r="A874" t="s">
        <v>3319</v>
      </c>
      <c r="B874" t="s">
        <v>4605</v>
      </c>
      <c r="C874" t="s">
        <v>4418</v>
      </c>
      <c r="D874" t="s">
        <v>1460</v>
      </c>
      <c r="E874" t="s">
        <v>1461</v>
      </c>
      <c r="F874" t="s">
        <v>75</v>
      </c>
      <c r="G874" t="s">
        <v>76</v>
      </c>
      <c r="H874" t="s">
        <v>77</v>
      </c>
      <c r="I874" t="s">
        <v>74</v>
      </c>
      <c r="J874" s="3">
        <v>45112</v>
      </c>
      <c r="M874" t="str">
        <f t="shared" si="13"/>
        <v xml:space="preserve"> </v>
      </c>
    </row>
    <row r="875" spans="1:13" x14ac:dyDescent="0.35">
      <c r="A875" t="s">
        <v>3321</v>
      </c>
      <c r="B875" t="s">
        <v>5136</v>
      </c>
      <c r="C875" t="s">
        <v>4419</v>
      </c>
      <c r="D875" t="s">
        <v>1456</v>
      </c>
      <c r="E875" t="s">
        <v>1457</v>
      </c>
      <c r="F875" t="s">
        <v>1458</v>
      </c>
      <c r="G875" t="s">
        <v>70</v>
      </c>
      <c r="H875">
        <v>2116</v>
      </c>
      <c r="I875" t="s">
        <v>71</v>
      </c>
      <c r="J875" s="3">
        <v>44469</v>
      </c>
      <c r="M875" t="str">
        <f t="shared" si="13"/>
        <v xml:space="preserve"> </v>
      </c>
    </row>
    <row r="876" spans="1:13" x14ac:dyDescent="0.35">
      <c r="A876" t="s">
        <v>3323</v>
      </c>
      <c r="B876" t="s">
        <v>5137</v>
      </c>
      <c r="C876" t="s">
        <v>4420</v>
      </c>
      <c r="D876" t="s">
        <v>1452</v>
      </c>
      <c r="E876" t="s">
        <v>1453</v>
      </c>
      <c r="F876" t="s">
        <v>1284</v>
      </c>
      <c r="G876" t="s">
        <v>115</v>
      </c>
      <c r="H876" t="s">
        <v>1454</v>
      </c>
      <c r="I876" t="s">
        <v>80</v>
      </c>
      <c r="J876" s="3">
        <v>44872</v>
      </c>
      <c r="M876" t="str">
        <f t="shared" si="13"/>
        <v xml:space="preserve"> </v>
      </c>
    </row>
    <row r="877" spans="1:13" x14ac:dyDescent="0.35">
      <c r="A877" t="s">
        <v>3325</v>
      </c>
      <c r="B877" t="s">
        <v>5024</v>
      </c>
      <c r="C877" t="s">
        <v>4421</v>
      </c>
      <c r="D877" t="s">
        <v>1450</v>
      </c>
      <c r="E877" t="s">
        <v>118</v>
      </c>
      <c r="F877" t="s">
        <v>119</v>
      </c>
      <c r="G877" t="s">
        <v>76</v>
      </c>
      <c r="H877" t="s">
        <v>120</v>
      </c>
      <c r="I877" t="s">
        <v>74</v>
      </c>
      <c r="J877" s="3">
        <v>45156</v>
      </c>
      <c r="M877" t="str">
        <f t="shared" si="13"/>
        <v xml:space="preserve"> </v>
      </c>
    </row>
    <row r="878" spans="1:13" x14ac:dyDescent="0.35">
      <c r="A878" t="s">
        <v>3327</v>
      </c>
      <c r="B878" t="s">
        <v>1949</v>
      </c>
      <c r="C878" t="s">
        <v>4422</v>
      </c>
      <c r="D878" t="s">
        <v>1447</v>
      </c>
      <c r="E878" t="s">
        <v>1448</v>
      </c>
      <c r="F878" t="s">
        <v>84</v>
      </c>
      <c r="G878" t="s">
        <v>85</v>
      </c>
      <c r="H878">
        <v>75006</v>
      </c>
      <c r="I878" t="s">
        <v>71</v>
      </c>
      <c r="J878" s="3">
        <v>44491</v>
      </c>
      <c r="M878" t="str">
        <f t="shared" si="13"/>
        <v xml:space="preserve"> </v>
      </c>
    </row>
    <row r="879" spans="1:13" x14ac:dyDescent="0.35">
      <c r="A879" t="s">
        <v>3329</v>
      </c>
      <c r="B879" t="s">
        <v>5138</v>
      </c>
      <c r="C879" t="s">
        <v>4423</v>
      </c>
      <c r="D879" t="s">
        <v>1444</v>
      </c>
      <c r="E879" t="s">
        <v>1445</v>
      </c>
      <c r="F879" t="s">
        <v>1075</v>
      </c>
      <c r="G879" t="s">
        <v>1076</v>
      </c>
      <c r="H879">
        <v>12311</v>
      </c>
      <c r="I879" t="s">
        <v>80</v>
      </c>
      <c r="J879" s="3">
        <v>44778</v>
      </c>
      <c r="M879" t="str">
        <f t="shared" si="13"/>
        <v xml:space="preserve"> </v>
      </c>
    </row>
    <row r="880" spans="1:13" x14ac:dyDescent="0.35">
      <c r="A880" t="s">
        <v>3331</v>
      </c>
      <c r="B880" t="s">
        <v>4593</v>
      </c>
      <c r="C880" t="s">
        <v>4424</v>
      </c>
      <c r="D880" t="s">
        <v>1440</v>
      </c>
      <c r="E880" t="s">
        <v>1441</v>
      </c>
      <c r="F880" t="s">
        <v>114</v>
      </c>
      <c r="G880" t="s">
        <v>115</v>
      </c>
      <c r="H880" t="s">
        <v>1442</v>
      </c>
      <c r="I880" t="s">
        <v>74</v>
      </c>
      <c r="J880" s="3">
        <v>45181</v>
      </c>
      <c r="M880" t="str">
        <f t="shared" si="13"/>
        <v xml:space="preserve"> </v>
      </c>
    </row>
    <row r="881" spans="1:13" x14ac:dyDescent="0.35">
      <c r="A881" t="s">
        <v>3333</v>
      </c>
      <c r="B881" t="s">
        <v>5139</v>
      </c>
      <c r="C881" t="s">
        <v>4425</v>
      </c>
      <c r="D881" t="s">
        <v>1436</v>
      </c>
      <c r="E881" t="s">
        <v>1437</v>
      </c>
      <c r="F881" t="s">
        <v>75</v>
      </c>
      <c r="G881" t="s">
        <v>76</v>
      </c>
      <c r="H881" t="s">
        <v>1438</v>
      </c>
      <c r="I881" t="s">
        <v>71</v>
      </c>
      <c r="J881" s="3">
        <v>44558</v>
      </c>
      <c r="M881" t="str">
        <f t="shared" si="13"/>
        <v xml:space="preserve"> </v>
      </c>
    </row>
    <row r="882" spans="1:13" x14ac:dyDescent="0.35">
      <c r="A882" t="s">
        <v>3335</v>
      </c>
      <c r="B882" t="s">
        <v>4748</v>
      </c>
      <c r="C882" t="s">
        <v>4426</v>
      </c>
      <c r="D882" t="s">
        <v>1433</v>
      </c>
      <c r="E882" t="s">
        <v>1434</v>
      </c>
      <c r="F882" t="s">
        <v>1159</v>
      </c>
      <c r="G882" t="s">
        <v>73</v>
      </c>
      <c r="H882">
        <v>8008</v>
      </c>
      <c r="I882" t="s">
        <v>80</v>
      </c>
      <c r="J882" s="3">
        <v>44852</v>
      </c>
      <c r="M882" t="str">
        <f t="shared" si="13"/>
        <v xml:space="preserve"> </v>
      </c>
    </row>
    <row r="883" spans="1:13" x14ac:dyDescent="0.35">
      <c r="A883" t="s">
        <v>3337</v>
      </c>
      <c r="B883" t="s">
        <v>5140</v>
      </c>
      <c r="C883" t="s">
        <v>4427</v>
      </c>
      <c r="D883" t="s">
        <v>1430</v>
      </c>
      <c r="E883" t="s">
        <v>1431</v>
      </c>
      <c r="F883" t="s">
        <v>90</v>
      </c>
      <c r="G883" t="s">
        <v>91</v>
      </c>
      <c r="H883">
        <v>10117</v>
      </c>
      <c r="I883" t="s">
        <v>74</v>
      </c>
      <c r="J883" s="3">
        <v>45071</v>
      </c>
      <c r="M883" t="str">
        <f t="shared" si="13"/>
        <v xml:space="preserve"> </v>
      </c>
    </row>
    <row r="884" spans="1:13" x14ac:dyDescent="0.35">
      <c r="A884" t="s">
        <v>3339</v>
      </c>
      <c r="B884" t="s">
        <v>4884</v>
      </c>
      <c r="C884" t="s">
        <v>4428</v>
      </c>
      <c r="D884" s="2">
        <v>85223456789</v>
      </c>
      <c r="E884" t="s">
        <v>1427</v>
      </c>
      <c r="F884" t="s">
        <v>1428</v>
      </c>
      <c r="G884" t="s">
        <v>89</v>
      </c>
      <c r="H884">
        <v>999077</v>
      </c>
      <c r="I884" t="s">
        <v>71</v>
      </c>
      <c r="J884" s="3">
        <v>44508</v>
      </c>
      <c r="M884" t="str">
        <f t="shared" si="13"/>
        <v xml:space="preserve"> </v>
      </c>
    </row>
    <row r="885" spans="1:13" x14ac:dyDescent="0.35">
      <c r="A885" t="s">
        <v>3340</v>
      </c>
      <c r="B885" t="s">
        <v>5141</v>
      </c>
      <c r="C885" t="s">
        <v>4429</v>
      </c>
      <c r="D885" t="s">
        <v>1424</v>
      </c>
      <c r="E885" t="s">
        <v>1425</v>
      </c>
      <c r="F885" t="s">
        <v>1299</v>
      </c>
      <c r="G885" t="s">
        <v>1090</v>
      </c>
      <c r="H885">
        <v>54000</v>
      </c>
      <c r="I885" t="s">
        <v>80</v>
      </c>
      <c r="J885" s="3">
        <v>44764</v>
      </c>
      <c r="M885" t="str">
        <f t="shared" si="13"/>
        <v xml:space="preserve"> </v>
      </c>
    </row>
    <row r="886" spans="1:13" x14ac:dyDescent="0.35">
      <c r="A886" t="s">
        <v>3342</v>
      </c>
      <c r="B886" t="s">
        <v>4727</v>
      </c>
      <c r="C886" t="s">
        <v>4430</v>
      </c>
      <c r="D886" t="s">
        <v>1421</v>
      </c>
      <c r="E886" t="s">
        <v>1422</v>
      </c>
      <c r="F886" t="s">
        <v>1149</v>
      </c>
      <c r="G886" t="s">
        <v>1150</v>
      </c>
      <c r="H886">
        <v>1550</v>
      </c>
      <c r="I886" t="s">
        <v>74</v>
      </c>
      <c r="J886" s="3">
        <v>45207</v>
      </c>
      <c r="M886" t="str">
        <f t="shared" si="13"/>
        <v xml:space="preserve"> </v>
      </c>
    </row>
    <row r="887" spans="1:13" x14ac:dyDescent="0.35">
      <c r="A887" t="s">
        <v>3344</v>
      </c>
      <c r="B887" t="s">
        <v>5088</v>
      </c>
      <c r="C887" t="s">
        <v>4431</v>
      </c>
      <c r="D887" t="s">
        <v>1418</v>
      </c>
      <c r="E887" t="s">
        <v>1419</v>
      </c>
      <c r="F887" t="s">
        <v>1194</v>
      </c>
      <c r="G887" t="s">
        <v>87</v>
      </c>
      <c r="H887">
        <v>560001</v>
      </c>
      <c r="I887" t="s">
        <v>71</v>
      </c>
      <c r="J887" s="3">
        <v>44415</v>
      </c>
      <c r="M887" t="str">
        <f t="shared" si="13"/>
        <v xml:space="preserve"> </v>
      </c>
    </row>
    <row r="888" spans="1:13" x14ac:dyDescent="0.35">
      <c r="A888" t="s">
        <v>3346</v>
      </c>
      <c r="B888" t="s">
        <v>5142</v>
      </c>
      <c r="C888" t="s">
        <v>4432</v>
      </c>
      <c r="D888" t="s">
        <v>1413</v>
      </c>
      <c r="E888" t="s">
        <v>1414</v>
      </c>
      <c r="F888" t="s">
        <v>1415</v>
      </c>
      <c r="G888" t="s">
        <v>1416</v>
      </c>
      <c r="H888">
        <v>1000</v>
      </c>
      <c r="I888" t="s">
        <v>80</v>
      </c>
      <c r="J888" s="3">
        <v>44818</v>
      </c>
      <c r="M888" t="str">
        <f t="shared" si="13"/>
        <v xml:space="preserve"> </v>
      </c>
    </row>
    <row r="889" spans="1:13" x14ac:dyDescent="0.35">
      <c r="A889" t="s">
        <v>3348</v>
      </c>
      <c r="B889" t="s">
        <v>4541</v>
      </c>
      <c r="C889" t="s">
        <v>4433</v>
      </c>
      <c r="D889" t="s">
        <v>1410</v>
      </c>
      <c r="E889" t="s">
        <v>1411</v>
      </c>
      <c r="F889" t="s">
        <v>1166</v>
      </c>
      <c r="G889" t="s">
        <v>1076</v>
      </c>
      <c r="H889">
        <v>21599</v>
      </c>
      <c r="I889" t="s">
        <v>74</v>
      </c>
      <c r="J889" s="3">
        <v>45137</v>
      </c>
      <c r="M889" t="str">
        <f t="shared" si="13"/>
        <v xml:space="preserve"> </v>
      </c>
    </row>
    <row r="890" spans="1:13" x14ac:dyDescent="0.35">
      <c r="A890" t="s">
        <v>3350</v>
      </c>
      <c r="B890" t="s">
        <v>4702</v>
      </c>
      <c r="C890" t="s">
        <v>4434</v>
      </c>
      <c r="D890" t="s">
        <v>1406</v>
      </c>
      <c r="E890" t="s">
        <v>1407</v>
      </c>
      <c r="F890" t="s">
        <v>119</v>
      </c>
      <c r="G890" t="s">
        <v>76</v>
      </c>
      <c r="H890" t="s">
        <v>1408</v>
      </c>
      <c r="I890" t="s">
        <v>71</v>
      </c>
      <c r="J890" s="3">
        <v>44484</v>
      </c>
      <c r="M890" t="str">
        <f t="shared" si="13"/>
        <v xml:space="preserve"> </v>
      </c>
    </row>
    <row r="891" spans="1:13" x14ac:dyDescent="0.35">
      <c r="A891" t="s">
        <v>3352</v>
      </c>
      <c r="B891" t="s">
        <v>5143</v>
      </c>
      <c r="C891" t="s">
        <v>4435</v>
      </c>
      <c r="D891" t="s">
        <v>1402</v>
      </c>
      <c r="E891" t="s">
        <v>1403</v>
      </c>
      <c r="F891" t="s">
        <v>1404</v>
      </c>
      <c r="G891" t="s">
        <v>70</v>
      </c>
      <c r="H891">
        <v>33139</v>
      </c>
      <c r="I891" t="s">
        <v>80</v>
      </c>
      <c r="J891" s="3">
        <v>44905</v>
      </c>
      <c r="M891" t="str">
        <f t="shared" si="13"/>
        <v xml:space="preserve"> </v>
      </c>
    </row>
    <row r="892" spans="1:13" x14ac:dyDescent="0.35">
      <c r="A892" t="s">
        <v>3354</v>
      </c>
      <c r="B892" t="s">
        <v>5144</v>
      </c>
      <c r="C892" t="s">
        <v>4436</v>
      </c>
      <c r="D892" t="s">
        <v>1399</v>
      </c>
      <c r="E892" t="s">
        <v>1400</v>
      </c>
      <c r="F892" t="s">
        <v>1284</v>
      </c>
      <c r="G892" t="s">
        <v>115</v>
      </c>
      <c r="H892" t="s">
        <v>1285</v>
      </c>
      <c r="I892" t="s">
        <v>74</v>
      </c>
      <c r="J892" s="3">
        <v>45163</v>
      </c>
      <c r="M892" t="str">
        <f t="shared" si="13"/>
        <v xml:space="preserve"> </v>
      </c>
    </row>
    <row r="893" spans="1:13" x14ac:dyDescent="0.35">
      <c r="A893" t="s">
        <v>3356</v>
      </c>
      <c r="B893" t="s">
        <v>3544</v>
      </c>
      <c r="C893" t="s">
        <v>4437</v>
      </c>
      <c r="D893" t="s">
        <v>1396</v>
      </c>
      <c r="E893" t="s">
        <v>1397</v>
      </c>
      <c r="F893" t="s">
        <v>1170</v>
      </c>
      <c r="G893" t="s">
        <v>76</v>
      </c>
      <c r="H893" t="s">
        <v>1171</v>
      </c>
      <c r="I893" t="s">
        <v>71</v>
      </c>
      <c r="J893" s="3">
        <v>44457</v>
      </c>
      <c r="M893" t="str">
        <f t="shared" si="13"/>
        <v xml:space="preserve"> </v>
      </c>
    </row>
    <row r="894" spans="1:13" x14ac:dyDescent="0.35">
      <c r="A894" t="s">
        <v>3358</v>
      </c>
      <c r="B894" t="s">
        <v>5145</v>
      </c>
      <c r="C894" t="s">
        <v>4438</v>
      </c>
      <c r="D894" t="s">
        <v>1393</v>
      </c>
      <c r="E894" t="s">
        <v>1394</v>
      </c>
      <c r="F894" t="s">
        <v>84</v>
      </c>
      <c r="G894" t="s">
        <v>85</v>
      </c>
      <c r="H894">
        <v>75001</v>
      </c>
      <c r="I894" t="s">
        <v>80</v>
      </c>
      <c r="J894" s="3">
        <v>44868</v>
      </c>
      <c r="M894" t="str">
        <f t="shared" si="13"/>
        <v xml:space="preserve"> </v>
      </c>
    </row>
    <row r="895" spans="1:13" x14ac:dyDescent="0.35">
      <c r="A895" t="s">
        <v>3360</v>
      </c>
      <c r="B895" t="s">
        <v>5146</v>
      </c>
      <c r="C895" t="s">
        <v>4439</v>
      </c>
      <c r="D895" t="s">
        <v>1073</v>
      </c>
      <c r="E895" t="s">
        <v>1391</v>
      </c>
      <c r="F895" t="s">
        <v>1075</v>
      </c>
      <c r="G895" t="s">
        <v>1076</v>
      </c>
      <c r="H895">
        <v>11211</v>
      </c>
      <c r="I895" t="s">
        <v>74</v>
      </c>
      <c r="J895" s="3">
        <v>45105</v>
      </c>
      <c r="M895" t="str">
        <f t="shared" si="13"/>
        <v xml:space="preserve"> </v>
      </c>
    </row>
    <row r="896" spans="1:13" x14ac:dyDescent="0.35">
      <c r="A896" t="s">
        <v>3362</v>
      </c>
      <c r="B896" t="s">
        <v>5147</v>
      </c>
      <c r="C896" t="s">
        <v>4440</v>
      </c>
      <c r="D896" t="s">
        <v>1387</v>
      </c>
      <c r="E896" t="s">
        <v>1388</v>
      </c>
      <c r="F896" t="s">
        <v>114</v>
      </c>
      <c r="G896" t="s">
        <v>115</v>
      </c>
      <c r="H896" t="s">
        <v>1389</v>
      </c>
      <c r="I896" t="s">
        <v>71</v>
      </c>
      <c r="J896" s="3">
        <v>44542</v>
      </c>
      <c r="M896" t="str">
        <f t="shared" si="13"/>
        <v xml:space="preserve"> </v>
      </c>
    </row>
    <row r="897" spans="1:13" x14ac:dyDescent="0.35">
      <c r="A897" t="s">
        <v>3364</v>
      </c>
      <c r="B897" t="s">
        <v>1890</v>
      </c>
      <c r="C897" t="s">
        <v>4441</v>
      </c>
      <c r="D897" t="s">
        <v>1383</v>
      </c>
      <c r="E897" t="s">
        <v>1384</v>
      </c>
      <c r="F897" t="s">
        <v>75</v>
      </c>
      <c r="G897" t="s">
        <v>76</v>
      </c>
      <c r="H897" t="s">
        <v>1385</v>
      </c>
      <c r="I897" t="s">
        <v>80</v>
      </c>
      <c r="J897" s="3">
        <v>44761</v>
      </c>
      <c r="M897" t="str">
        <f t="shared" si="13"/>
        <v xml:space="preserve"> </v>
      </c>
    </row>
    <row r="898" spans="1:13" x14ac:dyDescent="0.35">
      <c r="A898" t="s">
        <v>3366</v>
      </c>
      <c r="B898" t="s">
        <v>5148</v>
      </c>
      <c r="C898" t="s">
        <v>4442</v>
      </c>
      <c r="D898" t="s">
        <v>1380</v>
      </c>
      <c r="E898" t="s">
        <v>1381</v>
      </c>
      <c r="F898" t="s">
        <v>72</v>
      </c>
      <c r="G898" t="s">
        <v>73</v>
      </c>
      <c r="H898">
        <v>28009</v>
      </c>
      <c r="I898" t="s">
        <v>74</v>
      </c>
      <c r="J898" s="3">
        <v>45235</v>
      </c>
      <c r="M898" t="str">
        <f t="shared" si="13"/>
        <v xml:space="preserve"> </v>
      </c>
    </row>
    <row r="899" spans="1:13" x14ac:dyDescent="0.35">
      <c r="A899" t="s">
        <v>3368</v>
      </c>
      <c r="B899" t="s">
        <v>5149</v>
      </c>
      <c r="C899" t="s">
        <v>4443</v>
      </c>
      <c r="D899" t="s">
        <v>1376</v>
      </c>
      <c r="E899" t="s">
        <v>1377</v>
      </c>
      <c r="F899" t="s">
        <v>1110</v>
      </c>
      <c r="G899" t="s">
        <v>1111</v>
      </c>
      <c r="H899" t="s">
        <v>1378</v>
      </c>
      <c r="I899" t="s">
        <v>71</v>
      </c>
      <c r="J899" s="3">
        <v>44438</v>
      </c>
      <c r="M899" t="str">
        <f t="shared" si="13"/>
        <v xml:space="preserve"> </v>
      </c>
    </row>
    <row r="900" spans="1:13" x14ac:dyDescent="0.35">
      <c r="A900" t="s">
        <v>3370</v>
      </c>
      <c r="B900" t="s">
        <v>4532</v>
      </c>
      <c r="C900" t="s">
        <v>4444</v>
      </c>
      <c r="D900" s="2">
        <v>6561234567</v>
      </c>
      <c r="E900" t="s">
        <v>1374</v>
      </c>
      <c r="F900" t="s">
        <v>1145</v>
      </c>
      <c r="G900" t="s">
        <v>1145</v>
      </c>
      <c r="H900">
        <v>238869</v>
      </c>
      <c r="I900" t="s">
        <v>80</v>
      </c>
      <c r="J900" s="3">
        <v>44851</v>
      </c>
      <c r="M900" t="str">
        <f t="shared" ref="M900:M963" si="14">V900&amp;" "&amp;W900</f>
        <v xml:space="preserve"> </v>
      </c>
    </row>
    <row r="901" spans="1:13" x14ac:dyDescent="0.35">
      <c r="A901" t="s">
        <v>3372</v>
      </c>
      <c r="B901" t="s">
        <v>4553</v>
      </c>
      <c r="C901" t="s">
        <v>4445</v>
      </c>
      <c r="D901" t="s">
        <v>1371</v>
      </c>
      <c r="E901" t="s">
        <v>1372</v>
      </c>
      <c r="F901" t="s">
        <v>1166</v>
      </c>
      <c r="G901" t="s">
        <v>1076</v>
      </c>
      <c r="H901">
        <v>21599</v>
      </c>
      <c r="I901" t="s">
        <v>74</v>
      </c>
      <c r="J901" s="3">
        <v>45191</v>
      </c>
      <c r="M901" t="str">
        <f t="shared" si="14"/>
        <v xml:space="preserve"> </v>
      </c>
    </row>
    <row r="902" spans="1:13" x14ac:dyDescent="0.35">
      <c r="A902" t="s">
        <v>3374</v>
      </c>
      <c r="B902" t="s">
        <v>5150</v>
      </c>
      <c r="C902" t="s">
        <v>4446</v>
      </c>
      <c r="D902" t="s">
        <v>1368</v>
      </c>
      <c r="E902" t="s">
        <v>1369</v>
      </c>
      <c r="F902" t="s">
        <v>1149</v>
      </c>
      <c r="G902" t="s">
        <v>1150</v>
      </c>
      <c r="H902">
        <v>1051</v>
      </c>
      <c r="I902" t="s">
        <v>71</v>
      </c>
      <c r="J902" s="3">
        <v>44382</v>
      </c>
      <c r="M902" t="str">
        <f t="shared" si="14"/>
        <v xml:space="preserve"> </v>
      </c>
    </row>
    <row r="903" spans="1:13" x14ac:dyDescent="0.35">
      <c r="A903" t="s">
        <v>3376</v>
      </c>
      <c r="B903" t="s">
        <v>5151</v>
      </c>
      <c r="C903" t="s">
        <v>4447</v>
      </c>
      <c r="D903" t="s">
        <v>1365</v>
      </c>
      <c r="E903" t="s">
        <v>1366</v>
      </c>
      <c r="F903" t="s">
        <v>86</v>
      </c>
      <c r="G903" t="s">
        <v>87</v>
      </c>
      <c r="H903">
        <v>400021</v>
      </c>
      <c r="I903" t="s">
        <v>80</v>
      </c>
      <c r="J903" s="3">
        <v>44785</v>
      </c>
      <c r="M903" t="str">
        <f t="shared" si="14"/>
        <v xml:space="preserve"> </v>
      </c>
    </row>
    <row r="904" spans="1:13" x14ac:dyDescent="0.35">
      <c r="A904" t="s">
        <v>3378</v>
      </c>
      <c r="B904" t="s">
        <v>5152</v>
      </c>
      <c r="C904" t="s">
        <v>4448</v>
      </c>
      <c r="D904" t="s">
        <v>1362</v>
      </c>
      <c r="E904" t="s">
        <v>1363</v>
      </c>
      <c r="F904" t="s">
        <v>1180</v>
      </c>
      <c r="G904" t="s">
        <v>1181</v>
      </c>
      <c r="H904" t="s">
        <v>1182</v>
      </c>
      <c r="I904" t="s">
        <v>74</v>
      </c>
      <c r="J904" s="3">
        <v>45229</v>
      </c>
      <c r="M904" t="str">
        <f t="shared" si="14"/>
        <v xml:space="preserve"> </v>
      </c>
    </row>
    <row r="905" spans="1:13" x14ac:dyDescent="0.35">
      <c r="A905" t="s">
        <v>3380</v>
      </c>
      <c r="B905" t="s">
        <v>5153</v>
      </c>
      <c r="C905" t="s">
        <v>4449</v>
      </c>
      <c r="D905" t="s">
        <v>1359</v>
      </c>
      <c r="E905" t="s">
        <v>1360</v>
      </c>
      <c r="F905" t="s">
        <v>1089</v>
      </c>
      <c r="G905" t="s">
        <v>1090</v>
      </c>
      <c r="H905">
        <v>74200</v>
      </c>
      <c r="I905" t="s">
        <v>71</v>
      </c>
      <c r="J905" s="3">
        <v>44525</v>
      </c>
      <c r="M905" t="str">
        <f t="shared" si="14"/>
        <v xml:space="preserve"> </v>
      </c>
    </row>
    <row r="906" spans="1:13" x14ac:dyDescent="0.35">
      <c r="A906" t="s">
        <v>3382</v>
      </c>
      <c r="B906" t="s">
        <v>4608</v>
      </c>
      <c r="C906" t="s">
        <v>4450</v>
      </c>
      <c r="D906" t="s">
        <v>1355</v>
      </c>
      <c r="E906" t="s">
        <v>1356</v>
      </c>
      <c r="F906" t="s">
        <v>119</v>
      </c>
      <c r="G906" t="s">
        <v>76</v>
      </c>
      <c r="H906" t="s">
        <v>1357</v>
      </c>
      <c r="I906" t="s">
        <v>80</v>
      </c>
      <c r="J906" s="3">
        <v>44811</v>
      </c>
      <c r="M906" t="str">
        <f t="shared" si="14"/>
        <v xml:space="preserve"> </v>
      </c>
    </row>
    <row r="907" spans="1:13" x14ac:dyDescent="0.35">
      <c r="A907" t="s">
        <v>3384</v>
      </c>
      <c r="B907" t="s">
        <v>5154</v>
      </c>
      <c r="C907" t="s">
        <v>4451</v>
      </c>
      <c r="D907" t="s">
        <v>1351</v>
      </c>
      <c r="E907" t="s">
        <v>1352</v>
      </c>
      <c r="F907" t="s">
        <v>1353</v>
      </c>
      <c r="G907" t="s">
        <v>70</v>
      </c>
      <c r="H907">
        <v>60611</v>
      </c>
      <c r="I907" t="s">
        <v>74</v>
      </c>
      <c r="J907" s="3">
        <v>45058</v>
      </c>
      <c r="M907" t="str">
        <f t="shared" si="14"/>
        <v xml:space="preserve"> </v>
      </c>
    </row>
    <row r="908" spans="1:13" x14ac:dyDescent="0.35">
      <c r="A908" t="s">
        <v>3386</v>
      </c>
      <c r="B908" t="s">
        <v>5155</v>
      </c>
      <c r="C908" t="s">
        <v>4452</v>
      </c>
      <c r="D908" t="s">
        <v>1347</v>
      </c>
      <c r="E908" t="s">
        <v>1348</v>
      </c>
      <c r="F908" t="s">
        <v>1284</v>
      </c>
      <c r="G908" t="s">
        <v>115</v>
      </c>
      <c r="H908" t="s">
        <v>1349</v>
      </c>
      <c r="I908" t="s">
        <v>71</v>
      </c>
      <c r="J908" s="3">
        <v>44489</v>
      </c>
      <c r="M908" t="str">
        <f t="shared" si="14"/>
        <v xml:space="preserve"> </v>
      </c>
    </row>
    <row r="909" spans="1:13" x14ac:dyDescent="0.35">
      <c r="A909" t="s">
        <v>3388</v>
      </c>
      <c r="B909" t="s">
        <v>5140</v>
      </c>
      <c r="C909" t="s">
        <v>4453</v>
      </c>
      <c r="D909" t="s">
        <v>1343</v>
      </c>
      <c r="E909" t="s">
        <v>1344</v>
      </c>
      <c r="F909" t="s">
        <v>75</v>
      </c>
      <c r="G909" t="s">
        <v>76</v>
      </c>
      <c r="H909" t="s">
        <v>1345</v>
      </c>
      <c r="I909" t="s">
        <v>80</v>
      </c>
      <c r="J909" s="3">
        <v>44910</v>
      </c>
      <c r="M909" t="str">
        <f t="shared" si="14"/>
        <v xml:space="preserve"> </v>
      </c>
    </row>
    <row r="910" spans="1:13" x14ac:dyDescent="0.35">
      <c r="A910" t="s">
        <v>3390</v>
      </c>
      <c r="B910" t="s">
        <v>5156</v>
      </c>
      <c r="C910" t="s">
        <v>4454</v>
      </c>
      <c r="D910" t="s">
        <v>83</v>
      </c>
      <c r="E910" t="s">
        <v>1341</v>
      </c>
      <c r="F910" t="s">
        <v>84</v>
      </c>
      <c r="G910" t="s">
        <v>85</v>
      </c>
      <c r="H910">
        <v>75008</v>
      </c>
      <c r="I910" t="s">
        <v>74</v>
      </c>
      <c r="J910" s="3">
        <v>45146</v>
      </c>
      <c r="M910" t="str">
        <f t="shared" si="14"/>
        <v xml:space="preserve"> </v>
      </c>
    </row>
    <row r="911" spans="1:13" x14ac:dyDescent="0.35">
      <c r="A911" t="s">
        <v>3392</v>
      </c>
      <c r="B911" t="s">
        <v>5157</v>
      </c>
      <c r="C911" t="s">
        <v>4455</v>
      </c>
      <c r="D911" t="s">
        <v>1338</v>
      </c>
      <c r="E911" t="s">
        <v>1339</v>
      </c>
      <c r="F911" t="s">
        <v>1075</v>
      </c>
      <c r="G911" t="s">
        <v>1076</v>
      </c>
      <c r="H911">
        <v>11571</v>
      </c>
      <c r="I911" t="s">
        <v>71</v>
      </c>
      <c r="J911" s="3">
        <v>44441</v>
      </c>
      <c r="M911" t="str">
        <f t="shared" si="14"/>
        <v xml:space="preserve"> </v>
      </c>
    </row>
    <row r="912" spans="1:13" x14ac:dyDescent="0.35">
      <c r="A912" t="s">
        <v>3394</v>
      </c>
      <c r="B912" t="s">
        <v>5158</v>
      </c>
      <c r="C912" t="s">
        <v>4456</v>
      </c>
      <c r="D912" t="s">
        <v>1334</v>
      </c>
      <c r="E912" t="s">
        <v>1335</v>
      </c>
      <c r="F912" t="s">
        <v>114</v>
      </c>
      <c r="G912" t="s">
        <v>115</v>
      </c>
      <c r="H912" t="s">
        <v>1336</v>
      </c>
      <c r="I912" t="s">
        <v>80</v>
      </c>
      <c r="J912" s="3">
        <v>44893</v>
      </c>
      <c r="M912" t="str">
        <f t="shared" si="14"/>
        <v xml:space="preserve"> </v>
      </c>
    </row>
    <row r="913" spans="1:13" x14ac:dyDescent="0.35">
      <c r="A913" t="s">
        <v>3396</v>
      </c>
      <c r="B913" t="s">
        <v>4907</v>
      </c>
      <c r="C913" t="s">
        <v>4457</v>
      </c>
      <c r="D913" t="s">
        <v>1329</v>
      </c>
      <c r="E913" t="s">
        <v>1330</v>
      </c>
      <c r="F913" t="s">
        <v>1331</v>
      </c>
      <c r="G913" t="s">
        <v>76</v>
      </c>
      <c r="H913" t="s">
        <v>1332</v>
      </c>
      <c r="I913" t="s">
        <v>74</v>
      </c>
      <c r="J913" s="3">
        <v>45122</v>
      </c>
      <c r="M913" t="str">
        <f t="shared" si="14"/>
        <v xml:space="preserve"> </v>
      </c>
    </row>
    <row r="914" spans="1:13" x14ac:dyDescent="0.35">
      <c r="A914" t="s">
        <v>3398</v>
      </c>
      <c r="B914" t="s">
        <v>5159</v>
      </c>
      <c r="C914" t="s">
        <v>4458</v>
      </c>
      <c r="D914" t="s">
        <v>1325</v>
      </c>
      <c r="E914" t="s">
        <v>1326</v>
      </c>
      <c r="F914" t="s">
        <v>1327</v>
      </c>
      <c r="G914" t="s">
        <v>73</v>
      </c>
      <c r="H914">
        <v>29005</v>
      </c>
      <c r="I914" t="s">
        <v>71</v>
      </c>
      <c r="J914" s="3">
        <v>44436</v>
      </c>
      <c r="M914" t="str">
        <f t="shared" si="14"/>
        <v xml:space="preserve"> </v>
      </c>
    </row>
    <row r="915" spans="1:13" x14ac:dyDescent="0.35">
      <c r="A915" t="s">
        <v>3400</v>
      </c>
      <c r="B915" t="s">
        <v>5090</v>
      </c>
      <c r="C915" t="s">
        <v>4459</v>
      </c>
      <c r="D915" t="s">
        <v>1320</v>
      </c>
      <c r="E915" t="s">
        <v>1321</v>
      </c>
      <c r="F915" t="s">
        <v>1322</v>
      </c>
      <c r="G915" t="s">
        <v>1111</v>
      </c>
      <c r="H915" t="s">
        <v>1323</v>
      </c>
      <c r="I915" t="s">
        <v>80</v>
      </c>
      <c r="J915" s="3">
        <v>44837</v>
      </c>
      <c r="M915" t="str">
        <f t="shared" si="14"/>
        <v xml:space="preserve"> </v>
      </c>
    </row>
    <row r="916" spans="1:13" x14ac:dyDescent="0.35">
      <c r="A916" t="s">
        <v>3402</v>
      </c>
      <c r="B916" t="s">
        <v>4841</v>
      </c>
      <c r="C916" t="s">
        <v>4460</v>
      </c>
      <c r="D916" s="2">
        <v>6567890123</v>
      </c>
      <c r="E916" t="s">
        <v>1318</v>
      </c>
      <c r="F916" t="s">
        <v>1145</v>
      </c>
      <c r="G916" t="s">
        <v>1145</v>
      </c>
      <c r="H916">
        <v>18956</v>
      </c>
      <c r="I916" t="s">
        <v>74</v>
      </c>
      <c r="J916" s="3">
        <v>45033</v>
      </c>
      <c r="M916" t="str">
        <f t="shared" si="14"/>
        <v xml:space="preserve"> </v>
      </c>
    </row>
    <row r="917" spans="1:13" x14ac:dyDescent="0.35">
      <c r="A917" t="s">
        <v>3404</v>
      </c>
      <c r="B917" t="s">
        <v>4640</v>
      </c>
      <c r="C917" t="s">
        <v>4461</v>
      </c>
      <c r="D917" t="s">
        <v>1313</v>
      </c>
      <c r="E917" t="s">
        <v>1314</v>
      </c>
      <c r="F917" t="s">
        <v>1315</v>
      </c>
      <c r="G917" t="s">
        <v>1316</v>
      </c>
      <c r="H917">
        <v>20000</v>
      </c>
      <c r="I917" t="s">
        <v>71</v>
      </c>
      <c r="J917" s="3">
        <v>44505</v>
      </c>
      <c r="M917" t="str">
        <f t="shared" si="14"/>
        <v xml:space="preserve"> </v>
      </c>
    </row>
    <row r="918" spans="1:13" x14ac:dyDescent="0.35">
      <c r="A918" t="s">
        <v>3406</v>
      </c>
      <c r="B918" t="s">
        <v>5160</v>
      </c>
      <c r="C918" t="s">
        <v>4462</v>
      </c>
      <c r="D918" t="s">
        <v>1308</v>
      </c>
      <c r="E918" t="s">
        <v>1309</v>
      </c>
      <c r="F918" t="s">
        <v>1310</v>
      </c>
      <c r="G918" t="s">
        <v>1070</v>
      </c>
      <c r="H918" t="s">
        <v>1311</v>
      </c>
      <c r="I918" t="s">
        <v>80</v>
      </c>
      <c r="J918" s="3">
        <v>44793</v>
      </c>
      <c r="M918" t="str">
        <f t="shared" si="14"/>
        <v xml:space="preserve"> </v>
      </c>
    </row>
    <row r="919" spans="1:13" x14ac:dyDescent="0.35">
      <c r="A919" t="s">
        <v>3408</v>
      </c>
      <c r="B919" t="s">
        <v>5161</v>
      </c>
      <c r="C919" t="s">
        <v>4463</v>
      </c>
      <c r="D919" t="s">
        <v>1305</v>
      </c>
      <c r="E919" t="s">
        <v>1306</v>
      </c>
      <c r="F919" t="s">
        <v>1121</v>
      </c>
      <c r="G919" t="s">
        <v>87</v>
      </c>
      <c r="H919">
        <v>380015</v>
      </c>
      <c r="I919" t="s">
        <v>74</v>
      </c>
      <c r="J919" s="3">
        <v>45174</v>
      </c>
      <c r="M919" t="str">
        <f t="shared" si="14"/>
        <v xml:space="preserve"> </v>
      </c>
    </row>
    <row r="920" spans="1:13" x14ac:dyDescent="0.35">
      <c r="A920" t="s">
        <v>3410</v>
      </c>
      <c r="B920" t="s">
        <v>5162</v>
      </c>
      <c r="C920" t="s">
        <v>4464</v>
      </c>
      <c r="D920" t="s">
        <v>1301</v>
      </c>
      <c r="E920" t="s">
        <v>1302</v>
      </c>
      <c r="F920" t="s">
        <v>1303</v>
      </c>
      <c r="G920" t="s">
        <v>91</v>
      </c>
      <c r="H920">
        <v>60313</v>
      </c>
      <c r="I920" t="s">
        <v>71</v>
      </c>
      <c r="J920" s="3">
        <v>44479</v>
      </c>
      <c r="M920" t="str">
        <f t="shared" si="14"/>
        <v xml:space="preserve"> </v>
      </c>
    </row>
    <row r="921" spans="1:13" x14ac:dyDescent="0.35">
      <c r="A921" t="s">
        <v>3411</v>
      </c>
      <c r="B921" t="s">
        <v>5067</v>
      </c>
      <c r="C921" t="s">
        <v>4465</v>
      </c>
      <c r="D921" t="s">
        <v>1297</v>
      </c>
      <c r="E921" t="s">
        <v>1298</v>
      </c>
      <c r="F921" t="s">
        <v>1299</v>
      </c>
      <c r="G921" t="s">
        <v>1090</v>
      </c>
      <c r="H921">
        <v>54000</v>
      </c>
      <c r="I921" t="s">
        <v>80</v>
      </c>
      <c r="J921" s="3">
        <v>44917</v>
      </c>
      <c r="M921" t="str">
        <f t="shared" si="14"/>
        <v xml:space="preserve"> </v>
      </c>
    </row>
    <row r="922" spans="1:13" x14ac:dyDescent="0.35">
      <c r="A922" t="s">
        <v>3413</v>
      </c>
      <c r="B922" t="s">
        <v>5163</v>
      </c>
      <c r="C922" t="s">
        <v>4466</v>
      </c>
      <c r="D922" t="s">
        <v>1292</v>
      </c>
      <c r="E922" t="s">
        <v>1293</v>
      </c>
      <c r="F922" t="s">
        <v>1294</v>
      </c>
      <c r="G922" t="s">
        <v>1295</v>
      </c>
      <c r="H922">
        <v>10843</v>
      </c>
      <c r="I922" t="s">
        <v>74</v>
      </c>
      <c r="J922" s="3">
        <v>45085</v>
      </c>
      <c r="M922" t="str">
        <f t="shared" si="14"/>
        <v xml:space="preserve"> </v>
      </c>
    </row>
    <row r="923" spans="1:13" x14ac:dyDescent="0.35">
      <c r="A923" t="s">
        <v>3415</v>
      </c>
      <c r="B923" t="s">
        <v>5164</v>
      </c>
      <c r="C923" t="s">
        <v>4467</v>
      </c>
      <c r="D923" t="s">
        <v>1288</v>
      </c>
      <c r="E923" t="s">
        <v>1289</v>
      </c>
      <c r="F923" t="s">
        <v>1290</v>
      </c>
      <c r="G923" t="s">
        <v>70</v>
      </c>
      <c r="H923">
        <v>94103</v>
      </c>
      <c r="I923" t="s">
        <v>71</v>
      </c>
      <c r="J923" s="3" t="s">
        <v>1546</v>
      </c>
      <c r="M923" t="str">
        <f t="shared" si="14"/>
        <v xml:space="preserve"> </v>
      </c>
    </row>
    <row r="924" spans="1:13" x14ac:dyDescent="0.35">
      <c r="A924" t="s">
        <v>3417</v>
      </c>
      <c r="B924" t="s">
        <v>5063</v>
      </c>
      <c r="C924" t="s">
        <v>4468</v>
      </c>
      <c r="D924" t="s">
        <v>1282</v>
      </c>
      <c r="E924" t="s">
        <v>1283</v>
      </c>
      <c r="F924" t="s">
        <v>1284</v>
      </c>
      <c r="G924" t="s">
        <v>115</v>
      </c>
      <c r="H924" t="s">
        <v>1285</v>
      </c>
      <c r="I924" t="s">
        <v>80</v>
      </c>
      <c r="J924" s="3">
        <v>44877</v>
      </c>
      <c r="M924" t="str">
        <f t="shared" si="14"/>
        <v xml:space="preserve"> </v>
      </c>
    </row>
    <row r="925" spans="1:13" x14ac:dyDescent="0.35">
      <c r="A925" t="s">
        <v>3419</v>
      </c>
      <c r="B925" t="s">
        <v>5165</v>
      </c>
      <c r="C925" t="s">
        <v>4469</v>
      </c>
      <c r="D925" t="s">
        <v>1278</v>
      </c>
      <c r="E925" t="s">
        <v>1279</v>
      </c>
      <c r="F925" t="s">
        <v>119</v>
      </c>
      <c r="G925" t="s">
        <v>76</v>
      </c>
      <c r="H925" t="s">
        <v>1280</v>
      </c>
      <c r="I925" t="s">
        <v>74</v>
      </c>
      <c r="J925" s="3">
        <v>45135</v>
      </c>
      <c r="M925" t="str">
        <f t="shared" si="14"/>
        <v xml:space="preserve"> </v>
      </c>
    </row>
    <row r="926" spans="1:13" x14ac:dyDescent="0.35">
      <c r="A926" t="s">
        <v>3421</v>
      </c>
      <c r="B926" t="s">
        <v>5052</v>
      </c>
      <c r="C926" t="s">
        <v>4470</v>
      </c>
      <c r="D926" t="s">
        <v>1274</v>
      </c>
      <c r="E926" t="s">
        <v>1275</v>
      </c>
      <c r="F926" t="s">
        <v>1276</v>
      </c>
      <c r="G926" t="s">
        <v>85</v>
      </c>
      <c r="H926">
        <v>13001</v>
      </c>
      <c r="I926" t="s">
        <v>71</v>
      </c>
      <c r="J926" s="3">
        <v>44413</v>
      </c>
      <c r="M926" t="str">
        <f t="shared" si="14"/>
        <v xml:space="preserve"> </v>
      </c>
    </row>
    <row r="927" spans="1:13" x14ac:dyDescent="0.35">
      <c r="A927" t="s">
        <v>3423</v>
      </c>
      <c r="B927" t="s">
        <v>5166</v>
      </c>
      <c r="C927" t="s">
        <v>4471</v>
      </c>
      <c r="D927" t="s">
        <v>1271</v>
      </c>
      <c r="E927" t="s">
        <v>1272</v>
      </c>
      <c r="F927" t="s">
        <v>1166</v>
      </c>
      <c r="G927" t="s">
        <v>1076</v>
      </c>
      <c r="H927">
        <v>21599</v>
      </c>
      <c r="I927" t="s">
        <v>80</v>
      </c>
      <c r="J927" s="3">
        <v>44864</v>
      </c>
      <c r="M927" t="str">
        <f t="shared" si="14"/>
        <v xml:space="preserve"> </v>
      </c>
    </row>
    <row r="928" spans="1:13" x14ac:dyDescent="0.35">
      <c r="A928" t="s">
        <v>3425</v>
      </c>
      <c r="B928" t="s">
        <v>5167</v>
      </c>
      <c r="C928" t="s">
        <v>4472</v>
      </c>
      <c r="D928" t="s">
        <v>1268</v>
      </c>
      <c r="E928" t="s">
        <v>1269</v>
      </c>
      <c r="F928" t="s">
        <v>72</v>
      </c>
      <c r="G928" t="s">
        <v>73</v>
      </c>
      <c r="H928">
        <v>28013</v>
      </c>
      <c r="I928" t="s">
        <v>74</v>
      </c>
      <c r="J928" s="3">
        <v>45152</v>
      </c>
      <c r="M928" t="str">
        <f t="shared" si="14"/>
        <v xml:space="preserve"> </v>
      </c>
    </row>
    <row r="929" spans="1:13" x14ac:dyDescent="0.35">
      <c r="A929" t="s">
        <v>3427</v>
      </c>
      <c r="B929" t="s">
        <v>5168</v>
      </c>
      <c r="C929" t="s">
        <v>4473</v>
      </c>
      <c r="D929" t="s">
        <v>1265</v>
      </c>
      <c r="E929" t="s">
        <v>1266</v>
      </c>
      <c r="F929" t="s">
        <v>88</v>
      </c>
      <c r="G929" t="s">
        <v>89</v>
      </c>
      <c r="H929">
        <v>100006</v>
      </c>
      <c r="I929" t="s">
        <v>71</v>
      </c>
      <c r="J929" s="3">
        <v>44397</v>
      </c>
      <c r="M929" t="str">
        <f t="shared" si="14"/>
        <v xml:space="preserve"> </v>
      </c>
    </row>
    <row r="930" spans="1:13" x14ac:dyDescent="0.35">
      <c r="A930" t="s">
        <v>3429</v>
      </c>
      <c r="B930" t="s">
        <v>5169</v>
      </c>
      <c r="C930" t="s">
        <v>4474</v>
      </c>
      <c r="D930" t="s">
        <v>1261</v>
      </c>
      <c r="E930" t="s">
        <v>1262</v>
      </c>
      <c r="F930" t="s">
        <v>1263</v>
      </c>
      <c r="G930" t="s">
        <v>91</v>
      </c>
      <c r="H930">
        <v>20354</v>
      </c>
      <c r="I930" t="s">
        <v>80</v>
      </c>
      <c r="J930" s="3">
        <v>44900</v>
      </c>
      <c r="M930" t="str">
        <f t="shared" si="14"/>
        <v xml:space="preserve"> </v>
      </c>
    </row>
    <row r="931" spans="1:13" x14ac:dyDescent="0.35">
      <c r="A931" t="s">
        <v>3431</v>
      </c>
      <c r="B931" t="s">
        <v>5170</v>
      </c>
      <c r="C931" t="s">
        <v>4475</v>
      </c>
      <c r="D931" t="s">
        <v>1256</v>
      </c>
      <c r="E931" t="s">
        <v>1257</v>
      </c>
      <c r="F931" t="s">
        <v>1258</v>
      </c>
      <c r="G931" t="s">
        <v>1259</v>
      </c>
      <c r="H931">
        <v>101241</v>
      </c>
      <c r="I931" t="s">
        <v>74</v>
      </c>
      <c r="J931" s="3">
        <v>45065</v>
      </c>
      <c r="M931" t="str">
        <f t="shared" si="14"/>
        <v xml:space="preserve"> </v>
      </c>
    </row>
    <row r="932" spans="1:13" x14ac:dyDescent="0.35">
      <c r="A932" t="s">
        <v>3433</v>
      </c>
      <c r="B932" t="s">
        <v>4677</v>
      </c>
      <c r="C932" t="s">
        <v>4476</v>
      </c>
      <c r="D932" t="s">
        <v>1252</v>
      </c>
      <c r="E932" t="s">
        <v>1253</v>
      </c>
      <c r="F932" t="s">
        <v>1069</v>
      </c>
      <c r="G932" t="s">
        <v>1070</v>
      </c>
      <c r="H932" t="s">
        <v>1254</v>
      </c>
      <c r="I932" t="s">
        <v>71</v>
      </c>
      <c r="J932" s="3">
        <v>44494</v>
      </c>
      <c r="M932" t="str">
        <f t="shared" si="14"/>
        <v xml:space="preserve"> </v>
      </c>
    </row>
    <row r="933" spans="1:13" x14ac:dyDescent="0.35">
      <c r="A933" t="s">
        <v>3435</v>
      </c>
      <c r="B933" t="s">
        <v>4838</v>
      </c>
      <c r="C933" t="s">
        <v>4477</v>
      </c>
      <c r="D933" t="s">
        <v>1249</v>
      </c>
      <c r="E933" t="s">
        <v>1250</v>
      </c>
      <c r="F933" t="s">
        <v>1159</v>
      </c>
      <c r="G933" t="s">
        <v>73</v>
      </c>
      <c r="H933">
        <v>8008</v>
      </c>
      <c r="I933" t="s">
        <v>80</v>
      </c>
      <c r="J933" s="3">
        <v>44816</v>
      </c>
      <c r="M933" t="str">
        <f t="shared" si="14"/>
        <v xml:space="preserve"> </v>
      </c>
    </row>
    <row r="934" spans="1:13" x14ac:dyDescent="0.35">
      <c r="A934" t="s">
        <v>3437</v>
      </c>
      <c r="B934" t="s">
        <v>5171</v>
      </c>
      <c r="C934" t="s">
        <v>4478</v>
      </c>
      <c r="D934" t="s">
        <v>1244</v>
      </c>
      <c r="E934" t="s">
        <v>1245</v>
      </c>
      <c r="F934" t="s">
        <v>1246</v>
      </c>
      <c r="G934" t="s">
        <v>1247</v>
      </c>
      <c r="H934">
        <v>11369</v>
      </c>
      <c r="I934" t="s">
        <v>74</v>
      </c>
      <c r="J934" s="3">
        <v>45018</v>
      </c>
      <c r="M934" t="str">
        <f t="shared" si="14"/>
        <v xml:space="preserve"> </v>
      </c>
    </row>
    <row r="935" spans="1:13" x14ac:dyDescent="0.35">
      <c r="A935" t="s">
        <v>3439</v>
      </c>
      <c r="B935" t="s">
        <v>4967</v>
      </c>
      <c r="C935" t="s">
        <v>4479</v>
      </c>
      <c r="D935" t="s">
        <v>1239</v>
      </c>
      <c r="E935" t="s">
        <v>1240</v>
      </c>
      <c r="F935" t="s">
        <v>1241</v>
      </c>
      <c r="G935" t="s">
        <v>1111</v>
      </c>
      <c r="H935" t="s">
        <v>1242</v>
      </c>
      <c r="I935" t="s">
        <v>71</v>
      </c>
      <c r="J935" s="3">
        <v>44447</v>
      </c>
      <c r="M935" t="str">
        <f t="shared" si="14"/>
        <v xml:space="preserve"> </v>
      </c>
    </row>
    <row r="936" spans="1:13" x14ac:dyDescent="0.35">
      <c r="A936" t="s">
        <v>3441</v>
      </c>
      <c r="B936" t="s">
        <v>4914</v>
      </c>
      <c r="C936" t="s">
        <v>4480</v>
      </c>
      <c r="D936" t="s">
        <v>1235</v>
      </c>
      <c r="E936" t="s">
        <v>1236</v>
      </c>
      <c r="F936" t="s">
        <v>1237</v>
      </c>
      <c r="G936" t="s">
        <v>87</v>
      </c>
      <c r="H936">
        <v>500034</v>
      </c>
      <c r="I936" t="s">
        <v>80</v>
      </c>
      <c r="J936" s="3">
        <v>44883</v>
      </c>
      <c r="M936" t="str">
        <f t="shared" si="14"/>
        <v xml:space="preserve"> </v>
      </c>
    </row>
    <row r="937" spans="1:13" x14ac:dyDescent="0.35">
      <c r="A937" t="s">
        <v>3443</v>
      </c>
      <c r="B937" t="s">
        <v>5172</v>
      </c>
      <c r="C937" t="s">
        <v>4481</v>
      </c>
      <c r="D937" s="2">
        <v>441612345678</v>
      </c>
      <c r="E937" t="s">
        <v>1231</v>
      </c>
      <c r="F937" t="s">
        <v>1232</v>
      </c>
      <c r="H937" t="s">
        <v>1233</v>
      </c>
      <c r="I937" t="s">
        <v>74</v>
      </c>
      <c r="J937" s="3">
        <v>45102</v>
      </c>
      <c r="M937" t="str">
        <f t="shared" si="14"/>
        <v xml:space="preserve"> </v>
      </c>
    </row>
    <row r="938" spans="1:13" x14ac:dyDescent="0.35">
      <c r="A938" t="s">
        <v>3445</v>
      </c>
      <c r="B938" t="s">
        <v>5173</v>
      </c>
      <c r="C938" t="s">
        <v>4482</v>
      </c>
      <c r="D938" t="s">
        <v>1228</v>
      </c>
      <c r="E938" t="s">
        <v>1229</v>
      </c>
      <c r="F938" t="s">
        <v>81</v>
      </c>
      <c r="G938" t="s">
        <v>82</v>
      </c>
      <c r="H938">
        <v>20123</v>
      </c>
      <c r="I938" t="s">
        <v>71</v>
      </c>
      <c r="J938" s="3">
        <v>44420</v>
      </c>
      <c r="M938" t="str">
        <f t="shared" si="14"/>
        <v xml:space="preserve"> </v>
      </c>
    </row>
    <row r="939" spans="1:13" x14ac:dyDescent="0.35">
      <c r="A939" t="s">
        <v>3447</v>
      </c>
      <c r="B939" t="s">
        <v>5174</v>
      </c>
      <c r="C939" t="s">
        <v>4483</v>
      </c>
      <c r="D939" t="s">
        <v>1224</v>
      </c>
      <c r="E939" t="s">
        <v>1225</v>
      </c>
      <c r="F939" t="s">
        <v>1226</v>
      </c>
      <c r="G939" t="s">
        <v>87</v>
      </c>
      <c r="H939">
        <v>700016</v>
      </c>
      <c r="I939" t="s">
        <v>80</v>
      </c>
      <c r="J939" s="3">
        <v>44836</v>
      </c>
      <c r="M939" t="str">
        <f t="shared" si="14"/>
        <v xml:space="preserve"> </v>
      </c>
    </row>
    <row r="940" spans="1:13" x14ac:dyDescent="0.35">
      <c r="A940" t="s">
        <v>3449</v>
      </c>
      <c r="B940" t="s">
        <v>5175</v>
      </c>
      <c r="C940" t="s">
        <v>4484</v>
      </c>
      <c r="D940" t="s">
        <v>1221</v>
      </c>
      <c r="E940" t="s">
        <v>1222</v>
      </c>
      <c r="F940" t="s">
        <v>90</v>
      </c>
      <c r="G940" t="s">
        <v>91</v>
      </c>
      <c r="H940">
        <v>10117</v>
      </c>
      <c r="I940" t="s">
        <v>74</v>
      </c>
      <c r="J940" s="3">
        <v>45000</v>
      </c>
      <c r="M940" t="str">
        <f t="shared" si="14"/>
        <v xml:space="preserve"> </v>
      </c>
    </row>
    <row r="941" spans="1:13" x14ac:dyDescent="0.35">
      <c r="A941" t="s">
        <v>3451</v>
      </c>
      <c r="B941" t="s">
        <v>5033</v>
      </c>
      <c r="C941" t="s">
        <v>4485</v>
      </c>
      <c r="D941" t="s">
        <v>1217</v>
      </c>
      <c r="E941" t="s">
        <v>1218</v>
      </c>
      <c r="F941" t="s">
        <v>1219</v>
      </c>
      <c r="G941" t="s">
        <v>73</v>
      </c>
      <c r="H941">
        <v>46013</v>
      </c>
      <c r="I941" t="s">
        <v>71</v>
      </c>
      <c r="J941" s="3">
        <v>44405</v>
      </c>
      <c r="M941" t="str">
        <f t="shared" si="14"/>
        <v xml:space="preserve"> </v>
      </c>
    </row>
    <row r="942" spans="1:13" x14ac:dyDescent="0.35">
      <c r="A942" t="s">
        <v>3453</v>
      </c>
      <c r="B942" t="s">
        <v>4696</v>
      </c>
      <c r="C942" t="s">
        <v>4486</v>
      </c>
      <c r="D942" t="s">
        <v>1212</v>
      </c>
      <c r="E942" t="s">
        <v>1213</v>
      </c>
      <c r="F942" t="s">
        <v>1214</v>
      </c>
      <c r="G942" t="s">
        <v>1215</v>
      </c>
      <c r="H942">
        <v>1010</v>
      </c>
      <c r="I942" t="s">
        <v>80</v>
      </c>
      <c r="J942" s="3">
        <v>44915</v>
      </c>
      <c r="M942" t="str">
        <f t="shared" si="14"/>
        <v xml:space="preserve"> </v>
      </c>
    </row>
    <row r="943" spans="1:13" x14ac:dyDescent="0.35">
      <c r="A943" t="s">
        <v>3455</v>
      </c>
      <c r="B943" t="s">
        <v>5176</v>
      </c>
      <c r="C943" t="s">
        <v>4487</v>
      </c>
      <c r="D943" t="s">
        <v>1209</v>
      </c>
      <c r="E943" t="s">
        <v>1210</v>
      </c>
      <c r="F943" t="s">
        <v>1075</v>
      </c>
      <c r="G943" t="s">
        <v>1076</v>
      </c>
      <c r="H943">
        <v>11211</v>
      </c>
      <c r="I943" t="s">
        <v>74</v>
      </c>
      <c r="J943" s="3">
        <v>45199</v>
      </c>
      <c r="M943" t="str">
        <f t="shared" si="14"/>
        <v xml:space="preserve"> </v>
      </c>
    </row>
    <row r="944" spans="1:13" x14ac:dyDescent="0.35">
      <c r="A944" t="s">
        <v>3457</v>
      </c>
      <c r="B944" t="s">
        <v>5177</v>
      </c>
      <c r="C944" t="s">
        <v>4488</v>
      </c>
      <c r="D944" t="s">
        <v>1204</v>
      </c>
      <c r="E944" t="s">
        <v>1205</v>
      </c>
      <c r="F944" t="s">
        <v>1206</v>
      </c>
      <c r="G944" t="s">
        <v>76</v>
      </c>
      <c r="H944" t="s">
        <v>1207</v>
      </c>
      <c r="I944" t="s">
        <v>71</v>
      </c>
      <c r="J944" s="3">
        <v>44474</v>
      </c>
      <c r="M944" t="str">
        <f t="shared" si="14"/>
        <v xml:space="preserve"> </v>
      </c>
    </row>
    <row r="945" spans="1:13" x14ac:dyDescent="0.35">
      <c r="A945" t="s">
        <v>3459</v>
      </c>
      <c r="B945" t="s">
        <v>5127</v>
      </c>
      <c r="C945" t="s">
        <v>4489</v>
      </c>
      <c r="D945" t="s">
        <v>1201</v>
      </c>
      <c r="E945" t="s">
        <v>1202</v>
      </c>
      <c r="F945" t="s">
        <v>72</v>
      </c>
      <c r="G945" t="s">
        <v>73</v>
      </c>
      <c r="H945">
        <v>28013</v>
      </c>
      <c r="I945" t="s">
        <v>80</v>
      </c>
      <c r="J945" s="3">
        <v>44780</v>
      </c>
      <c r="M945" t="str">
        <f t="shared" si="14"/>
        <v xml:space="preserve"> </v>
      </c>
    </row>
    <row r="946" spans="1:13" x14ac:dyDescent="0.35">
      <c r="A946" t="s">
        <v>3461</v>
      </c>
      <c r="B946" t="s">
        <v>5178</v>
      </c>
      <c r="C946" t="s">
        <v>4490</v>
      </c>
      <c r="D946" t="s">
        <v>1196</v>
      </c>
      <c r="E946" t="s">
        <v>1197</v>
      </c>
      <c r="F946" t="s">
        <v>1198</v>
      </c>
      <c r="G946" t="s">
        <v>1070</v>
      </c>
      <c r="H946" t="s">
        <v>1199</v>
      </c>
      <c r="I946" t="s">
        <v>74</v>
      </c>
      <c r="J946" s="3">
        <v>44975</v>
      </c>
      <c r="M946" t="str">
        <f t="shared" si="14"/>
        <v xml:space="preserve"> </v>
      </c>
    </row>
    <row r="947" spans="1:13" x14ac:dyDescent="0.35">
      <c r="A947" t="s">
        <v>3463</v>
      </c>
      <c r="B947" t="s">
        <v>4795</v>
      </c>
      <c r="C947" t="s">
        <v>4491</v>
      </c>
      <c r="D947" t="s">
        <v>1192</v>
      </c>
      <c r="E947" t="s">
        <v>1193</v>
      </c>
      <c r="F947" t="s">
        <v>1194</v>
      </c>
      <c r="G947" t="s">
        <v>87</v>
      </c>
      <c r="H947">
        <v>560001</v>
      </c>
      <c r="I947" t="s">
        <v>71</v>
      </c>
      <c r="J947" s="3">
        <v>44461</v>
      </c>
      <c r="M947" t="str">
        <f t="shared" si="14"/>
        <v xml:space="preserve"> </v>
      </c>
    </row>
    <row r="948" spans="1:13" x14ac:dyDescent="0.35">
      <c r="A948" t="s">
        <v>3465</v>
      </c>
      <c r="B948" t="s">
        <v>5179</v>
      </c>
      <c r="C948" t="s">
        <v>4492</v>
      </c>
      <c r="D948" s="2">
        <v>49211123456</v>
      </c>
      <c r="E948" t="s">
        <v>1189</v>
      </c>
      <c r="F948" t="s">
        <v>1190</v>
      </c>
      <c r="G948" t="s">
        <v>91</v>
      </c>
      <c r="H948">
        <v>40212</v>
      </c>
      <c r="I948" t="s">
        <v>80</v>
      </c>
      <c r="J948" s="3">
        <v>44870</v>
      </c>
      <c r="M948" t="str">
        <f t="shared" si="14"/>
        <v xml:space="preserve"> </v>
      </c>
    </row>
    <row r="949" spans="1:13" x14ac:dyDescent="0.35">
      <c r="A949" t="s">
        <v>3467</v>
      </c>
      <c r="B949" t="s">
        <v>5180</v>
      </c>
      <c r="C949" t="s">
        <v>4493</v>
      </c>
      <c r="D949" t="s">
        <v>1184</v>
      </c>
      <c r="E949" t="s">
        <v>1185</v>
      </c>
      <c r="F949" t="s">
        <v>1186</v>
      </c>
      <c r="G949" t="s">
        <v>1187</v>
      </c>
      <c r="H949">
        <v>1212</v>
      </c>
      <c r="I949" t="s">
        <v>74</v>
      </c>
      <c r="J949" s="3">
        <v>45119</v>
      </c>
      <c r="M949" t="str">
        <f t="shared" si="14"/>
        <v xml:space="preserve"> </v>
      </c>
    </row>
    <row r="950" spans="1:13" x14ac:dyDescent="0.35">
      <c r="A950" t="s">
        <v>3469</v>
      </c>
      <c r="B950" t="s">
        <v>4679</v>
      </c>
      <c r="C950" t="s">
        <v>4494</v>
      </c>
      <c r="D950" t="s">
        <v>1178</v>
      </c>
      <c r="E950" t="s">
        <v>1179</v>
      </c>
      <c r="F950" t="s">
        <v>1180</v>
      </c>
      <c r="G950" t="s">
        <v>1181</v>
      </c>
      <c r="H950" t="s">
        <v>1182</v>
      </c>
      <c r="I950" t="s">
        <v>71</v>
      </c>
      <c r="J950" s="3">
        <v>44423</v>
      </c>
      <c r="M950" t="str">
        <f t="shared" si="14"/>
        <v xml:space="preserve"> </v>
      </c>
    </row>
    <row r="951" spans="1:13" x14ac:dyDescent="0.35">
      <c r="A951" t="s">
        <v>3471</v>
      </c>
      <c r="B951" t="s">
        <v>4567</v>
      </c>
      <c r="C951" t="s">
        <v>4495</v>
      </c>
      <c r="D951" t="s">
        <v>1173</v>
      </c>
      <c r="E951" t="s">
        <v>1174</v>
      </c>
      <c r="F951" t="s">
        <v>1175</v>
      </c>
      <c r="G951" t="s">
        <v>1176</v>
      </c>
      <c r="H951">
        <v>110321</v>
      </c>
      <c r="I951" t="s">
        <v>80</v>
      </c>
      <c r="J951" s="3">
        <v>44862</v>
      </c>
      <c r="M951" t="str">
        <f t="shared" si="14"/>
        <v xml:space="preserve"> </v>
      </c>
    </row>
    <row r="952" spans="1:13" x14ac:dyDescent="0.35">
      <c r="A952" t="s">
        <v>3473</v>
      </c>
      <c r="B952" t="s">
        <v>5181</v>
      </c>
      <c r="C952" t="s">
        <v>4496</v>
      </c>
      <c r="D952" t="s">
        <v>1168</v>
      </c>
      <c r="E952" t="s">
        <v>1169</v>
      </c>
      <c r="F952" t="s">
        <v>1170</v>
      </c>
      <c r="G952" t="s">
        <v>76</v>
      </c>
      <c r="H952" t="s">
        <v>1171</v>
      </c>
      <c r="I952" t="s">
        <v>74</v>
      </c>
      <c r="J952" s="3">
        <v>45051</v>
      </c>
      <c r="M952" t="str">
        <f t="shared" si="14"/>
        <v xml:space="preserve"> </v>
      </c>
    </row>
    <row r="953" spans="1:13" x14ac:dyDescent="0.35">
      <c r="A953" t="s">
        <v>3475</v>
      </c>
      <c r="B953" t="s">
        <v>5182</v>
      </c>
      <c r="C953" t="s">
        <v>4497</v>
      </c>
      <c r="D953" t="s">
        <v>1164</v>
      </c>
      <c r="E953" t="s">
        <v>1165</v>
      </c>
      <c r="F953" t="s">
        <v>1166</v>
      </c>
      <c r="G953" t="s">
        <v>1076</v>
      </c>
      <c r="H953">
        <v>21599</v>
      </c>
      <c r="I953" t="s">
        <v>71</v>
      </c>
      <c r="J953" s="3">
        <v>44540</v>
      </c>
      <c r="M953" t="str">
        <f t="shared" si="14"/>
        <v xml:space="preserve"> </v>
      </c>
    </row>
    <row r="954" spans="1:13" x14ac:dyDescent="0.35">
      <c r="A954" t="s">
        <v>3477</v>
      </c>
      <c r="B954" t="s">
        <v>4622</v>
      </c>
      <c r="C954" t="s">
        <v>4498</v>
      </c>
      <c r="D954" t="s">
        <v>1161</v>
      </c>
      <c r="E954" t="s">
        <v>1162</v>
      </c>
      <c r="F954" t="s">
        <v>103</v>
      </c>
      <c r="G954" t="s">
        <v>104</v>
      </c>
      <c r="H954">
        <v>119019</v>
      </c>
      <c r="I954" t="s">
        <v>80</v>
      </c>
      <c r="J954" s="3">
        <v>44829</v>
      </c>
      <c r="M954" t="str">
        <f t="shared" si="14"/>
        <v xml:space="preserve"> </v>
      </c>
    </row>
    <row r="955" spans="1:13" x14ac:dyDescent="0.35">
      <c r="A955" t="s">
        <v>3479</v>
      </c>
      <c r="B955" t="s">
        <v>5183</v>
      </c>
      <c r="C955" t="s">
        <v>4499</v>
      </c>
      <c r="D955" t="s">
        <v>1157</v>
      </c>
      <c r="E955" t="s">
        <v>1158</v>
      </c>
      <c r="F955" t="s">
        <v>1159</v>
      </c>
      <c r="G955" t="s">
        <v>73</v>
      </c>
      <c r="H955">
        <v>8002</v>
      </c>
      <c r="I955" t="s">
        <v>74</v>
      </c>
      <c r="J955" s="3">
        <v>45168</v>
      </c>
      <c r="M955" t="str">
        <f t="shared" si="14"/>
        <v xml:space="preserve"> </v>
      </c>
    </row>
    <row r="956" spans="1:13" x14ac:dyDescent="0.35">
      <c r="A956" t="s">
        <v>3481</v>
      </c>
      <c r="B956" t="s">
        <v>5140</v>
      </c>
      <c r="C956" t="s">
        <v>4500</v>
      </c>
      <c r="D956" t="s">
        <v>1152</v>
      </c>
      <c r="E956" t="s">
        <v>1153</v>
      </c>
      <c r="F956" t="s">
        <v>1154</v>
      </c>
      <c r="G956" t="s">
        <v>1155</v>
      </c>
      <c r="H956">
        <v>100</v>
      </c>
      <c r="I956" t="s">
        <v>71</v>
      </c>
      <c r="J956" s="3">
        <v>44517</v>
      </c>
      <c r="M956" t="str">
        <f t="shared" si="14"/>
        <v xml:space="preserve"> </v>
      </c>
    </row>
    <row r="957" spans="1:13" x14ac:dyDescent="0.35">
      <c r="A957" t="s">
        <v>3483</v>
      </c>
      <c r="B957" t="s">
        <v>5184</v>
      </c>
      <c r="C957" t="s">
        <v>4501</v>
      </c>
      <c r="D957" t="s">
        <v>1147</v>
      </c>
      <c r="E957" t="s">
        <v>1148</v>
      </c>
      <c r="F957" t="s">
        <v>1149</v>
      </c>
      <c r="G957" t="s">
        <v>1150</v>
      </c>
      <c r="H957">
        <v>1550</v>
      </c>
      <c r="I957" t="s">
        <v>80</v>
      </c>
      <c r="J957" s="3">
        <v>44745</v>
      </c>
      <c r="M957" t="str">
        <f t="shared" si="14"/>
        <v xml:space="preserve"> </v>
      </c>
    </row>
    <row r="958" spans="1:13" x14ac:dyDescent="0.35">
      <c r="A958" t="s">
        <v>3485</v>
      </c>
      <c r="B958" t="s">
        <v>5114</v>
      </c>
      <c r="C958" t="s">
        <v>4502</v>
      </c>
      <c r="D958" s="2">
        <v>6561234567</v>
      </c>
      <c r="E958" t="s">
        <v>1144</v>
      </c>
      <c r="F958" t="s">
        <v>1145</v>
      </c>
      <c r="G958" t="s">
        <v>1145</v>
      </c>
      <c r="H958">
        <v>238859</v>
      </c>
      <c r="I958" t="s">
        <v>74</v>
      </c>
      <c r="J958" s="3">
        <v>45044</v>
      </c>
      <c r="M958" t="str">
        <f t="shared" si="14"/>
        <v xml:space="preserve"> </v>
      </c>
    </row>
    <row r="959" spans="1:13" x14ac:dyDescent="0.35">
      <c r="A959" t="s">
        <v>3487</v>
      </c>
      <c r="B959" t="s">
        <v>4628</v>
      </c>
      <c r="C959" t="s">
        <v>4503</v>
      </c>
      <c r="D959" t="s">
        <v>1139</v>
      </c>
      <c r="E959" t="s">
        <v>1140</v>
      </c>
      <c r="F959" t="s">
        <v>1141</v>
      </c>
      <c r="G959" t="s">
        <v>1142</v>
      </c>
      <c r="H959">
        <v>34433</v>
      </c>
      <c r="I959" t="s">
        <v>71</v>
      </c>
      <c r="J959" s="3">
        <v>44607</v>
      </c>
      <c r="M959" t="str">
        <f t="shared" si="14"/>
        <v xml:space="preserve"> </v>
      </c>
    </row>
    <row r="960" spans="1:13" x14ac:dyDescent="0.35">
      <c r="A960" t="s">
        <v>3489</v>
      </c>
      <c r="B960" t="s">
        <v>5185</v>
      </c>
      <c r="C960" t="s">
        <v>4504</v>
      </c>
      <c r="D960" t="s">
        <v>1136</v>
      </c>
      <c r="E960" t="s">
        <v>1137</v>
      </c>
      <c r="F960" t="s">
        <v>98</v>
      </c>
      <c r="G960" t="s">
        <v>99</v>
      </c>
      <c r="H960">
        <v>11560</v>
      </c>
      <c r="I960" t="s">
        <v>74</v>
      </c>
      <c r="J960" s="3">
        <v>45091</v>
      </c>
      <c r="M960" t="str">
        <f t="shared" si="14"/>
        <v xml:space="preserve"> </v>
      </c>
    </row>
    <row r="961" spans="1:13" x14ac:dyDescent="0.35">
      <c r="A961" t="s">
        <v>3491</v>
      </c>
      <c r="B961" t="s">
        <v>5131</v>
      </c>
      <c r="C961" t="s">
        <v>4505</v>
      </c>
      <c r="D961" t="s">
        <v>1132</v>
      </c>
      <c r="E961" t="s">
        <v>1133</v>
      </c>
      <c r="F961" t="s">
        <v>1134</v>
      </c>
      <c r="G961" t="s">
        <v>87</v>
      </c>
      <c r="H961">
        <v>110001</v>
      </c>
      <c r="I961" t="s">
        <v>71</v>
      </c>
      <c r="J961" s="3">
        <v>44499</v>
      </c>
      <c r="M961" t="str">
        <f t="shared" si="14"/>
        <v xml:space="preserve"> </v>
      </c>
    </row>
    <row r="962" spans="1:13" x14ac:dyDescent="0.35">
      <c r="A962" t="s">
        <v>3493</v>
      </c>
      <c r="B962" t="s">
        <v>5186</v>
      </c>
      <c r="C962" t="s">
        <v>4506</v>
      </c>
      <c r="D962" t="s">
        <v>1127</v>
      </c>
      <c r="E962" t="s">
        <v>1128</v>
      </c>
      <c r="F962" t="s">
        <v>1129</v>
      </c>
      <c r="G962" t="s">
        <v>1070</v>
      </c>
      <c r="H962" t="s">
        <v>1130</v>
      </c>
      <c r="I962" t="s">
        <v>80</v>
      </c>
      <c r="J962" s="3">
        <v>44903</v>
      </c>
      <c r="M962" t="str">
        <f t="shared" si="14"/>
        <v xml:space="preserve"> </v>
      </c>
    </row>
    <row r="963" spans="1:13" x14ac:dyDescent="0.35">
      <c r="A963" t="s">
        <v>3495</v>
      </c>
      <c r="B963" t="s">
        <v>4780</v>
      </c>
      <c r="C963" t="s">
        <v>4507</v>
      </c>
      <c r="D963" t="s">
        <v>1123</v>
      </c>
      <c r="E963" t="s">
        <v>1124</v>
      </c>
      <c r="F963" t="s">
        <v>1125</v>
      </c>
      <c r="G963" t="s">
        <v>104</v>
      </c>
      <c r="H963">
        <v>191025</v>
      </c>
      <c r="I963" t="s">
        <v>74</v>
      </c>
      <c r="J963" s="3">
        <v>45252</v>
      </c>
      <c r="M963" t="str">
        <f t="shared" si="14"/>
        <v xml:space="preserve"> </v>
      </c>
    </row>
    <row r="964" spans="1:13" x14ac:dyDescent="0.35">
      <c r="A964" t="s">
        <v>3497</v>
      </c>
      <c r="B964" t="s">
        <v>5180</v>
      </c>
      <c r="C964" t="s">
        <v>4508</v>
      </c>
      <c r="D964" t="s">
        <v>1119</v>
      </c>
      <c r="E964" t="s">
        <v>1120</v>
      </c>
      <c r="F964" t="s">
        <v>1121</v>
      </c>
      <c r="G964" t="s">
        <v>87</v>
      </c>
      <c r="H964">
        <v>380009</v>
      </c>
      <c r="I964" t="s">
        <v>71</v>
      </c>
      <c r="J964" s="3">
        <v>44444</v>
      </c>
      <c r="M964" t="str">
        <f t="shared" ref="M964:M984" si="15">V964&amp;" "&amp;W964</f>
        <v xml:space="preserve"> </v>
      </c>
    </row>
    <row r="965" spans="1:13" x14ac:dyDescent="0.35">
      <c r="A965" t="s">
        <v>3499</v>
      </c>
      <c r="B965" t="s">
        <v>4617</v>
      </c>
      <c r="C965" t="s">
        <v>4509</v>
      </c>
      <c r="D965" t="s">
        <v>1114</v>
      </c>
      <c r="E965" t="s">
        <v>1115</v>
      </c>
      <c r="F965" t="s">
        <v>1116</v>
      </c>
      <c r="G965" t="s">
        <v>1117</v>
      </c>
      <c r="H965">
        <v>7500000</v>
      </c>
      <c r="I965" t="s">
        <v>74</v>
      </c>
      <c r="J965" s="3">
        <v>44792</v>
      </c>
      <c r="M965" t="str">
        <f t="shared" si="15"/>
        <v xml:space="preserve"> </v>
      </c>
    </row>
    <row r="966" spans="1:13" x14ac:dyDescent="0.35">
      <c r="A966" t="s">
        <v>3500</v>
      </c>
      <c r="B966" t="s">
        <v>5187</v>
      </c>
      <c r="C966" t="s">
        <v>4510</v>
      </c>
      <c r="D966" t="s">
        <v>1108</v>
      </c>
      <c r="E966" t="s">
        <v>1109</v>
      </c>
      <c r="F966" t="s">
        <v>1110</v>
      </c>
      <c r="G966" t="s">
        <v>1111</v>
      </c>
      <c r="H966" t="s">
        <v>1112</v>
      </c>
      <c r="I966" t="s">
        <v>80</v>
      </c>
      <c r="J966" s="3">
        <v>45211</v>
      </c>
      <c r="M966" t="str">
        <f t="shared" si="15"/>
        <v xml:space="preserve"> </v>
      </c>
    </row>
    <row r="967" spans="1:13" x14ac:dyDescent="0.35">
      <c r="A967" t="s">
        <v>3502</v>
      </c>
      <c r="B967" t="s">
        <v>5188</v>
      </c>
      <c r="C967" t="s">
        <v>4511</v>
      </c>
      <c r="D967" t="s">
        <v>1104</v>
      </c>
      <c r="E967" t="s">
        <v>1105</v>
      </c>
      <c r="F967" t="s">
        <v>1106</v>
      </c>
      <c r="G967" t="s">
        <v>89</v>
      </c>
      <c r="H967">
        <v>200001</v>
      </c>
      <c r="I967" t="s">
        <v>71</v>
      </c>
      <c r="J967" s="3">
        <v>44689</v>
      </c>
      <c r="M967" t="str">
        <f t="shared" si="15"/>
        <v xml:space="preserve"> </v>
      </c>
    </row>
    <row r="968" spans="1:13" x14ac:dyDescent="0.35">
      <c r="A968" t="s">
        <v>3504</v>
      </c>
      <c r="B968" t="s">
        <v>5133</v>
      </c>
      <c r="C968" t="s">
        <v>4512</v>
      </c>
      <c r="D968" t="s">
        <v>1101</v>
      </c>
      <c r="E968" t="s">
        <v>1102</v>
      </c>
      <c r="F968" t="s">
        <v>94</v>
      </c>
      <c r="G968" t="s">
        <v>82</v>
      </c>
      <c r="H968">
        <v>186</v>
      </c>
      <c r="I968" t="s">
        <v>74</v>
      </c>
      <c r="J968" s="3">
        <v>45010</v>
      </c>
      <c r="M968" t="str">
        <f t="shared" si="15"/>
        <v xml:space="preserve"> </v>
      </c>
    </row>
    <row r="969" spans="1:13" x14ac:dyDescent="0.35">
      <c r="A969" t="s">
        <v>3506</v>
      </c>
      <c r="B969" t="s">
        <v>4988</v>
      </c>
      <c r="C969" t="s">
        <v>4513</v>
      </c>
      <c r="D969" t="s">
        <v>1097</v>
      </c>
      <c r="E969" t="s">
        <v>1098</v>
      </c>
      <c r="F969" t="s">
        <v>1099</v>
      </c>
      <c r="G969" t="s">
        <v>125</v>
      </c>
      <c r="H969">
        <v>21431</v>
      </c>
      <c r="I969" t="s">
        <v>71</v>
      </c>
      <c r="J969" s="3">
        <v>44391</v>
      </c>
      <c r="M969" t="str">
        <f t="shared" si="15"/>
        <v xml:space="preserve"> </v>
      </c>
    </row>
    <row r="970" spans="1:13" x14ac:dyDescent="0.35">
      <c r="A970" t="s">
        <v>3508</v>
      </c>
      <c r="B970" t="s">
        <v>5189</v>
      </c>
      <c r="C970" t="s">
        <v>4514</v>
      </c>
      <c r="D970" t="s">
        <v>1092</v>
      </c>
      <c r="E970" t="s">
        <v>1093</v>
      </c>
      <c r="F970" t="s">
        <v>1094</v>
      </c>
      <c r="G970" t="s">
        <v>1095</v>
      </c>
      <c r="H970">
        <v>10096</v>
      </c>
      <c r="I970" t="s">
        <v>74</v>
      </c>
      <c r="J970" s="3">
        <v>44895</v>
      </c>
      <c r="M970" t="str">
        <f t="shared" si="15"/>
        <v xml:space="preserve"> </v>
      </c>
    </row>
    <row r="971" spans="1:13" x14ac:dyDescent="0.35">
      <c r="A971" t="s">
        <v>3510</v>
      </c>
      <c r="B971" t="s">
        <v>5190</v>
      </c>
      <c r="C971" t="s">
        <v>4515</v>
      </c>
      <c r="D971" t="s">
        <v>1087</v>
      </c>
      <c r="E971" t="s">
        <v>1088</v>
      </c>
      <c r="F971" t="s">
        <v>1089</v>
      </c>
      <c r="G971" t="s">
        <v>1090</v>
      </c>
      <c r="H971">
        <v>75600</v>
      </c>
      <c r="I971" t="s">
        <v>80</v>
      </c>
      <c r="J971" s="3">
        <v>45187</v>
      </c>
      <c r="M971" t="str">
        <f t="shared" si="15"/>
        <v xml:space="preserve"> </v>
      </c>
    </row>
    <row r="972" spans="1:13" x14ac:dyDescent="0.35">
      <c r="A972" t="s">
        <v>3512</v>
      </c>
      <c r="B972" t="s">
        <v>3543</v>
      </c>
      <c r="C972" t="s">
        <v>4516</v>
      </c>
      <c r="D972" t="s">
        <v>1082</v>
      </c>
      <c r="E972" t="s">
        <v>1083</v>
      </c>
      <c r="F972" t="s">
        <v>1084</v>
      </c>
      <c r="G972" t="s">
        <v>76</v>
      </c>
      <c r="H972" t="s">
        <v>1085</v>
      </c>
      <c r="I972" t="s">
        <v>71</v>
      </c>
      <c r="J972" s="3">
        <v>44663</v>
      </c>
      <c r="M972" t="str">
        <f t="shared" si="15"/>
        <v xml:space="preserve"> </v>
      </c>
    </row>
    <row r="973" spans="1:13" x14ac:dyDescent="0.35">
      <c r="A973" t="s">
        <v>3514</v>
      </c>
      <c r="B973" t="s">
        <v>5144</v>
      </c>
      <c r="C973" t="s">
        <v>4517</v>
      </c>
      <c r="D973" t="s">
        <v>1078</v>
      </c>
      <c r="E973" t="s">
        <v>1079</v>
      </c>
      <c r="F973" t="s">
        <v>1080</v>
      </c>
      <c r="G973" t="s">
        <v>91</v>
      </c>
      <c r="H973">
        <v>80331</v>
      </c>
      <c r="I973" t="s">
        <v>74</v>
      </c>
      <c r="J973" s="3">
        <v>45143</v>
      </c>
      <c r="M973" t="str">
        <f t="shared" si="15"/>
        <v xml:space="preserve"> </v>
      </c>
    </row>
    <row r="974" spans="1:13" x14ac:dyDescent="0.35">
      <c r="A974" t="s">
        <v>3516</v>
      </c>
      <c r="B974" t="s">
        <v>5000</v>
      </c>
      <c r="C974" t="s">
        <v>4518</v>
      </c>
      <c r="D974" t="s">
        <v>1073</v>
      </c>
      <c r="E974" t="s">
        <v>1074</v>
      </c>
      <c r="F974" t="s">
        <v>1075</v>
      </c>
      <c r="G974" t="s">
        <v>1076</v>
      </c>
      <c r="H974">
        <v>11511</v>
      </c>
      <c r="I974" t="s">
        <v>71</v>
      </c>
      <c r="J974" s="3">
        <v>44558</v>
      </c>
      <c r="M974" t="str">
        <f t="shared" si="15"/>
        <v xml:space="preserve"> </v>
      </c>
    </row>
    <row r="975" spans="1:13" x14ac:dyDescent="0.35">
      <c r="A975" t="s">
        <v>3518</v>
      </c>
      <c r="B975" t="s">
        <v>5191</v>
      </c>
      <c r="C975" t="s">
        <v>4519</v>
      </c>
      <c r="D975" t="s">
        <v>1067</v>
      </c>
      <c r="E975" t="s">
        <v>1068</v>
      </c>
      <c r="F975" t="s">
        <v>1069</v>
      </c>
      <c r="G975" t="s">
        <v>1070</v>
      </c>
      <c r="H975" t="s">
        <v>1071</v>
      </c>
      <c r="I975" t="s">
        <v>74</v>
      </c>
      <c r="J975" s="3">
        <v>44849</v>
      </c>
      <c r="M975" t="str">
        <f t="shared" si="15"/>
        <v xml:space="preserve"> </v>
      </c>
    </row>
    <row r="976" spans="1:13" x14ac:dyDescent="0.35">
      <c r="A976" t="s">
        <v>3520</v>
      </c>
      <c r="B976" t="s">
        <v>4666</v>
      </c>
      <c r="C976" t="s">
        <v>4520</v>
      </c>
      <c r="D976" t="s">
        <v>1062</v>
      </c>
      <c r="E976" t="s">
        <v>1063</v>
      </c>
      <c r="F976" t="s">
        <v>1064</v>
      </c>
      <c r="G976" t="s">
        <v>1065</v>
      </c>
      <c r="H976">
        <v>12500</v>
      </c>
      <c r="I976" t="s">
        <v>80</v>
      </c>
      <c r="J976" s="3">
        <v>45129</v>
      </c>
      <c r="M976" t="str">
        <f t="shared" si="15"/>
        <v xml:space="preserve"> </v>
      </c>
    </row>
    <row r="977" spans="1:13" x14ac:dyDescent="0.35">
      <c r="A977" t="s">
        <v>3522</v>
      </c>
      <c r="B977" t="s">
        <v>4571</v>
      </c>
      <c r="C977" t="s">
        <v>4521</v>
      </c>
      <c r="D977" t="s">
        <v>127</v>
      </c>
      <c r="E977" t="s">
        <v>128</v>
      </c>
      <c r="F977" t="s">
        <v>129</v>
      </c>
      <c r="G977" t="s">
        <v>130</v>
      </c>
      <c r="H977">
        <v>8001</v>
      </c>
      <c r="I977" t="s">
        <v>74</v>
      </c>
      <c r="J977" s="3">
        <v>44934</v>
      </c>
      <c r="M977" t="str">
        <f t="shared" si="15"/>
        <v xml:space="preserve"> </v>
      </c>
    </row>
    <row r="978" spans="1:13" x14ac:dyDescent="0.35">
      <c r="A978" t="s">
        <v>3524</v>
      </c>
      <c r="B978" t="s">
        <v>5192</v>
      </c>
      <c r="C978" t="s">
        <v>4522</v>
      </c>
      <c r="D978" t="s">
        <v>122</v>
      </c>
      <c r="E978" t="s">
        <v>123</v>
      </c>
      <c r="F978" t="s">
        <v>124</v>
      </c>
      <c r="G978" t="s">
        <v>125</v>
      </c>
      <c r="H978">
        <v>11564</v>
      </c>
      <c r="I978" t="s">
        <v>71</v>
      </c>
      <c r="J978" s="3">
        <v>44530</v>
      </c>
      <c r="M978" t="str">
        <f t="shared" si="15"/>
        <v xml:space="preserve"> </v>
      </c>
    </row>
    <row r="979" spans="1:13" x14ac:dyDescent="0.35">
      <c r="A979" t="s">
        <v>3526</v>
      </c>
      <c r="B979" t="s">
        <v>4555</v>
      </c>
      <c r="C979" t="s">
        <v>4523</v>
      </c>
      <c r="D979" t="s">
        <v>117</v>
      </c>
      <c r="E979" t="s">
        <v>118</v>
      </c>
      <c r="F979" t="s">
        <v>119</v>
      </c>
      <c r="G979" t="s">
        <v>76</v>
      </c>
      <c r="H979" t="s">
        <v>120</v>
      </c>
      <c r="I979" t="s">
        <v>74</v>
      </c>
      <c r="J979" s="3">
        <v>44767</v>
      </c>
      <c r="M979" t="str">
        <f t="shared" si="15"/>
        <v xml:space="preserve"> </v>
      </c>
    </row>
    <row r="980" spans="1:13" x14ac:dyDescent="0.35">
      <c r="A980" t="s">
        <v>3528</v>
      </c>
      <c r="B980" t="s">
        <v>4858</v>
      </c>
      <c r="C980" t="s">
        <v>4524</v>
      </c>
      <c r="D980" t="s">
        <v>112</v>
      </c>
      <c r="E980" t="s">
        <v>113</v>
      </c>
      <c r="F980" t="s">
        <v>114</v>
      </c>
      <c r="G980" t="s">
        <v>115</v>
      </c>
      <c r="H980">
        <v>1250</v>
      </c>
      <c r="I980" t="s">
        <v>80</v>
      </c>
      <c r="J980" s="3">
        <v>44969</v>
      </c>
      <c r="M980" t="str">
        <f t="shared" si="15"/>
        <v xml:space="preserve"> </v>
      </c>
    </row>
    <row r="981" spans="1:13" x14ac:dyDescent="0.35">
      <c r="A981" t="s">
        <v>3530</v>
      </c>
      <c r="B981" t="s">
        <v>4944</v>
      </c>
      <c r="C981" t="s">
        <v>4525</v>
      </c>
      <c r="D981" t="s">
        <v>106</v>
      </c>
      <c r="E981" t="s">
        <v>107</v>
      </c>
      <c r="F981" t="s">
        <v>108</v>
      </c>
      <c r="G981" t="s">
        <v>109</v>
      </c>
      <c r="H981" t="s">
        <v>110</v>
      </c>
      <c r="I981" t="s">
        <v>71</v>
      </c>
      <c r="J981" s="3">
        <v>44625</v>
      </c>
      <c r="M981" t="str">
        <f t="shared" si="15"/>
        <v xml:space="preserve"> </v>
      </c>
    </row>
    <row r="982" spans="1:13" x14ac:dyDescent="0.35">
      <c r="A982" t="s">
        <v>3532</v>
      </c>
      <c r="B982" t="s">
        <v>5193</v>
      </c>
      <c r="C982" t="s">
        <v>4526</v>
      </c>
      <c r="D982" t="s">
        <v>101</v>
      </c>
      <c r="E982" t="s">
        <v>102</v>
      </c>
      <c r="F982" t="s">
        <v>103</v>
      </c>
      <c r="G982" t="s">
        <v>104</v>
      </c>
      <c r="H982">
        <v>125009</v>
      </c>
      <c r="I982" t="s">
        <v>74</v>
      </c>
      <c r="J982" s="3">
        <v>45095</v>
      </c>
      <c r="M982" t="str">
        <f t="shared" si="15"/>
        <v xml:space="preserve"> </v>
      </c>
    </row>
    <row r="983" spans="1:13" x14ac:dyDescent="0.35">
      <c r="A983" t="s">
        <v>3534</v>
      </c>
      <c r="B983" t="s">
        <v>5194</v>
      </c>
      <c r="C983" t="s">
        <v>4527</v>
      </c>
      <c r="D983" t="s">
        <v>96</v>
      </c>
      <c r="E983" t="s">
        <v>97</v>
      </c>
      <c r="F983" t="s">
        <v>98</v>
      </c>
      <c r="G983" t="s">
        <v>99</v>
      </c>
      <c r="H983">
        <v>6600</v>
      </c>
      <c r="I983" t="s">
        <v>71</v>
      </c>
      <c r="J983" s="3">
        <v>44430</v>
      </c>
      <c r="M983" t="str">
        <f t="shared" si="15"/>
        <v xml:space="preserve"> </v>
      </c>
    </row>
    <row r="984" spans="1:13" x14ac:dyDescent="0.35">
      <c r="M984" t="str">
        <f t="shared" si="15"/>
        <v xml:space="preserve"> </v>
      </c>
    </row>
  </sheetData>
  <sortState xmlns:xlrd2="http://schemas.microsoft.com/office/spreadsheetml/2017/richdata2" ref="A2:A983">
    <sortCondition descending="1" sortBy="icon" ref="A2:A983"/>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CE7CD-8242-4199-BEFE-13AC944C4D91}">
  <dimension ref="A1:G984"/>
  <sheetViews>
    <sheetView workbookViewId="0"/>
  </sheetViews>
  <sheetFormatPr defaultRowHeight="14.5" x14ac:dyDescent="0.35"/>
  <cols>
    <col min="2" max="2" width="13.7265625" customWidth="1"/>
    <col min="3" max="3" width="12.7265625" customWidth="1"/>
    <col min="4" max="4" width="14" customWidth="1"/>
    <col min="6" max="6" width="12.26953125" style="10" bestFit="1" customWidth="1"/>
  </cols>
  <sheetData>
    <row r="1" spans="1:7" x14ac:dyDescent="0.35">
      <c r="A1" t="s">
        <v>3</v>
      </c>
      <c r="B1" t="s">
        <v>3536</v>
      </c>
      <c r="C1" t="s">
        <v>3537</v>
      </c>
      <c r="D1" t="s">
        <v>3538</v>
      </c>
      <c r="E1" t="s">
        <v>5195</v>
      </c>
      <c r="F1" s="10" t="s">
        <v>6361</v>
      </c>
      <c r="G1" t="s">
        <v>6364</v>
      </c>
    </row>
    <row r="2" spans="1:7" x14ac:dyDescent="0.35">
      <c r="A2" t="s">
        <v>5200</v>
      </c>
      <c r="B2" t="s">
        <v>5201</v>
      </c>
      <c r="C2" t="s">
        <v>5202</v>
      </c>
      <c r="D2">
        <v>34.35</v>
      </c>
      <c r="E2" t="s">
        <v>5197</v>
      </c>
      <c r="F2" s="10" t="s">
        <v>6362</v>
      </c>
      <c r="G2" t="s">
        <v>6365</v>
      </c>
    </row>
    <row r="3" spans="1:7" x14ac:dyDescent="0.35">
      <c r="A3" t="s">
        <v>5203</v>
      </c>
      <c r="B3" t="s">
        <v>5204</v>
      </c>
      <c r="C3" t="s">
        <v>5205</v>
      </c>
      <c r="D3">
        <v>33.630000000000003</v>
      </c>
      <c r="E3" t="s">
        <v>5199</v>
      </c>
      <c r="F3" s="10" t="s">
        <v>6363</v>
      </c>
      <c r="G3" t="s">
        <v>71</v>
      </c>
    </row>
    <row r="4" spans="1:7" x14ac:dyDescent="0.35">
      <c r="A4" t="s">
        <v>5206</v>
      </c>
      <c r="B4" t="s">
        <v>5207</v>
      </c>
      <c r="C4" t="s">
        <v>5208</v>
      </c>
      <c r="D4">
        <v>31.32</v>
      </c>
      <c r="E4" t="s">
        <v>5199</v>
      </c>
      <c r="F4" s="10" t="s">
        <v>6363</v>
      </c>
      <c r="G4" t="s">
        <v>74</v>
      </c>
    </row>
    <row r="5" spans="1:7" x14ac:dyDescent="0.35">
      <c r="A5" t="s">
        <v>5209</v>
      </c>
      <c r="B5" t="s">
        <v>5210</v>
      </c>
      <c r="C5" t="s">
        <v>4896</v>
      </c>
      <c r="D5">
        <v>30.46</v>
      </c>
      <c r="E5" t="s">
        <v>5199</v>
      </c>
      <c r="F5" s="10" t="s">
        <v>6363</v>
      </c>
      <c r="G5" t="s">
        <v>6365</v>
      </c>
    </row>
    <row r="6" spans="1:7" x14ac:dyDescent="0.35">
      <c r="A6" t="s">
        <v>5211</v>
      </c>
      <c r="B6" t="s">
        <v>5212</v>
      </c>
      <c r="C6" t="s">
        <v>4856</v>
      </c>
      <c r="D6">
        <v>31.45</v>
      </c>
      <c r="E6" t="s">
        <v>5199</v>
      </c>
      <c r="F6" s="10" t="s">
        <v>6363</v>
      </c>
      <c r="G6" t="s">
        <v>74</v>
      </c>
    </row>
    <row r="7" spans="1:7" x14ac:dyDescent="0.35">
      <c r="A7" t="s">
        <v>5213</v>
      </c>
      <c r="B7" t="s">
        <v>5214</v>
      </c>
      <c r="C7" t="s">
        <v>5215</v>
      </c>
      <c r="D7">
        <v>17.41</v>
      </c>
      <c r="E7" t="s">
        <v>5196</v>
      </c>
      <c r="F7" s="10" t="s">
        <v>6363</v>
      </c>
      <c r="G7" t="s">
        <v>6365</v>
      </c>
    </row>
    <row r="8" spans="1:7" x14ac:dyDescent="0.35">
      <c r="A8" t="s">
        <v>5216</v>
      </c>
      <c r="B8" t="s">
        <v>5217</v>
      </c>
      <c r="C8" t="s">
        <v>4856</v>
      </c>
      <c r="D8">
        <v>11.13</v>
      </c>
      <c r="E8" t="s">
        <v>5197</v>
      </c>
      <c r="F8" s="10" t="s">
        <v>6362</v>
      </c>
      <c r="G8" t="s">
        <v>74</v>
      </c>
    </row>
    <row r="9" spans="1:7" x14ac:dyDescent="0.35">
      <c r="A9" t="s">
        <v>5218</v>
      </c>
      <c r="B9" t="s">
        <v>5219</v>
      </c>
      <c r="C9" t="s">
        <v>4773</v>
      </c>
      <c r="D9">
        <v>31.29</v>
      </c>
      <c r="E9" t="s">
        <v>5199</v>
      </c>
      <c r="F9" s="10" t="s">
        <v>6362</v>
      </c>
      <c r="G9" t="s">
        <v>6365</v>
      </c>
    </row>
    <row r="10" spans="1:7" x14ac:dyDescent="0.35">
      <c r="A10" t="s">
        <v>5220</v>
      </c>
      <c r="B10" t="s">
        <v>5221</v>
      </c>
      <c r="C10" t="s">
        <v>5222</v>
      </c>
      <c r="D10">
        <v>10.51</v>
      </c>
      <c r="E10" t="s">
        <v>5199</v>
      </c>
      <c r="F10" s="10" t="s">
        <v>6362</v>
      </c>
      <c r="G10" t="s">
        <v>6365</v>
      </c>
    </row>
    <row r="11" spans="1:7" x14ac:dyDescent="0.35">
      <c r="A11" t="s">
        <v>5223</v>
      </c>
      <c r="B11" t="s">
        <v>5224</v>
      </c>
      <c r="C11" t="s">
        <v>5225</v>
      </c>
      <c r="D11">
        <v>23.32</v>
      </c>
      <c r="E11" t="s">
        <v>5196</v>
      </c>
      <c r="F11" s="10" t="s">
        <v>6362</v>
      </c>
      <c r="G11" t="s">
        <v>74</v>
      </c>
    </row>
    <row r="12" spans="1:7" x14ac:dyDescent="0.35">
      <c r="A12" t="s">
        <v>5226</v>
      </c>
      <c r="B12" t="s">
        <v>5227</v>
      </c>
      <c r="C12" t="s">
        <v>5228</v>
      </c>
      <c r="D12">
        <v>39.22</v>
      </c>
      <c r="E12" t="s">
        <v>5197</v>
      </c>
      <c r="F12" s="10" t="s">
        <v>6362</v>
      </c>
      <c r="G12" t="s">
        <v>74</v>
      </c>
    </row>
    <row r="13" spans="1:7" x14ac:dyDescent="0.35">
      <c r="A13" t="s">
        <v>5229</v>
      </c>
      <c r="B13" t="s">
        <v>5221</v>
      </c>
      <c r="C13" t="s">
        <v>5230</v>
      </c>
      <c r="D13">
        <v>28.12</v>
      </c>
      <c r="E13" t="s">
        <v>5196</v>
      </c>
      <c r="F13" s="10" t="s">
        <v>6363</v>
      </c>
      <c r="G13" t="s">
        <v>71</v>
      </c>
    </row>
    <row r="14" spans="1:7" x14ac:dyDescent="0.35">
      <c r="A14" t="s">
        <v>5231</v>
      </c>
      <c r="B14" t="s">
        <v>5232</v>
      </c>
      <c r="C14" t="s">
        <v>5215</v>
      </c>
      <c r="D14">
        <v>20.59</v>
      </c>
      <c r="E14" t="s">
        <v>5197</v>
      </c>
      <c r="F14" s="10" t="s">
        <v>6362</v>
      </c>
      <c r="G14" t="s">
        <v>74</v>
      </c>
    </row>
    <row r="15" spans="1:7" x14ac:dyDescent="0.35">
      <c r="A15" t="s">
        <v>5233</v>
      </c>
      <c r="B15" t="s">
        <v>5234</v>
      </c>
      <c r="C15" t="s">
        <v>4700</v>
      </c>
      <c r="D15">
        <v>38.630000000000003</v>
      </c>
      <c r="E15" t="s">
        <v>5235</v>
      </c>
      <c r="F15" s="10" t="s">
        <v>6363</v>
      </c>
      <c r="G15" t="s">
        <v>6365</v>
      </c>
    </row>
    <row r="16" spans="1:7" x14ac:dyDescent="0.35">
      <c r="A16" t="s">
        <v>5236</v>
      </c>
      <c r="B16" t="s">
        <v>5237</v>
      </c>
      <c r="C16" t="s">
        <v>5091</v>
      </c>
      <c r="D16">
        <v>33.54</v>
      </c>
      <c r="E16" t="s">
        <v>5199</v>
      </c>
      <c r="F16" s="10" t="s">
        <v>6362</v>
      </c>
      <c r="G16" t="s">
        <v>6365</v>
      </c>
    </row>
    <row r="17" spans="1:7" x14ac:dyDescent="0.35">
      <c r="A17" t="s">
        <v>5238</v>
      </c>
      <c r="B17" t="s">
        <v>5239</v>
      </c>
      <c r="C17" t="s">
        <v>5240</v>
      </c>
      <c r="D17">
        <v>38.770000000000003</v>
      </c>
      <c r="E17" t="s">
        <v>5198</v>
      </c>
      <c r="F17" s="10" t="s">
        <v>6362</v>
      </c>
      <c r="G17" t="s">
        <v>74</v>
      </c>
    </row>
    <row r="18" spans="1:7" x14ac:dyDescent="0.35">
      <c r="A18" t="s">
        <v>5241</v>
      </c>
      <c r="B18" t="s">
        <v>5242</v>
      </c>
      <c r="C18" t="s">
        <v>4915</v>
      </c>
      <c r="D18">
        <v>31.33</v>
      </c>
      <c r="E18" t="s">
        <v>5198</v>
      </c>
      <c r="F18" s="10" t="s">
        <v>6362</v>
      </c>
      <c r="G18" t="s">
        <v>74</v>
      </c>
    </row>
    <row r="19" spans="1:7" x14ac:dyDescent="0.35">
      <c r="A19" t="s">
        <v>5243</v>
      </c>
      <c r="B19" t="s">
        <v>5244</v>
      </c>
      <c r="C19" t="s">
        <v>5245</v>
      </c>
      <c r="D19">
        <v>31.75</v>
      </c>
      <c r="E19" t="s">
        <v>5197</v>
      </c>
      <c r="F19" s="10" t="s">
        <v>6362</v>
      </c>
      <c r="G19" t="s">
        <v>71</v>
      </c>
    </row>
    <row r="20" spans="1:7" x14ac:dyDescent="0.35">
      <c r="A20" t="s">
        <v>5246</v>
      </c>
      <c r="B20" t="s">
        <v>5247</v>
      </c>
      <c r="C20" t="s">
        <v>5248</v>
      </c>
      <c r="D20">
        <v>28.67</v>
      </c>
      <c r="E20" t="s">
        <v>5197</v>
      </c>
      <c r="F20" s="10" t="s">
        <v>6362</v>
      </c>
      <c r="G20" t="s">
        <v>6365</v>
      </c>
    </row>
    <row r="21" spans="1:7" x14ac:dyDescent="0.35">
      <c r="A21" t="s">
        <v>5249</v>
      </c>
      <c r="B21" t="s">
        <v>5250</v>
      </c>
      <c r="C21" t="s">
        <v>5251</v>
      </c>
      <c r="D21">
        <v>12.77</v>
      </c>
      <c r="E21" t="s">
        <v>5197</v>
      </c>
      <c r="F21" s="10" t="s">
        <v>6362</v>
      </c>
      <c r="G21" t="s">
        <v>6365</v>
      </c>
    </row>
    <row r="22" spans="1:7" x14ac:dyDescent="0.35">
      <c r="A22" t="s">
        <v>5252</v>
      </c>
      <c r="B22" t="s">
        <v>5253</v>
      </c>
      <c r="C22" t="s">
        <v>5254</v>
      </c>
      <c r="D22">
        <v>28.36</v>
      </c>
      <c r="E22" t="s">
        <v>5196</v>
      </c>
      <c r="F22" s="10" t="s">
        <v>6363</v>
      </c>
      <c r="G22" t="s">
        <v>6365</v>
      </c>
    </row>
    <row r="23" spans="1:7" x14ac:dyDescent="0.35">
      <c r="A23" t="s">
        <v>5255</v>
      </c>
      <c r="B23" t="s">
        <v>5227</v>
      </c>
      <c r="C23" t="s">
        <v>5256</v>
      </c>
      <c r="D23">
        <v>27.33</v>
      </c>
      <c r="E23" t="s">
        <v>5199</v>
      </c>
      <c r="F23" s="10" t="s">
        <v>6363</v>
      </c>
      <c r="G23" t="s">
        <v>74</v>
      </c>
    </row>
    <row r="24" spans="1:7" x14ac:dyDescent="0.35">
      <c r="A24" t="s">
        <v>5257</v>
      </c>
      <c r="B24" t="s">
        <v>5258</v>
      </c>
      <c r="C24" t="s">
        <v>4920</v>
      </c>
      <c r="D24">
        <v>18.55</v>
      </c>
      <c r="E24" t="s">
        <v>5197</v>
      </c>
      <c r="F24" s="10" t="s">
        <v>6362</v>
      </c>
      <c r="G24" t="s">
        <v>74</v>
      </c>
    </row>
    <row r="25" spans="1:7" x14ac:dyDescent="0.35">
      <c r="A25" t="s">
        <v>5259</v>
      </c>
      <c r="B25" t="s">
        <v>5260</v>
      </c>
      <c r="C25" t="s">
        <v>5261</v>
      </c>
      <c r="D25">
        <v>19.25</v>
      </c>
      <c r="E25" t="s">
        <v>5197</v>
      </c>
      <c r="F25" s="10" t="s">
        <v>6363</v>
      </c>
      <c r="G25" t="s">
        <v>6365</v>
      </c>
    </row>
    <row r="26" spans="1:7" x14ac:dyDescent="0.35">
      <c r="A26" t="s">
        <v>5262</v>
      </c>
      <c r="B26" t="s">
        <v>5250</v>
      </c>
      <c r="C26" t="s">
        <v>5254</v>
      </c>
      <c r="D26">
        <v>37.31</v>
      </c>
      <c r="E26" t="s">
        <v>5199</v>
      </c>
      <c r="F26" s="10" t="s">
        <v>6362</v>
      </c>
      <c r="G26" t="s">
        <v>74</v>
      </c>
    </row>
    <row r="27" spans="1:7" x14ac:dyDescent="0.35">
      <c r="A27" t="s">
        <v>5263</v>
      </c>
      <c r="B27" t="s">
        <v>5264</v>
      </c>
      <c r="C27" t="s">
        <v>5228</v>
      </c>
      <c r="D27">
        <v>21.9</v>
      </c>
      <c r="E27" t="s">
        <v>5197</v>
      </c>
      <c r="F27" s="10" t="s">
        <v>6362</v>
      </c>
      <c r="G27" t="s">
        <v>6366</v>
      </c>
    </row>
    <row r="28" spans="1:7" x14ac:dyDescent="0.35">
      <c r="A28" t="s">
        <v>5265</v>
      </c>
      <c r="B28" t="s">
        <v>5201</v>
      </c>
      <c r="C28" t="s">
        <v>5254</v>
      </c>
      <c r="D28">
        <v>11.28</v>
      </c>
      <c r="E28" t="s">
        <v>5197</v>
      </c>
      <c r="F28" s="10" t="s">
        <v>6363</v>
      </c>
      <c r="G28" t="s">
        <v>6365</v>
      </c>
    </row>
    <row r="29" spans="1:7" x14ac:dyDescent="0.35">
      <c r="A29" t="s">
        <v>5266</v>
      </c>
      <c r="B29" t="s">
        <v>5267</v>
      </c>
      <c r="C29" t="s">
        <v>5268</v>
      </c>
      <c r="D29">
        <v>25.09</v>
      </c>
      <c r="E29" t="s">
        <v>5199</v>
      </c>
      <c r="F29" s="10" t="s">
        <v>6362</v>
      </c>
      <c r="G29" t="s">
        <v>74</v>
      </c>
    </row>
    <row r="30" spans="1:7" x14ac:dyDescent="0.35">
      <c r="A30" t="s">
        <v>5269</v>
      </c>
      <c r="B30" t="s">
        <v>5207</v>
      </c>
      <c r="C30" t="s">
        <v>5270</v>
      </c>
      <c r="D30">
        <v>34.630000000000003</v>
      </c>
      <c r="E30" t="s">
        <v>5198</v>
      </c>
      <c r="F30" s="10" t="s">
        <v>6363</v>
      </c>
      <c r="G30" t="s">
        <v>74</v>
      </c>
    </row>
    <row r="31" spans="1:7" x14ac:dyDescent="0.35">
      <c r="A31" t="s">
        <v>5271</v>
      </c>
      <c r="B31" t="s">
        <v>5272</v>
      </c>
      <c r="C31" t="s">
        <v>5273</v>
      </c>
      <c r="D31">
        <v>31.7</v>
      </c>
      <c r="E31" t="s">
        <v>5199</v>
      </c>
      <c r="F31" s="10" t="s">
        <v>6362</v>
      </c>
      <c r="G31" t="s">
        <v>74</v>
      </c>
    </row>
    <row r="32" spans="1:7" x14ac:dyDescent="0.35">
      <c r="A32" t="s">
        <v>5274</v>
      </c>
      <c r="B32" t="s">
        <v>5242</v>
      </c>
      <c r="C32" t="s">
        <v>4785</v>
      </c>
      <c r="D32">
        <v>30.09</v>
      </c>
      <c r="E32" t="s">
        <v>5198</v>
      </c>
      <c r="F32" s="10" t="s">
        <v>6362</v>
      </c>
      <c r="G32" t="s">
        <v>74</v>
      </c>
    </row>
    <row r="33" spans="1:7" x14ac:dyDescent="0.35">
      <c r="A33" t="s">
        <v>5275</v>
      </c>
      <c r="B33" t="s">
        <v>5276</v>
      </c>
      <c r="C33" t="s">
        <v>4720</v>
      </c>
      <c r="D33">
        <v>30.4</v>
      </c>
      <c r="E33" t="s">
        <v>5235</v>
      </c>
      <c r="F33" s="10" t="s">
        <v>6362</v>
      </c>
      <c r="G33" t="s">
        <v>74</v>
      </c>
    </row>
    <row r="34" spans="1:7" x14ac:dyDescent="0.35">
      <c r="A34" t="s">
        <v>5277</v>
      </c>
      <c r="B34" t="s">
        <v>5214</v>
      </c>
      <c r="C34" t="s">
        <v>5278</v>
      </c>
      <c r="D34">
        <v>24</v>
      </c>
      <c r="E34" t="s">
        <v>5197</v>
      </c>
      <c r="F34" s="10" t="s">
        <v>6362</v>
      </c>
      <c r="G34" t="s">
        <v>74</v>
      </c>
    </row>
    <row r="35" spans="1:7" x14ac:dyDescent="0.35">
      <c r="A35" t="s">
        <v>5279</v>
      </c>
      <c r="B35" t="s">
        <v>5244</v>
      </c>
      <c r="C35" t="s">
        <v>5273</v>
      </c>
      <c r="D35">
        <v>31.61</v>
      </c>
      <c r="E35" t="s">
        <v>5196</v>
      </c>
      <c r="F35" s="10" t="s">
        <v>6363</v>
      </c>
      <c r="G35" t="s">
        <v>74</v>
      </c>
    </row>
    <row r="36" spans="1:7" x14ac:dyDescent="0.35">
      <c r="A36" t="s">
        <v>5280</v>
      </c>
      <c r="B36" t="s">
        <v>5281</v>
      </c>
      <c r="C36" t="s">
        <v>5228</v>
      </c>
      <c r="D36">
        <v>10.91</v>
      </c>
      <c r="E36" t="s">
        <v>5196</v>
      </c>
      <c r="F36" s="10" t="s">
        <v>6363</v>
      </c>
      <c r="G36" t="s">
        <v>71</v>
      </c>
    </row>
    <row r="37" spans="1:7" x14ac:dyDescent="0.35">
      <c r="A37" t="s">
        <v>5282</v>
      </c>
      <c r="B37" t="s">
        <v>5283</v>
      </c>
      <c r="C37" t="s">
        <v>5091</v>
      </c>
      <c r="D37">
        <v>15.21</v>
      </c>
      <c r="E37" t="s">
        <v>5196</v>
      </c>
      <c r="F37" s="10" t="s">
        <v>6363</v>
      </c>
      <c r="G37" t="s">
        <v>6365</v>
      </c>
    </row>
    <row r="38" spans="1:7" x14ac:dyDescent="0.35">
      <c r="A38" t="s">
        <v>5284</v>
      </c>
      <c r="B38" t="s">
        <v>5285</v>
      </c>
      <c r="C38" t="s">
        <v>5286</v>
      </c>
      <c r="D38">
        <v>10.28</v>
      </c>
      <c r="E38" t="s">
        <v>5199</v>
      </c>
      <c r="F38" s="10" t="s">
        <v>6362</v>
      </c>
      <c r="G38" t="s">
        <v>74</v>
      </c>
    </row>
    <row r="39" spans="1:7" x14ac:dyDescent="0.35">
      <c r="A39" t="s">
        <v>5287</v>
      </c>
      <c r="B39" t="s">
        <v>5288</v>
      </c>
      <c r="C39" t="s">
        <v>5011</v>
      </c>
      <c r="D39">
        <v>33.81</v>
      </c>
      <c r="E39" t="s">
        <v>5197</v>
      </c>
      <c r="F39" s="10" t="s">
        <v>6362</v>
      </c>
      <c r="G39" t="s">
        <v>6365</v>
      </c>
    </row>
    <row r="40" spans="1:7" x14ac:dyDescent="0.35">
      <c r="A40" t="s">
        <v>5289</v>
      </c>
      <c r="B40" t="s">
        <v>5217</v>
      </c>
      <c r="C40" t="s">
        <v>4696</v>
      </c>
      <c r="D40">
        <v>15.65</v>
      </c>
      <c r="E40" t="s">
        <v>5196</v>
      </c>
      <c r="F40" s="10" t="s">
        <v>6362</v>
      </c>
      <c r="G40" t="s">
        <v>74</v>
      </c>
    </row>
    <row r="41" spans="1:7" x14ac:dyDescent="0.35">
      <c r="A41" t="s">
        <v>5290</v>
      </c>
      <c r="B41" t="s">
        <v>5291</v>
      </c>
      <c r="C41" t="s">
        <v>4856</v>
      </c>
      <c r="D41">
        <v>30.01</v>
      </c>
      <c r="E41" t="s">
        <v>5196</v>
      </c>
      <c r="F41" s="10" t="s">
        <v>6363</v>
      </c>
      <c r="G41" t="s">
        <v>74</v>
      </c>
    </row>
    <row r="42" spans="1:7" x14ac:dyDescent="0.35">
      <c r="A42" t="s">
        <v>5292</v>
      </c>
      <c r="B42" t="s">
        <v>5293</v>
      </c>
      <c r="C42" t="s">
        <v>5240</v>
      </c>
      <c r="D42">
        <v>17.059999999999999</v>
      </c>
      <c r="E42" t="s">
        <v>5199</v>
      </c>
      <c r="F42" s="10" t="s">
        <v>6363</v>
      </c>
      <c r="G42" t="s">
        <v>71</v>
      </c>
    </row>
    <row r="43" spans="1:7" x14ac:dyDescent="0.35">
      <c r="A43" t="s">
        <v>5294</v>
      </c>
      <c r="B43" t="s">
        <v>5295</v>
      </c>
      <c r="C43" t="s">
        <v>5296</v>
      </c>
      <c r="D43">
        <v>19.899999999999999</v>
      </c>
      <c r="E43" t="s">
        <v>5235</v>
      </c>
      <c r="F43" s="10" t="s">
        <v>6363</v>
      </c>
      <c r="G43" t="s">
        <v>74</v>
      </c>
    </row>
    <row r="44" spans="1:7" x14ac:dyDescent="0.35">
      <c r="A44" t="s">
        <v>5297</v>
      </c>
      <c r="B44" t="s">
        <v>5298</v>
      </c>
      <c r="C44" t="s">
        <v>4696</v>
      </c>
      <c r="D44">
        <v>19.149999999999999</v>
      </c>
      <c r="E44" t="s">
        <v>5235</v>
      </c>
      <c r="F44" s="10" t="s">
        <v>6362</v>
      </c>
      <c r="G44" t="s">
        <v>6365</v>
      </c>
    </row>
    <row r="45" spans="1:7" x14ac:dyDescent="0.35">
      <c r="A45" t="s">
        <v>5299</v>
      </c>
      <c r="B45" t="s">
        <v>5300</v>
      </c>
      <c r="C45" t="s">
        <v>4697</v>
      </c>
      <c r="D45">
        <v>16.09</v>
      </c>
      <c r="E45" t="s">
        <v>5198</v>
      </c>
      <c r="F45" s="10" t="s">
        <v>6362</v>
      </c>
      <c r="G45" t="s">
        <v>6365</v>
      </c>
    </row>
    <row r="46" spans="1:7" x14ac:dyDescent="0.35">
      <c r="A46" t="s">
        <v>5301</v>
      </c>
      <c r="B46" t="s">
        <v>5302</v>
      </c>
      <c r="C46" t="s">
        <v>5115</v>
      </c>
      <c r="D46">
        <v>20.73</v>
      </c>
      <c r="E46" t="s">
        <v>5199</v>
      </c>
      <c r="F46" s="10" t="s">
        <v>6363</v>
      </c>
      <c r="G46" t="s">
        <v>74</v>
      </c>
    </row>
    <row r="47" spans="1:7" x14ac:dyDescent="0.35">
      <c r="A47" t="s">
        <v>5303</v>
      </c>
      <c r="B47" t="s">
        <v>5304</v>
      </c>
      <c r="C47" t="s">
        <v>5305</v>
      </c>
      <c r="D47">
        <v>18.78</v>
      </c>
      <c r="E47" t="s">
        <v>5198</v>
      </c>
      <c r="F47" s="10" t="s">
        <v>6362</v>
      </c>
      <c r="G47" t="s">
        <v>6365</v>
      </c>
    </row>
    <row r="48" spans="1:7" x14ac:dyDescent="0.35">
      <c r="A48" t="s">
        <v>5306</v>
      </c>
      <c r="B48" t="s">
        <v>5307</v>
      </c>
      <c r="C48" t="s">
        <v>5308</v>
      </c>
      <c r="D48">
        <v>12</v>
      </c>
      <c r="E48" t="s">
        <v>5197</v>
      </c>
      <c r="F48" s="10" t="s">
        <v>6362</v>
      </c>
      <c r="G48" t="s">
        <v>6365</v>
      </c>
    </row>
    <row r="49" spans="1:7" x14ac:dyDescent="0.35">
      <c r="A49" t="s">
        <v>5309</v>
      </c>
      <c r="B49" t="s">
        <v>5276</v>
      </c>
      <c r="C49" t="s">
        <v>5296</v>
      </c>
      <c r="D49">
        <v>27.41</v>
      </c>
      <c r="E49" t="s">
        <v>5198</v>
      </c>
      <c r="F49" s="10" t="s">
        <v>6363</v>
      </c>
      <c r="G49" t="s">
        <v>71</v>
      </c>
    </row>
    <row r="50" spans="1:7" x14ac:dyDescent="0.35">
      <c r="A50" t="s">
        <v>5310</v>
      </c>
      <c r="B50" t="s">
        <v>5311</v>
      </c>
      <c r="C50" t="s">
        <v>5312</v>
      </c>
      <c r="D50">
        <v>24.91</v>
      </c>
      <c r="E50" t="s">
        <v>5235</v>
      </c>
      <c r="F50" s="10" t="s">
        <v>6363</v>
      </c>
      <c r="G50" t="s">
        <v>6365</v>
      </c>
    </row>
    <row r="51" spans="1:7" x14ac:dyDescent="0.35">
      <c r="A51" t="s">
        <v>5313</v>
      </c>
      <c r="B51" t="s">
        <v>5267</v>
      </c>
      <c r="C51" t="s">
        <v>5228</v>
      </c>
      <c r="D51">
        <v>15.13</v>
      </c>
      <c r="E51" t="s">
        <v>5235</v>
      </c>
      <c r="F51" s="10" t="s">
        <v>6362</v>
      </c>
      <c r="G51" t="s">
        <v>74</v>
      </c>
    </row>
    <row r="52" spans="1:7" x14ac:dyDescent="0.35">
      <c r="A52" t="s">
        <v>5314</v>
      </c>
      <c r="B52" t="s">
        <v>5315</v>
      </c>
      <c r="C52" t="s">
        <v>5316</v>
      </c>
      <c r="D52">
        <v>38.03</v>
      </c>
      <c r="E52" t="s">
        <v>5196</v>
      </c>
      <c r="F52" s="10" t="s">
        <v>6362</v>
      </c>
      <c r="G52" t="s">
        <v>6365</v>
      </c>
    </row>
    <row r="53" spans="1:7" x14ac:dyDescent="0.35">
      <c r="A53" t="s">
        <v>5317</v>
      </c>
      <c r="B53" t="s">
        <v>5318</v>
      </c>
      <c r="C53" t="s">
        <v>5319</v>
      </c>
      <c r="D53">
        <v>21.29</v>
      </c>
      <c r="E53" t="s">
        <v>5235</v>
      </c>
      <c r="F53" s="10" t="s">
        <v>6362</v>
      </c>
      <c r="G53" t="s">
        <v>74</v>
      </c>
    </row>
    <row r="54" spans="1:7" x14ac:dyDescent="0.35">
      <c r="A54" t="s">
        <v>5320</v>
      </c>
      <c r="B54" t="s">
        <v>5321</v>
      </c>
      <c r="C54" t="s">
        <v>4697</v>
      </c>
      <c r="D54">
        <v>33.49</v>
      </c>
      <c r="E54" t="s">
        <v>5197</v>
      </c>
      <c r="F54" s="10" t="s">
        <v>6362</v>
      </c>
      <c r="G54" t="s">
        <v>74</v>
      </c>
    </row>
    <row r="55" spans="1:7" x14ac:dyDescent="0.35">
      <c r="A55" t="s">
        <v>5322</v>
      </c>
      <c r="B55" t="s">
        <v>5323</v>
      </c>
      <c r="C55" t="s">
        <v>5324</v>
      </c>
      <c r="D55">
        <v>29.21</v>
      </c>
      <c r="E55" t="s">
        <v>5199</v>
      </c>
      <c r="F55" s="10" t="s">
        <v>6363</v>
      </c>
      <c r="G55" t="s">
        <v>71</v>
      </c>
    </row>
    <row r="56" spans="1:7" x14ac:dyDescent="0.35">
      <c r="A56" t="s">
        <v>5325</v>
      </c>
      <c r="B56" t="s">
        <v>5326</v>
      </c>
      <c r="C56" t="s">
        <v>5245</v>
      </c>
      <c r="D56">
        <v>31.76</v>
      </c>
      <c r="E56" t="s">
        <v>5235</v>
      </c>
      <c r="F56" s="10" t="s">
        <v>6362</v>
      </c>
      <c r="G56" t="s">
        <v>74</v>
      </c>
    </row>
    <row r="57" spans="1:7" x14ac:dyDescent="0.35">
      <c r="A57" t="s">
        <v>5327</v>
      </c>
      <c r="B57" t="s">
        <v>5328</v>
      </c>
      <c r="C57" t="s">
        <v>5011</v>
      </c>
      <c r="D57">
        <v>32.29</v>
      </c>
      <c r="E57" t="s">
        <v>5196</v>
      </c>
      <c r="F57" s="10" t="s">
        <v>6363</v>
      </c>
      <c r="G57" t="s">
        <v>6365</v>
      </c>
    </row>
    <row r="58" spans="1:7" x14ac:dyDescent="0.35">
      <c r="A58" t="s">
        <v>5329</v>
      </c>
      <c r="B58" t="s">
        <v>5210</v>
      </c>
      <c r="C58" t="s">
        <v>5254</v>
      </c>
      <c r="D58">
        <v>23.85</v>
      </c>
      <c r="E58" t="s">
        <v>5196</v>
      </c>
      <c r="F58" s="10" t="s">
        <v>6362</v>
      </c>
      <c r="G58" t="s">
        <v>71</v>
      </c>
    </row>
    <row r="59" spans="1:7" x14ac:dyDescent="0.35">
      <c r="A59" t="s">
        <v>5330</v>
      </c>
      <c r="B59" t="s">
        <v>5247</v>
      </c>
      <c r="C59" t="s">
        <v>5331</v>
      </c>
      <c r="D59">
        <v>25.21</v>
      </c>
      <c r="E59" t="s">
        <v>5197</v>
      </c>
      <c r="F59" s="10" t="s">
        <v>6362</v>
      </c>
      <c r="G59" t="s">
        <v>71</v>
      </c>
    </row>
    <row r="60" spans="1:7" x14ac:dyDescent="0.35">
      <c r="A60" t="s">
        <v>5332</v>
      </c>
      <c r="B60" t="s">
        <v>5333</v>
      </c>
      <c r="C60" t="s">
        <v>5334</v>
      </c>
      <c r="D60">
        <v>38.049999999999997</v>
      </c>
      <c r="E60" t="s">
        <v>5199</v>
      </c>
      <c r="F60" s="10" t="s">
        <v>6363</v>
      </c>
      <c r="G60" t="s">
        <v>74</v>
      </c>
    </row>
    <row r="61" spans="1:7" x14ac:dyDescent="0.35">
      <c r="A61" t="s">
        <v>5335</v>
      </c>
      <c r="B61" t="s">
        <v>5336</v>
      </c>
      <c r="C61" t="s">
        <v>4773</v>
      </c>
      <c r="D61">
        <v>24.06</v>
      </c>
      <c r="E61" t="s">
        <v>5235</v>
      </c>
      <c r="F61" s="10" t="s">
        <v>6363</v>
      </c>
      <c r="G61" t="s">
        <v>74</v>
      </c>
    </row>
    <row r="62" spans="1:7" x14ac:dyDescent="0.35">
      <c r="A62" t="s">
        <v>5337</v>
      </c>
      <c r="B62" t="s">
        <v>5338</v>
      </c>
      <c r="C62" t="s">
        <v>5188</v>
      </c>
      <c r="D62">
        <v>13.84</v>
      </c>
      <c r="E62" t="s">
        <v>5235</v>
      </c>
      <c r="F62" s="10" t="s">
        <v>6363</v>
      </c>
      <c r="G62" t="s">
        <v>6365</v>
      </c>
    </row>
    <row r="63" spans="1:7" x14ac:dyDescent="0.35">
      <c r="A63" t="s">
        <v>5339</v>
      </c>
      <c r="B63" t="s">
        <v>5328</v>
      </c>
      <c r="C63" t="s">
        <v>5340</v>
      </c>
      <c r="D63">
        <v>24.72</v>
      </c>
      <c r="E63" t="s">
        <v>5198</v>
      </c>
      <c r="F63" s="10" t="s">
        <v>6362</v>
      </c>
      <c r="G63" t="s">
        <v>74</v>
      </c>
    </row>
    <row r="64" spans="1:7" x14ac:dyDescent="0.35">
      <c r="A64" t="s">
        <v>5341</v>
      </c>
      <c r="B64" t="s">
        <v>5267</v>
      </c>
      <c r="C64" t="s">
        <v>4693</v>
      </c>
      <c r="D64">
        <v>29.23</v>
      </c>
      <c r="E64" t="s">
        <v>5196</v>
      </c>
      <c r="F64" s="10" t="s">
        <v>6362</v>
      </c>
      <c r="G64" t="s">
        <v>71</v>
      </c>
    </row>
    <row r="65" spans="1:7" x14ac:dyDescent="0.35">
      <c r="A65" t="s">
        <v>5342</v>
      </c>
      <c r="B65" t="s">
        <v>5272</v>
      </c>
      <c r="C65" t="s">
        <v>4764</v>
      </c>
      <c r="D65">
        <v>31.71</v>
      </c>
      <c r="E65" t="s">
        <v>5196</v>
      </c>
      <c r="F65" s="10" t="s">
        <v>6362</v>
      </c>
      <c r="G65" t="s">
        <v>74</v>
      </c>
    </row>
    <row r="66" spans="1:7" x14ac:dyDescent="0.35">
      <c r="A66" t="s">
        <v>5343</v>
      </c>
      <c r="B66" t="s">
        <v>5267</v>
      </c>
      <c r="C66" t="s">
        <v>5165</v>
      </c>
      <c r="D66">
        <v>11.19</v>
      </c>
      <c r="E66" t="s">
        <v>5235</v>
      </c>
      <c r="F66" s="10" t="s">
        <v>6363</v>
      </c>
      <c r="G66" t="s">
        <v>6365</v>
      </c>
    </row>
    <row r="67" spans="1:7" x14ac:dyDescent="0.35">
      <c r="A67" t="s">
        <v>5344</v>
      </c>
      <c r="B67" t="s">
        <v>5345</v>
      </c>
      <c r="C67" t="s">
        <v>5331</v>
      </c>
      <c r="D67">
        <v>13.58</v>
      </c>
      <c r="E67" t="s">
        <v>5235</v>
      </c>
      <c r="F67" s="10" t="s">
        <v>6362</v>
      </c>
      <c r="G67" t="s">
        <v>74</v>
      </c>
    </row>
    <row r="68" spans="1:7" x14ac:dyDescent="0.35">
      <c r="A68" t="s">
        <v>5346</v>
      </c>
      <c r="B68" t="s">
        <v>5347</v>
      </c>
      <c r="C68" t="s">
        <v>5165</v>
      </c>
      <c r="D68">
        <v>26.45</v>
      </c>
      <c r="E68" t="s">
        <v>5198</v>
      </c>
      <c r="F68" s="10" t="s">
        <v>6363</v>
      </c>
      <c r="G68" t="s">
        <v>6365</v>
      </c>
    </row>
    <row r="69" spans="1:7" x14ac:dyDescent="0.35">
      <c r="A69" t="s">
        <v>5348</v>
      </c>
      <c r="B69" t="s">
        <v>5242</v>
      </c>
      <c r="C69" t="s">
        <v>5248</v>
      </c>
      <c r="D69">
        <v>14.34</v>
      </c>
      <c r="E69" t="s">
        <v>5235</v>
      </c>
      <c r="F69" s="10" t="s">
        <v>6362</v>
      </c>
      <c r="G69" t="s">
        <v>74</v>
      </c>
    </row>
    <row r="70" spans="1:7" x14ac:dyDescent="0.35">
      <c r="A70" t="s">
        <v>5349</v>
      </c>
      <c r="B70" t="s">
        <v>5315</v>
      </c>
      <c r="C70" t="s">
        <v>4720</v>
      </c>
      <c r="D70">
        <v>24.83</v>
      </c>
      <c r="E70" t="s">
        <v>5198</v>
      </c>
      <c r="F70" s="10" t="s">
        <v>6363</v>
      </c>
      <c r="G70" t="s">
        <v>6365</v>
      </c>
    </row>
    <row r="71" spans="1:7" x14ac:dyDescent="0.35">
      <c r="A71" t="s">
        <v>5350</v>
      </c>
      <c r="B71" t="s">
        <v>5321</v>
      </c>
      <c r="C71" t="s">
        <v>5351</v>
      </c>
      <c r="D71">
        <v>13.23</v>
      </c>
      <c r="E71" t="s">
        <v>5198</v>
      </c>
      <c r="F71" s="10" t="s">
        <v>6362</v>
      </c>
      <c r="G71" t="s">
        <v>6365</v>
      </c>
    </row>
    <row r="72" spans="1:7" x14ac:dyDescent="0.35">
      <c r="A72" t="s">
        <v>5352</v>
      </c>
      <c r="B72" t="s">
        <v>5336</v>
      </c>
      <c r="C72" t="s">
        <v>5353</v>
      </c>
      <c r="D72">
        <v>13.58</v>
      </c>
      <c r="E72" t="s">
        <v>5235</v>
      </c>
      <c r="F72" s="10" t="s">
        <v>6362</v>
      </c>
      <c r="G72" t="s">
        <v>6365</v>
      </c>
    </row>
    <row r="73" spans="1:7" x14ac:dyDescent="0.35">
      <c r="A73" t="s">
        <v>5354</v>
      </c>
      <c r="B73" t="s">
        <v>5232</v>
      </c>
      <c r="C73" t="s">
        <v>4720</v>
      </c>
      <c r="D73">
        <v>13.11</v>
      </c>
      <c r="E73" t="s">
        <v>5199</v>
      </c>
      <c r="F73" s="10" t="s">
        <v>6363</v>
      </c>
      <c r="G73" t="s">
        <v>71</v>
      </c>
    </row>
    <row r="74" spans="1:7" x14ac:dyDescent="0.35">
      <c r="A74" t="s">
        <v>5355</v>
      </c>
      <c r="B74" t="s">
        <v>5214</v>
      </c>
      <c r="C74" t="s">
        <v>5351</v>
      </c>
      <c r="D74">
        <v>14.67</v>
      </c>
      <c r="E74" t="s">
        <v>5196</v>
      </c>
      <c r="F74" s="10" t="s">
        <v>6363</v>
      </c>
      <c r="G74" t="s">
        <v>6365</v>
      </c>
    </row>
    <row r="75" spans="1:7" x14ac:dyDescent="0.35">
      <c r="A75" t="s">
        <v>5356</v>
      </c>
      <c r="B75" t="s">
        <v>5295</v>
      </c>
      <c r="C75" t="s">
        <v>4915</v>
      </c>
      <c r="D75">
        <v>35.17</v>
      </c>
      <c r="E75" t="s">
        <v>5196</v>
      </c>
      <c r="F75" s="10" t="s">
        <v>6363</v>
      </c>
      <c r="G75" t="s">
        <v>74</v>
      </c>
    </row>
    <row r="76" spans="1:7" x14ac:dyDescent="0.35">
      <c r="A76" t="s">
        <v>5357</v>
      </c>
      <c r="B76" t="s">
        <v>5358</v>
      </c>
      <c r="C76" t="s">
        <v>5359</v>
      </c>
      <c r="D76">
        <v>21.89</v>
      </c>
      <c r="E76" t="s">
        <v>5196</v>
      </c>
      <c r="F76" s="10" t="s">
        <v>6363</v>
      </c>
      <c r="G76" t="s">
        <v>71</v>
      </c>
    </row>
    <row r="77" spans="1:7" x14ac:dyDescent="0.35">
      <c r="A77" t="s">
        <v>5360</v>
      </c>
      <c r="B77" t="s">
        <v>5267</v>
      </c>
      <c r="C77" t="s">
        <v>5268</v>
      </c>
      <c r="D77">
        <v>13.31</v>
      </c>
      <c r="E77" t="s">
        <v>5235</v>
      </c>
      <c r="F77" s="10" t="s">
        <v>6362</v>
      </c>
      <c r="G77" t="s">
        <v>74</v>
      </c>
    </row>
    <row r="78" spans="1:7" x14ac:dyDescent="0.35">
      <c r="A78" t="s">
        <v>5361</v>
      </c>
      <c r="B78" t="s">
        <v>5224</v>
      </c>
      <c r="C78" t="s">
        <v>5362</v>
      </c>
      <c r="D78">
        <v>39.44</v>
      </c>
      <c r="E78" t="s">
        <v>5196</v>
      </c>
      <c r="F78" s="10" t="s">
        <v>6362</v>
      </c>
      <c r="G78" t="s">
        <v>6365</v>
      </c>
    </row>
    <row r="79" spans="1:7" x14ac:dyDescent="0.35">
      <c r="A79" t="s">
        <v>5363</v>
      </c>
      <c r="B79" t="s">
        <v>5364</v>
      </c>
      <c r="C79" t="s">
        <v>5365</v>
      </c>
      <c r="D79">
        <v>20.3</v>
      </c>
      <c r="E79" t="s">
        <v>5199</v>
      </c>
      <c r="F79" s="10" t="s">
        <v>6363</v>
      </c>
      <c r="G79" t="s">
        <v>6365</v>
      </c>
    </row>
    <row r="80" spans="1:7" x14ac:dyDescent="0.35">
      <c r="A80" t="s">
        <v>5366</v>
      </c>
      <c r="B80" t="s">
        <v>5367</v>
      </c>
      <c r="C80" t="s">
        <v>5365</v>
      </c>
      <c r="D80">
        <v>38.880000000000003</v>
      </c>
      <c r="E80" t="s">
        <v>5198</v>
      </c>
      <c r="F80" s="10" t="s">
        <v>6363</v>
      </c>
      <c r="G80" t="s">
        <v>71</v>
      </c>
    </row>
    <row r="81" spans="1:7" x14ac:dyDescent="0.35">
      <c r="A81" t="s">
        <v>5368</v>
      </c>
      <c r="B81" t="s">
        <v>5304</v>
      </c>
      <c r="C81" t="s">
        <v>5245</v>
      </c>
      <c r="D81">
        <v>24.56</v>
      </c>
      <c r="E81" t="s">
        <v>5199</v>
      </c>
      <c r="F81" s="10" t="s">
        <v>6362</v>
      </c>
      <c r="G81" t="s">
        <v>6365</v>
      </c>
    </row>
    <row r="82" spans="1:7" x14ac:dyDescent="0.35">
      <c r="A82" t="s">
        <v>5369</v>
      </c>
      <c r="B82" t="s">
        <v>5283</v>
      </c>
      <c r="C82" t="s">
        <v>4790</v>
      </c>
      <c r="D82">
        <v>14.98</v>
      </c>
      <c r="E82" t="s">
        <v>5199</v>
      </c>
      <c r="F82" s="10" t="s">
        <v>6363</v>
      </c>
      <c r="G82" t="s">
        <v>6365</v>
      </c>
    </row>
    <row r="83" spans="1:7" x14ac:dyDescent="0.35">
      <c r="A83" t="s">
        <v>5370</v>
      </c>
      <c r="B83" t="s">
        <v>5367</v>
      </c>
      <c r="C83" t="s">
        <v>4804</v>
      </c>
      <c r="D83">
        <v>24.36</v>
      </c>
      <c r="E83" t="s">
        <v>5198</v>
      </c>
      <c r="F83" s="10" t="s">
        <v>6363</v>
      </c>
      <c r="G83" t="s">
        <v>74</v>
      </c>
    </row>
    <row r="84" spans="1:7" x14ac:dyDescent="0.35">
      <c r="A84" t="s">
        <v>5371</v>
      </c>
      <c r="B84" t="s">
        <v>5264</v>
      </c>
      <c r="C84" t="s">
        <v>4714</v>
      </c>
      <c r="D84">
        <v>20.68</v>
      </c>
      <c r="E84" t="s">
        <v>5197</v>
      </c>
      <c r="F84" s="10" t="s">
        <v>6363</v>
      </c>
      <c r="G84" t="s">
        <v>71</v>
      </c>
    </row>
    <row r="85" spans="1:7" x14ac:dyDescent="0.35">
      <c r="A85" t="s">
        <v>5372</v>
      </c>
      <c r="B85" t="s">
        <v>5244</v>
      </c>
      <c r="C85" t="s">
        <v>5115</v>
      </c>
      <c r="D85">
        <v>37.43</v>
      </c>
      <c r="E85" t="s">
        <v>5197</v>
      </c>
      <c r="F85" s="10" t="s">
        <v>6363</v>
      </c>
      <c r="G85" t="s">
        <v>6365</v>
      </c>
    </row>
    <row r="86" spans="1:7" x14ac:dyDescent="0.35">
      <c r="A86" t="s">
        <v>5373</v>
      </c>
      <c r="B86" t="s">
        <v>5221</v>
      </c>
      <c r="C86" t="s">
        <v>5251</v>
      </c>
      <c r="D86">
        <v>33.42</v>
      </c>
      <c r="E86" t="s">
        <v>5199</v>
      </c>
      <c r="F86" s="10" t="s">
        <v>6362</v>
      </c>
      <c r="G86" t="s">
        <v>74</v>
      </c>
    </row>
    <row r="87" spans="1:7" x14ac:dyDescent="0.35">
      <c r="A87" t="s">
        <v>5374</v>
      </c>
      <c r="B87" t="s">
        <v>5347</v>
      </c>
      <c r="C87" t="s">
        <v>5375</v>
      </c>
      <c r="D87">
        <v>16.2</v>
      </c>
      <c r="E87" t="s">
        <v>5198</v>
      </c>
      <c r="F87" s="10" t="s">
        <v>6363</v>
      </c>
      <c r="G87" t="s">
        <v>74</v>
      </c>
    </row>
    <row r="88" spans="1:7" x14ac:dyDescent="0.35">
      <c r="A88" t="s">
        <v>5376</v>
      </c>
      <c r="B88" t="s">
        <v>5281</v>
      </c>
      <c r="C88" t="s">
        <v>5375</v>
      </c>
      <c r="D88">
        <v>37.979999999999997</v>
      </c>
      <c r="E88" t="s">
        <v>5199</v>
      </c>
      <c r="F88" s="10" t="s">
        <v>6362</v>
      </c>
      <c r="G88" t="s">
        <v>6365</v>
      </c>
    </row>
    <row r="89" spans="1:7" x14ac:dyDescent="0.35">
      <c r="A89" t="s">
        <v>5377</v>
      </c>
      <c r="B89" t="s">
        <v>5291</v>
      </c>
      <c r="C89" t="s">
        <v>5378</v>
      </c>
      <c r="D89">
        <v>28.52</v>
      </c>
      <c r="E89" t="s">
        <v>5197</v>
      </c>
      <c r="F89" s="10" t="s">
        <v>6363</v>
      </c>
      <c r="G89" t="s">
        <v>71</v>
      </c>
    </row>
    <row r="90" spans="1:7" x14ac:dyDescent="0.35">
      <c r="A90" t="s">
        <v>5379</v>
      </c>
      <c r="B90" t="s">
        <v>5283</v>
      </c>
      <c r="C90" t="s">
        <v>5380</v>
      </c>
      <c r="D90">
        <v>25.77</v>
      </c>
      <c r="E90" t="s">
        <v>5198</v>
      </c>
      <c r="F90" s="10" t="s">
        <v>6363</v>
      </c>
      <c r="G90" t="s">
        <v>74</v>
      </c>
    </row>
    <row r="91" spans="1:7" x14ac:dyDescent="0.35">
      <c r="A91" t="s">
        <v>5381</v>
      </c>
      <c r="B91" t="s">
        <v>5302</v>
      </c>
      <c r="C91" t="s">
        <v>5308</v>
      </c>
      <c r="D91">
        <v>13.85</v>
      </c>
      <c r="E91" t="s">
        <v>5196</v>
      </c>
      <c r="F91" s="10" t="s">
        <v>6362</v>
      </c>
      <c r="G91" t="s">
        <v>6365</v>
      </c>
    </row>
    <row r="92" spans="1:7" x14ac:dyDescent="0.35">
      <c r="A92" t="s">
        <v>5382</v>
      </c>
      <c r="B92" t="s">
        <v>5383</v>
      </c>
      <c r="C92" t="s">
        <v>4897</v>
      </c>
      <c r="D92">
        <v>28.9</v>
      </c>
      <c r="E92" t="s">
        <v>5198</v>
      </c>
      <c r="F92" s="10" t="s">
        <v>6363</v>
      </c>
      <c r="G92" t="s">
        <v>6365</v>
      </c>
    </row>
    <row r="93" spans="1:7" x14ac:dyDescent="0.35">
      <c r="A93" t="s">
        <v>5384</v>
      </c>
      <c r="B93" t="s">
        <v>5385</v>
      </c>
      <c r="C93" t="s">
        <v>5108</v>
      </c>
      <c r="D93">
        <v>33.78</v>
      </c>
      <c r="E93" t="s">
        <v>5198</v>
      </c>
      <c r="F93" s="10" t="s">
        <v>6363</v>
      </c>
      <c r="G93" t="s">
        <v>74</v>
      </c>
    </row>
    <row r="94" spans="1:7" x14ac:dyDescent="0.35">
      <c r="A94" t="s">
        <v>5386</v>
      </c>
      <c r="B94" t="s">
        <v>5232</v>
      </c>
      <c r="C94" t="s">
        <v>5353</v>
      </c>
      <c r="D94">
        <v>11.21</v>
      </c>
      <c r="E94" t="s">
        <v>5198</v>
      </c>
      <c r="F94" s="10" t="s">
        <v>6362</v>
      </c>
      <c r="G94" t="s">
        <v>6365</v>
      </c>
    </row>
    <row r="95" spans="1:7" x14ac:dyDescent="0.35">
      <c r="A95" t="s">
        <v>5387</v>
      </c>
      <c r="B95" t="s">
        <v>5291</v>
      </c>
      <c r="C95" t="s">
        <v>5388</v>
      </c>
      <c r="D95">
        <v>16.45</v>
      </c>
      <c r="E95" t="s">
        <v>5196</v>
      </c>
      <c r="F95" s="10" t="s">
        <v>6363</v>
      </c>
      <c r="G95" t="s">
        <v>74</v>
      </c>
    </row>
    <row r="96" spans="1:7" x14ac:dyDescent="0.35">
      <c r="A96" t="s">
        <v>5389</v>
      </c>
      <c r="B96" t="s">
        <v>5390</v>
      </c>
      <c r="C96" t="s">
        <v>5268</v>
      </c>
      <c r="D96">
        <v>26.06</v>
      </c>
      <c r="E96" t="s">
        <v>5199</v>
      </c>
      <c r="F96" s="10" t="s">
        <v>6363</v>
      </c>
      <c r="G96" t="s">
        <v>71</v>
      </c>
    </row>
    <row r="97" spans="1:7" x14ac:dyDescent="0.35">
      <c r="A97" t="s">
        <v>5391</v>
      </c>
      <c r="B97" t="s">
        <v>5385</v>
      </c>
      <c r="C97" t="s">
        <v>4676</v>
      </c>
      <c r="D97">
        <v>28.45</v>
      </c>
      <c r="E97" t="s">
        <v>5235</v>
      </c>
      <c r="F97" s="10" t="s">
        <v>6362</v>
      </c>
      <c r="G97" t="s">
        <v>6365</v>
      </c>
    </row>
    <row r="98" spans="1:7" x14ac:dyDescent="0.35">
      <c r="A98" t="s">
        <v>5392</v>
      </c>
      <c r="B98" t="s">
        <v>5207</v>
      </c>
      <c r="C98" t="s">
        <v>5378</v>
      </c>
      <c r="D98">
        <v>38.369999999999997</v>
      </c>
      <c r="E98" t="s">
        <v>5235</v>
      </c>
      <c r="F98" s="10" t="s">
        <v>6362</v>
      </c>
      <c r="G98" t="s">
        <v>74</v>
      </c>
    </row>
    <row r="99" spans="1:7" x14ac:dyDescent="0.35">
      <c r="A99" t="s">
        <v>5393</v>
      </c>
      <c r="B99" t="s">
        <v>5307</v>
      </c>
      <c r="C99" t="s">
        <v>4804</v>
      </c>
      <c r="D99">
        <v>22.93</v>
      </c>
      <c r="E99" t="s">
        <v>5235</v>
      </c>
      <c r="F99" s="10" t="s">
        <v>6362</v>
      </c>
      <c r="G99" t="s">
        <v>74</v>
      </c>
    </row>
    <row r="100" spans="1:7" x14ac:dyDescent="0.35">
      <c r="A100" t="s">
        <v>5394</v>
      </c>
      <c r="B100" t="s">
        <v>5288</v>
      </c>
      <c r="C100" t="s">
        <v>5251</v>
      </c>
      <c r="D100">
        <v>14.12</v>
      </c>
      <c r="E100" t="s">
        <v>5198</v>
      </c>
      <c r="F100" s="10" t="s">
        <v>6363</v>
      </c>
      <c r="G100" t="s">
        <v>6365</v>
      </c>
    </row>
    <row r="101" spans="1:7" x14ac:dyDescent="0.35">
      <c r="A101" t="s">
        <v>5395</v>
      </c>
      <c r="B101" t="s">
        <v>5396</v>
      </c>
      <c r="C101" t="s">
        <v>5165</v>
      </c>
      <c r="D101">
        <v>26.34</v>
      </c>
      <c r="E101" t="s">
        <v>5196</v>
      </c>
      <c r="F101" s="10" t="s">
        <v>6362</v>
      </c>
      <c r="G101" t="s">
        <v>71</v>
      </c>
    </row>
    <row r="102" spans="1:7" x14ac:dyDescent="0.35">
      <c r="A102" t="s">
        <v>5397</v>
      </c>
      <c r="B102" t="s">
        <v>5398</v>
      </c>
      <c r="C102" t="s">
        <v>5399</v>
      </c>
      <c r="D102">
        <v>33.75</v>
      </c>
      <c r="E102" t="s">
        <v>5196</v>
      </c>
      <c r="F102" s="10" t="s">
        <v>6362</v>
      </c>
      <c r="G102" t="s">
        <v>71</v>
      </c>
    </row>
    <row r="103" spans="1:7" x14ac:dyDescent="0.35">
      <c r="A103" t="s">
        <v>5400</v>
      </c>
      <c r="B103" t="s">
        <v>5401</v>
      </c>
      <c r="C103" t="s">
        <v>5380</v>
      </c>
      <c r="D103">
        <v>35.659999999999997</v>
      </c>
      <c r="E103" t="s">
        <v>5198</v>
      </c>
      <c r="F103" s="10" t="s">
        <v>6363</v>
      </c>
      <c r="G103" t="s">
        <v>74</v>
      </c>
    </row>
    <row r="104" spans="1:7" x14ac:dyDescent="0.35">
      <c r="A104" t="s">
        <v>5402</v>
      </c>
      <c r="B104" t="s">
        <v>5385</v>
      </c>
      <c r="C104" t="s">
        <v>5312</v>
      </c>
      <c r="D104">
        <v>33.119999999999997</v>
      </c>
      <c r="E104" t="s">
        <v>5199</v>
      </c>
      <c r="F104" s="10" t="s">
        <v>6362</v>
      </c>
      <c r="G104" t="s">
        <v>6365</v>
      </c>
    </row>
    <row r="105" spans="1:7" x14ac:dyDescent="0.35">
      <c r="A105" t="s">
        <v>5403</v>
      </c>
      <c r="B105" t="s">
        <v>5244</v>
      </c>
      <c r="C105" t="s">
        <v>5245</v>
      </c>
      <c r="D105">
        <v>32.93</v>
      </c>
      <c r="E105" t="s">
        <v>5197</v>
      </c>
      <c r="F105" s="10" t="s">
        <v>6362</v>
      </c>
      <c r="G105" t="s">
        <v>74</v>
      </c>
    </row>
    <row r="106" spans="1:7" x14ac:dyDescent="0.35">
      <c r="A106" t="s">
        <v>5404</v>
      </c>
      <c r="B106" t="s">
        <v>5405</v>
      </c>
      <c r="C106" t="s">
        <v>5406</v>
      </c>
      <c r="D106">
        <v>20.8</v>
      </c>
      <c r="E106" t="s">
        <v>5199</v>
      </c>
      <c r="F106" s="10" t="s">
        <v>6362</v>
      </c>
      <c r="G106" t="s">
        <v>6365</v>
      </c>
    </row>
    <row r="107" spans="1:7" x14ac:dyDescent="0.35">
      <c r="A107" t="s">
        <v>5407</v>
      </c>
      <c r="B107" t="s">
        <v>5204</v>
      </c>
      <c r="C107" t="s">
        <v>4720</v>
      </c>
      <c r="D107">
        <v>35.42</v>
      </c>
      <c r="E107" t="s">
        <v>5198</v>
      </c>
      <c r="F107" s="10" t="s">
        <v>6362</v>
      </c>
      <c r="G107" t="s">
        <v>71</v>
      </c>
    </row>
    <row r="108" spans="1:7" x14ac:dyDescent="0.35">
      <c r="A108" t="s">
        <v>5408</v>
      </c>
      <c r="B108" t="s">
        <v>5300</v>
      </c>
      <c r="C108" t="s">
        <v>5409</v>
      </c>
      <c r="D108">
        <v>16.649999999999999</v>
      </c>
      <c r="E108" t="s">
        <v>5197</v>
      </c>
      <c r="F108" s="10" t="s">
        <v>6362</v>
      </c>
      <c r="G108" t="s">
        <v>6365</v>
      </c>
    </row>
    <row r="109" spans="1:7" x14ac:dyDescent="0.35">
      <c r="A109" t="s">
        <v>5410</v>
      </c>
      <c r="B109" t="s">
        <v>5411</v>
      </c>
      <c r="C109" t="s">
        <v>5324</v>
      </c>
      <c r="D109">
        <v>21.64</v>
      </c>
      <c r="E109" t="s">
        <v>5199</v>
      </c>
      <c r="F109" s="10" t="s">
        <v>6363</v>
      </c>
      <c r="G109" t="s">
        <v>71</v>
      </c>
    </row>
    <row r="110" spans="1:7" x14ac:dyDescent="0.35">
      <c r="A110" t="s">
        <v>5412</v>
      </c>
      <c r="B110" t="s">
        <v>5413</v>
      </c>
      <c r="C110" t="s">
        <v>5414</v>
      </c>
      <c r="D110">
        <v>39.799999999999997</v>
      </c>
      <c r="E110" t="s">
        <v>5199</v>
      </c>
      <c r="F110" s="10" t="s">
        <v>6362</v>
      </c>
      <c r="G110" t="s">
        <v>71</v>
      </c>
    </row>
    <row r="111" spans="1:7" x14ac:dyDescent="0.35">
      <c r="A111" t="s">
        <v>5415</v>
      </c>
      <c r="B111" t="s">
        <v>5201</v>
      </c>
      <c r="C111" t="s">
        <v>4781</v>
      </c>
      <c r="D111">
        <v>17.04</v>
      </c>
      <c r="E111" t="s">
        <v>5199</v>
      </c>
      <c r="F111" s="10" t="s">
        <v>6363</v>
      </c>
      <c r="G111" t="s">
        <v>6366</v>
      </c>
    </row>
    <row r="112" spans="1:7" x14ac:dyDescent="0.35">
      <c r="A112" t="s">
        <v>5416</v>
      </c>
      <c r="B112" t="s">
        <v>5328</v>
      </c>
      <c r="C112" t="s">
        <v>5406</v>
      </c>
      <c r="D112">
        <v>27.78</v>
      </c>
      <c r="E112" t="s">
        <v>5235</v>
      </c>
      <c r="F112" s="10" t="s">
        <v>6363</v>
      </c>
      <c r="G112" t="s">
        <v>6365</v>
      </c>
    </row>
    <row r="113" spans="1:7" x14ac:dyDescent="0.35">
      <c r="A113" t="s">
        <v>5417</v>
      </c>
      <c r="B113" t="s">
        <v>5311</v>
      </c>
      <c r="C113" t="s">
        <v>5418</v>
      </c>
      <c r="D113">
        <v>22.32</v>
      </c>
      <c r="E113" t="s">
        <v>5199</v>
      </c>
      <c r="F113" s="10" t="s">
        <v>6363</v>
      </c>
      <c r="G113" t="s">
        <v>71</v>
      </c>
    </row>
    <row r="114" spans="1:7" x14ac:dyDescent="0.35">
      <c r="A114" t="s">
        <v>5419</v>
      </c>
      <c r="B114" t="s">
        <v>5396</v>
      </c>
      <c r="C114" t="s">
        <v>5230</v>
      </c>
      <c r="D114">
        <v>17.91</v>
      </c>
      <c r="E114" t="s">
        <v>5197</v>
      </c>
      <c r="F114" s="10" t="s">
        <v>6363</v>
      </c>
      <c r="G114" t="s">
        <v>71</v>
      </c>
    </row>
    <row r="115" spans="1:7" x14ac:dyDescent="0.35">
      <c r="A115" t="s">
        <v>5420</v>
      </c>
      <c r="B115" t="s">
        <v>5201</v>
      </c>
      <c r="C115" t="s">
        <v>5421</v>
      </c>
      <c r="D115">
        <v>13.56</v>
      </c>
      <c r="E115" t="s">
        <v>5235</v>
      </c>
      <c r="F115" s="10" t="s">
        <v>6363</v>
      </c>
      <c r="G115" t="s">
        <v>74</v>
      </c>
    </row>
    <row r="116" spans="1:7" x14ac:dyDescent="0.35">
      <c r="A116" t="s">
        <v>5422</v>
      </c>
      <c r="B116" t="s">
        <v>5423</v>
      </c>
      <c r="C116" t="s">
        <v>4700</v>
      </c>
      <c r="D116">
        <v>15.49</v>
      </c>
      <c r="E116" t="s">
        <v>5198</v>
      </c>
      <c r="F116" s="10" t="s">
        <v>6363</v>
      </c>
      <c r="G116" t="s">
        <v>6365</v>
      </c>
    </row>
    <row r="117" spans="1:7" x14ac:dyDescent="0.35">
      <c r="A117" t="s">
        <v>5424</v>
      </c>
      <c r="B117" t="s">
        <v>5234</v>
      </c>
      <c r="C117" t="s">
        <v>5205</v>
      </c>
      <c r="D117">
        <v>21.91</v>
      </c>
      <c r="E117" t="s">
        <v>5197</v>
      </c>
      <c r="F117" s="10" t="s">
        <v>6363</v>
      </c>
      <c r="G117" t="s">
        <v>71</v>
      </c>
    </row>
    <row r="118" spans="1:7" x14ac:dyDescent="0.35">
      <c r="A118" t="s">
        <v>5425</v>
      </c>
      <c r="B118" t="s">
        <v>5413</v>
      </c>
      <c r="C118" t="s">
        <v>5091</v>
      </c>
      <c r="D118">
        <v>30.27</v>
      </c>
      <c r="E118" t="s">
        <v>5235</v>
      </c>
      <c r="F118" s="10" t="s">
        <v>6362</v>
      </c>
      <c r="G118" t="s">
        <v>71</v>
      </c>
    </row>
    <row r="119" spans="1:7" x14ac:dyDescent="0.35">
      <c r="A119" t="s">
        <v>5426</v>
      </c>
      <c r="B119" t="s">
        <v>5427</v>
      </c>
      <c r="C119" t="s">
        <v>4897</v>
      </c>
      <c r="D119">
        <v>23.46</v>
      </c>
      <c r="E119" t="s">
        <v>5199</v>
      </c>
      <c r="F119" s="10" t="s">
        <v>6363</v>
      </c>
      <c r="G119" t="s">
        <v>6365</v>
      </c>
    </row>
    <row r="120" spans="1:7" x14ac:dyDescent="0.35">
      <c r="A120" t="s">
        <v>5428</v>
      </c>
      <c r="B120" t="s">
        <v>5304</v>
      </c>
      <c r="C120" t="s">
        <v>5245</v>
      </c>
      <c r="D120">
        <v>17.190000000000001</v>
      </c>
      <c r="E120" t="s">
        <v>5235</v>
      </c>
      <c r="F120" s="10" t="s">
        <v>6363</v>
      </c>
      <c r="G120" t="s">
        <v>74</v>
      </c>
    </row>
    <row r="121" spans="1:7" x14ac:dyDescent="0.35">
      <c r="A121" t="s">
        <v>5429</v>
      </c>
      <c r="B121" t="s">
        <v>5258</v>
      </c>
      <c r="C121" t="s">
        <v>5256</v>
      </c>
      <c r="D121">
        <v>26.8</v>
      </c>
      <c r="E121" t="s">
        <v>5196</v>
      </c>
      <c r="F121" s="10" t="s">
        <v>6362</v>
      </c>
      <c r="G121" t="s">
        <v>6365</v>
      </c>
    </row>
    <row r="122" spans="1:7" x14ac:dyDescent="0.35">
      <c r="A122" t="s">
        <v>5430</v>
      </c>
      <c r="B122" t="s">
        <v>5267</v>
      </c>
      <c r="C122" t="s">
        <v>5240</v>
      </c>
      <c r="D122">
        <v>33.229999999999997</v>
      </c>
      <c r="E122" t="s">
        <v>5196</v>
      </c>
      <c r="F122" s="10" t="s">
        <v>6362</v>
      </c>
      <c r="G122" t="s">
        <v>6365</v>
      </c>
    </row>
    <row r="123" spans="1:7" x14ac:dyDescent="0.35">
      <c r="A123" t="s">
        <v>5431</v>
      </c>
      <c r="B123" t="s">
        <v>5210</v>
      </c>
      <c r="C123" t="s">
        <v>5222</v>
      </c>
      <c r="D123">
        <v>18.82</v>
      </c>
      <c r="E123" t="s">
        <v>5196</v>
      </c>
      <c r="F123" s="10" t="s">
        <v>6363</v>
      </c>
      <c r="G123" t="s">
        <v>74</v>
      </c>
    </row>
    <row r="124" spans="1:7" x14ac:dyDescent="0.35">
      <c r="A124" t="s">
        <v>5432</v>
      </c>
      <c r="B124" t="s">
        <v>5237</v>
      </c>
      <c r="C124" t="s">
        <v>4773</v>
      </c>
      <c r="D124">
        <v>21.05</v>
      </c>
      <c r="E124" t="s">
        <v>5235</v>
      </c>
      <c r="F124" s="10" t="s">
        <v>6363</v>
      </c>
      <c r="G124" t="s">
        <v>6365</v>
      </c>
    </row>
    <row r="125" spans="1:7" x14ac:dyDescent="0.35">
      <c r="A125" t="s">
        <v>5433</v>
      </c>
      <c r="B125" t="s">
        <v>5434</v>
      </c>
      <c r="C125" t="s">
        <v>4785</v>
      </c>
      <c r="D125">
        <v>32.43</v>
      </c>
      <c r="E125" t="s">
        <v>5235</v>
      </c>
      <c r="F125" s="10" t="s">
        <v>6363</v>
      </c>
      <c r="G125" t="s">
        <v>6365</v>
      </c>
    </row>
    <row r="126" spans="1:7" x14ac:dyDescent="0.35">
      <c r="A126" t="s">
        <v>5435</v>
      </c>
      <c r="B126" t="s">
        <v>5293</v>
      </c>
      <c r="C126" t="s">
        <v>5388</v>
      </c>
      <c r="D126">
        <v>39.46</v>
      </c>
      <c r="E126" t="s">
        <v>5197</v>
      </c>
      <c r="F126" s="10" t="s">
        <v>6362</v>
      </c>
      <c r="G126" t="s">
        <v>71</v>
      </c>
    </row>
    <row r="127" spans="1:7" x14ac:dyDescent="0.35">
      <c r="A127" t="s">
        <v>5436</v>
      </c>
      <c r="B127" t="s">
        <v>5207</v>
      </c>
      <c r="C127" t="s">
        <v>4781</v>
      </c>
      <c r="D127">
        <v>13.99</v>
      </c>
      <c r="E127" t="s">
        <v>5197</v>
      </c>
      <c r="F127" s="10" t="s">
        <v>6362</v>
      </c>
      <c r="G127" t="s">
        <v>6365</v>
      </c>
    </row>
    <row r="128" spans="1:7" x14ac:dyDescent="0.35">
      <c r="A128" t="s">
        <v>5437</v>
      </c>
      <c r="B128" t="s">
        <v>5398</v>
      </c>
      <c r="C128" t="s">
        <v>5205</v>
      </c>
      <c r="D128">
        <v>13.12</v>
      </c>
      <c r="E128" t="s">
        <v>5197</v>
      </c>
      <c r="F128" s="10" t="s">
        <v>6362</v>
      </c>
      <c r="G128" t="s">
        <v>6365</v>
      </c>
    </row>
    <row r="129" spans="1:7" x14ac:dyDescent="0.35">
      <c r="A129" t="s">
        <v>5438</v>
      </c>
      <c r="B129" t="s">
        <v>5242</v>
      </c>
      <c r="C129" t="s">
        <v>4920</v>
      </c>
      <c r="D129">
        <v>18.489999999999998</v>
      </c>
      <c r="E129" t="s">
        <v>5197</v>
      </c>
      <c r="F129" s="10" t="s">
        <v>6362</v>
      </c>
      <c r="G129" t="s">
        <v>6366</v>
      </c>
    </row>
    <row r="130" spans="1:7" x14ac:dyDescent="0.35">
      <c r="A130" t="s">
        <v>5439</v>
      </c>
      <c r="B130" t="s">
        <v>5440</v>
      </c>
      <c r="C130" t="s">
        <v>5319</v>
      </c>
      <c r="D130">
        <v>36.020000000000003</v>
      </c>
      <c r="E130" t="s">
        <v>5199</v>
      </c>
      <c r="F130" s="10" t="s">
        <v>6363</v>
      </c>
      <c r="G130" t="s">
        <v>71</v>
      </c>
    </row>
    <row r="131" spans="1:7" x14ac:dyDescent="0.35">
      <c r="A131" t="s">
        <v>5441</v>
      </c>
      <c r="B131" t="s">
        <v>5307</v>
      </c>
      <c r="C131" t="s">
        <v>4773</v>
      </c>
      <c r="D131">
        <v>33.9</v>
      </c>
      <c r="E131" t="s">
        <v>5198</v>
      </c>
      <c r="F131" s="10" t="s">
        <v>6362</v>
      </c>
      <c r="G131" t="s">
        <v>6365</v>
      </c>
    </row>
    <row r="132" spans="1:7" x14ac:dyDescent="0.35">
      <c r="A132" t="s">
        <v>5442</v>
      </c>
      <c r="B132" t="s">
        <v>5258</v>
      </c>
      <c r="C132" t="s">
        <v>5208</v>
      </c>
      <c r="D132">
        <v>14</v>
      </c>
      <c r="E132" t="s">
        <v>5199</v>
      </c>
      <c r="F132" s="10" t="s">
        <v>6362</v>
      </c>
      <c r="G132" t="s">
        <v>6365</v>
      </c>
    </row>
    <row r="133" spans="1:7" x14ac:dyDescent="0.35">
      <c r="A133" t="s">
        <v>5443</v>
      </c>
      <c r="B133" t="s">
        <v>5444</v>
      </c>
      <c r="C133" t="s">
        <v>5115</v>
      </c>
      <c r="D133">
        <v>34.76</v>
      </c>
      <c r="E133" t="s">
        <v>5198</v>
      </c>
      <c r="F133" s="10" t="s">
        <v>6362</v>
      </c>
      <c r="G133" t="s">
        <v>71</v>
      </c>
    </row>
    <row r="134" spans="1:7" x14ac:dyDescent="0.35">
      <c r="A134" t="s">
        <v>5445</v>
      </c>
      <c r="B134" t="s">
        <v>5333</v>
      </c>
      <c r="C134" t="s">
        <v>4671</v>
      </c>
      <c r="D134">
        <v>12.71</v>
      </c>
      <c r="E134" t="s">
        <v>5198</v>
      </c>
      <c r="F134" s="10" t="s">
        <v>6363</v>
      </c>
      <c r="G134" t="s">
        <v>71</v>
      </c>
    </row>
    <row r="135" spans="1:7" x14ac:dyDescent="0.35">
      <c r="A135" t="s">
        <v>5446</v>
      </c>
      <c r="B135" t="s">
        <v>5247</v>
      </c>
      <c r="C135" t="s">
        <v>4804</v>
      </c>
      <c r="D135">
        <v>15.88</v>
      </c>
      <c r="E135" t="s">
        <v>5197</v>
      </c>
      <c r="F135" s="10" t="s">
        <v>6363</v>
      </c>
      <c r="G135" t="s">
        <v>6365</v>
      </c>
    </row>
    <row r="136" spans="1:7" x14ac:dyDescent="0.35">
      <c r="A136" t="s">
        <v>5447</v>
      </c>
      <c r="B136" t="s">
        <v>5345</v>
      </c>
      <c r="C136" t="s">
        <v>5448</v>
      </c>
      <c r="D136">
        <v>38.01</v>
      </c>
      <c r="E136" t="s">
        <v>5235</v>
      </c>
      <c r="F136" s="10" t="s">
        <v>6363</v>
      </c>
      <c r="G136" t="s">
        <v>71</v>
      </c>
    </row>
    <row r="137" spans="1:7" x14ac:dyDescent="0.35">
      <c r="A137" t="s">
        <v>5449</v>
      </c>
      <c r="B137" t="s">
        <v>5398</v>
      </c>
      <c r="C137" t="s">
        <v>5115</v>
      </c>
      <c r="D137">
        <v>37.380000000000003</v>
      </c>
      <c r="E137" t="s">
        <v>5196</v>
      </c>
      <c r="F137" s="10" t="s">
        <v>6363</v>
      </c>
      <c r="G137" t="s">
        <v>71</v>
      </c>
    </row>
    <row r="138" spans="1:7" x14ac:dyDescent="0.35">
      <c r="A138" t="s">
        <v>5450</v>
      </c>
      <c r="B138" t="s">
        <v>5302</v>
      </c>
      <c r="C138" t="s">
        <v>5451</v>
      </c>
      <c r="D138">
        <v>20.18</v>
      </c>
      <c r="E138" t="s">
        <v>5235</v>
      </c>
      <c r="F138" s="10" t="s">
        <v>6362</v>
      </c>
      <c r="G138" t="s">
        <v>6366</v>
      </c>
    </row>
    <row r="139" spans="1:7" x14ac:dyDescent="0.35">
      <c r="A139" t="s">
        <v>5452</v>
      </c>
      <c r="B139" t="s">
        <v>5328</v>
      </c>
      <c r="C139" t="s">
        <v>5453</v>
      </c>
      <c r="D139">
        <v>20.12</v>
      </c>
      <c r="E139" t="s">
        <v>5196</v>
      </c>
      <c r="F139" s="10" t="s">
        <v>6363</v>
      </c>
      <c r="G139" t="s">
        <v>6365</v>
      </c>
    </row>
    <row r="140" spans="1:7" x14ac:dyDescent="0.35">
      <c r="A140" t="s">
        <v>5454</v>
      </c>
      <c r="B140" t="s">
        <v>5455</v>
      </c>
      <c r="C140" t="s">
        <v>5222</v>
      </c>
      <c r="D140">
        <v>31.22</v>
      </c>
      <c r="E140" t="s">
        <v>5197</v>
      </c>
      <c r="F140" s="10" t="s">
        <v>6363</v>
      </c>
      <c r="G140" t="s">
        <v>6365</v>
      </c>
    </row>
    <row r="141" spans="1:7" x14ac:dyDescent="0.35">
      <c r="A141" t="s">
        <v>5456</v>
      </c>
      <c r="B141" t="s">
        <v>5217</v>
      </c>
      <c r="C141" t="s">
        <v>4920</v>
      </c>
      <c r="D141">
        <v>19.89</v>
      </c>
      <c r="E141" t="s">
        <v>5196</v>
      </c>
      <c r="F141" s="10" t="s">
        <v>6363</v>
      </c>
      <c r="G141" t="s">
        <v>71</v>
      </c>
    </row>
    <row r="142" spans="1:7" x14ac:dyDescent="0.35">
      <c r="A142" t="s">
        <v>5457</v>
      </c>
      <c r="B142" t="s">
        <v>5345</v>
      </c>
      <c r="C142" t="s">
        <v>5418</v>
      </c>
      <c r="D142">
        <v>12.05</v>
      </c>
      <c r="E142" t="s">
        <v>5199</v>
      </c>
      <c r="F142" s="10" t="s">
        <v>6363</v>
      </c>
      <c r="G142" t="s">
        <v>6366</v>
      </c>
    </row>
    <row r="143" spans="1:7" x14ac:dyDescent="0.35">
      <c r="A143" t="s">
        <v>5458</v>
      </c>
      <c r="B143" t="s">
        <v>5459</v>
      </c>
      <c r="C143" t="s">
        <v>5460</v>
      </c>
      <c r="D143">
        <v>37.83</v>
      </c>
      <c r="E143" t="s">
        <v>5199</v>
      </c>
      <c r="F143" s="10" t="s">
        <v>6362</v>
      </c>
      <c r="G143" t="s">
        <v>74</v>
      </c>
    </row>
    <row r="144" spans="1:7" x14ac:dyDescent="0.35">
      <c r="A144" t="s">
        <v>5461</v>
      </c>
      <c r="B144" t="s">
        <v>5398</v>
      </c>
      <c r="C144" t="s">
        <v>5331</v>
      </c>
      <c r="D144">
        <v>20.72</v>
      </c>
      <c r="E144" t="s">
        <v>5199</v>
      </c>
      <c r="F144" s="10" t="s">
        <v>6362</v>
      </c>
      <c r="G144" t="s">
        <v>71</v>
      </c>
    </row>
    <row r="145" spans="1:7" x14ac:dyDescent="0.35">
      <c r="A145" t="s">
        <v>5462</v>
      </c>
      <c r="B145" t="s">
        <v>5401</v>
      </c>
      <c r="C145" t="s">
        <v>5463</v>
      </c>
      <c r="D145">
        <v>30.97</v>
      </c>
      <c r="E145" t="s">
        <v>5196</v>
      </c>
      <c r="F145" s="10" t="s">
        <v>6363</v>
      </c>
      <c r="G145" t="s">
        <v>71</v>
      </c>
    </row>
    <row r="146" spans="1:7" x14ac:dyDescent="0.35">
      <c r="A146" t="s">
        <v>5464</v>
      </c>
      <c r="B146" t="s">
        <v>5285</v>
      </c>
      <c r="C146" t="s">
        <v>4785</v>
      </c>
      <c r="D146">
        <v>38.97</v>
      </c>
      <c r="E146" t="s">
        <v>5198</v>
      </c>
      <c r="F146" s="10" t="s">
        <v>6363</v>
      </c>
      <c r="G146" t="s">
        <v>6365</v>
      </c>
    </row>
    <row r="147" spans="1:7" x14ac:dyDescent="0.35">
      <c r="A147" t="s">
        <v>5465</v>
      </c>
      <c r="B147" t="s">
        <v>5298</v>
      </c>
      <c r="C147" t="s">
        <v>5466</v>
      </c>
      <c r="D147">
        <v>11.4</v>
      </c>
      <c r="E147" t="s">
        <v>5198</v>
      </c>
      <c r="F147" s="10" t="s">
        <v>6363</v>
      </c>
      <c r="G147" t="s">
        <v>6365</v>
      </c>
    </row>
    <row r="148" spans="1:7" x14ac:dyDescent="0.35">
      <c r="A148" t="s">
        <v>5467</v>
      </c>
      <c r="B148" t="s">
        <v>5311</v>
      </c>
      <c r="C148" t="s">
        <v>5165</v>
      </c>
      <c r="D148">
        <v>17.95</v>
      </c>
      <c r="E148" t="s">
        <v>5197</v>
      </c>
      <c r="F148" s="10" t="s">
        <v>6363</v>
      </c>
      <c r="G148" t="s">
        <v>74</v>
      </c>
    </row>
    <row r="149" spans="1:7" x14ac:dyDescent="0.35">
      <c r="A149" t="s">
        <v>5468</v>
      </c>
      <c r="B149" t="s">
        <v>5239</v>
      </c>
      <c r="C149" t="s">
        <v>5316</v>
      </c>
      <c r="D149">
        <v>16.84</v>
      </c>
      <c r="E149" t="s">
        <v>5198</v>
      </c>
      <c r="F149" s="10" t="s">
        <v>6362</v>
      </c>
      <c r="G149" t="s">
        <v>6365</v>
      </c>
    </row>
    <row r="150" spans="1:7" x14ac:dyDescent="0.35">
      <c r="A150" t="s">
        <v>5469</v>
      </c>
      <c r="B150" t="s">
        <v>5239</v>
      </c>
      <c r="C150" t="s">
        <v>5453</v>
      </c>
      <c r="D150">
        <v>16.8</v>
      </c>
      <c r="E150" t="s">
        <v>5198</v>
      </c>
      <c r="F150" s="10" t="s">
        <v>6362</v>
      </c>
      <c r="G150" t="s">
        <v>6365</v>
      </c>
    </row>
    <row r="151" spans="1:7" x14ac:dyDescent="0.35">
      <c r="A151" t="s">
        <v>5470</v>
      </c>
      <c r="B151" t="s">
        <v>5224</v>
      </c>
      <c r="C151" t="s">
        <v>5324</v>
      </c>
      <c r="D151">
        <v>36.07</v>
      </c>
      <c r="E151" t="s">
        <v>5199</v>
      </c>
      <c r="F151" s="10" t="s">
        <v>6363</v>
      </c>
      <c r="G151" t="s">
        <v>6365</v>
      </c>
    </row>
    <row r="152" spans="1:7" x14ac:dyDescent="0.35">
      <c r="A152" t="s">
        <v>5471</v>
      </c>
      <c r="B152" t="s">
        <v>5423</v>
      </c>
      <c r="C152" t="s">
        <v>5472</v>
      </c>
      <c r="D152">
        <v>15.08</v>
      </c>
      <c r="E152" t="s">
        <v>5198</v>
      </c>
      <c r="F152" s="10" t="s">
        <v>6363</v>
      </c>
      <c r="G152" t="s">
        <v>6365</v>
      </c>
    </row>
    <row r="153" spans="1:7" x14ac:dyDescent="0.35">
      <c r="A153" t="s">
        <v>5473</v>
      </c>
      <c r="B153" t="s">
        <v>5474</v>
      </c>
      <c r="C153" t="s">
        <v>4700</v>
      </c>
      <c r="D153">
        <v>39.869999999999997</v>
      </c>
      <c r="E153" t="s">
        <v>5197</v>
      </c>
      <c r="F153" s="10" t="s">
        <v>6362</v>
      </c>
      <c r="G153" t="s">
        <v>74</v>
      </c>
    </row>
    <row r="154" spans="1:7" x14ac:dyDescent="0.35">
      <c r="A154" t="s">
        <v>5475</v>
      </c>
      <c r="B154" t="s">
        <v>5307</v>
      </c>
      <c r="C154" t="s">
        <v>5173</v>
      </c>
      <c r="D154">
        <v>19.43</v>
      </c>
      <c r="E154" t="s">
        <v>5198</v>
      </c>
      <c r="F154" s="10" t="s">
        <v>6363</v>
      </c>
      <c r="G154" t="s">
        <v>6365</v>
      </c>
    </row>
    <row r="155" spans="1:7" x14ac:dyDescent="0.35">
      <c r="A155" t="s">
        <v>5476</v>
      </c>
      <c r="B155" t="s">
        <v>5477</v>
      </c>
      <c r="C155" t="s">
        <v>5478</v>
      </c>
      <c r="D155">
        <v>18.43</v>
      </c>
      <c r="E155" t="s">
        <v>5196</v>
      </c>
      <c r="F155" s="10" t="s">
        <v>6362</v>
      </c>
      <c r="G155" t="s">
        <v>74</v>
      </c>
    </row>
    <row r="156" spans="1:7" x14ac:dyDescent="0.35">
      <c r="A156" t="s">
        <v>5479</v>
      </c>
      <c r="B156" t="s">
        <v>5480</v>
      </c>
      <c r="C156" t="s">
        <v>5165</v>
      </c>
      <c r="D156">
        <v>24.47</v>
      </c>
      <c r="E156" t="s">
        <v>5235</v>
      </c>
      <c r="F156" s="10" t="s">
        <v>6362</v>
      </c>
      <c r="G156" t="s">
        <v>74</v>
      </c>
    </row>
    <row r="157" spans="1:7" x14ac:dyDescent="0.35">
      <c r="A157" t="s">
        <v>5481</v>
      </c>
      <c r="B157" t="s">
        <v>5413</v>
      </c>
      <c r="C157" t="s">
        <v>4915</v>
      </c>
      <c r="D157">
        <v>25.8</v>
      </c>
      <c r="E157" t="s">
        <v>5199</v>
      </c>
      <c r="F157" s="10" t="s">
        <v>6363</v>
      </c>
      <c r="G157" t="s">
        <v>6365</v>
      </c>
    </row>
    <row r="158" spans="1:7" x14ac:dyDescent="0.35">
      <c r="A158" t="s">
        <v>5482</v>
      </c>
      <c r="B158" t="s">
        <v>5483</v>
      </c>
      <c r="C158" t="s">
        <v>5406</v>
      </c>
      <c r="D158">
        <v>33.049999999999997</v>
      </c>
      <c r="E158" t="s">
        <v>5235</v>
      </c>
      <c r="F158" s="10" t="s">
        <v>6362</v>
      </c>
      <c r="G158" t="s">
        <v>6365</v>
      </c>
    </row>
    <row r="159" spans="1:7" x14ac:dyDescent="0.35">
      <c r="A159" t="s">
        <v>5484</v>
      </c>
      <c r="B159" t="s">
        <v>5224</v>
      </c>
      <c r="C159" t="s">
        <v>4707</v>
      </c>
      <c r="D159">
        <v>12.03</v>
      </c>
      <c r="E159" t="s">
        <v>5235</v>
      </c>
      <c r="F159" s="10" t="s">
        <v>6362</v>
      </c>
      <c r="G159" t="s">
        <v>74</v>
      </c>
    </row>
    <row r="160" spans="1:7" x14ac:dyDescent="0.35">
      <c r="A160" t="s">
        <v>5485</v>
      </c>
      <c r="B160" t="s">
        <v>5304</v>
      </c>
      <c r="C160" t="s">
        <v>5011</v>
      </c>
      <c r="D160">
        <v>32.97</v>
      </c>
      <c r="E160" t="s">
        <v>5235</v>
      </c>
      <c r="F160" s="10" t="s">
        <v>6362</v>
      </c>
      <c r="G160" t="s">
        <v>74</v>
      </c>
    </row>
    <row r="161" spans="1:7" x14ac:dyDescent="0.35">
      <c r="A161" t="s">
        <v>5486</v>
      </c>
      <c r="B161" t="s">
        <v>5444</v>
      </c>
      <c r="C161" t="s">
        <v>4781</v>
      </c>
      <c r="D161">
        <v>16.170000000000002</v>
      </c>
      <c r="E161" t="s">
        <v>5235</v>
      </c>
      <c r="F161" s="10" t="s">
        <v>6362</v>
      </c>
      <c r="G161" t="s">
        <v>74</v>
      </c>
    </row>
    <row r="162" spans="1:7" x14ac:dyDescent="0.35">
      <c r="A162" t="s">
        <v>5487</v>
      </c>
      <c r="B162" t="s">
        <v>5488</v>
      </c>
      <c r="C162" t="s">
        <v>5466</v>
      </c>
      <c r="D162">
        <v>31.72</v>
      </c>
      <c r="E162" t="s">
        <v>5199</v>
      </c>
      <c r="F162" s="10" t="s">
        <v>6362</v>
      </c>
      <c r="G162" t="s">
        <v>6365</v>
      </c>
    </row>
    <row r="163" spans="1:7" x14ac:dyDescent="0.35">
      <c r="A163" t="s">
        <v>5489</v>
      </c>
      <c r="B163" t="s">
        <v>5326</v>
      </c>
      <c r="C163" t="s">
        <v>5340</v>
      </c>
      <c r="D163">
        <v>28.7</v>
      </c>
      <c r="E163" t="s">
        <v>5198</v>
      </c>
      <c r="F163" s="10" t="s">
        <v>6362</v>
      </c>
      <c r="G163" t="s">
        <v>74</v>
      </c>
    </row>
    <row r="164" spans="1:7" x14ac:dyDescent="0.35">
      <c r="A164" t="s">
        <v>5490</v>
      </c>
      <c r="B164" t="s">
        <v>5204</v>
      </c>
      <c r="C164" t="s">
        <v>5256</v>
      </c>
      <c r="D164">
        <v>35.270000000000003</v>
      </c>
      <c r="E164" t="s">
        <v>5198</v>
      </c>
      <c r="F164" s="10" t="s">
        <v>6362</v>
      </c>
      <c r="G164" t="s">
        <v>6365</v>
      </c>
    </row>
    <row r="165" spans="1:7" x14ac:dyDescent="0.35">
      <c r="A165" t="s">
        <v>5491</v>
      </c>
      <c r="B165" t="s">
        <v>5281</v>
      </c>
      <c r="C165" t="s">
        <v>5378</v>
      </c>
      <c r="D165">
        <v>22.4</v>
      </c>
      <c r="E165" t="s">
        <v>5196</v>
      </c>
      <c r="F165" s="10" t="s">
        <v>6363</v>
      </c>
      <c r="G165" t="s">
        <v>6365</v>
      </c>
    </row>
    <row r="166" spans="1:7" x14ac:dyDescent="0.35">
      <c r="A166" t="s">
        <v>5492</v>
      </c>
      <c r="B166" t="s">
        <v>5295</v>
      </c>
      <c r="C166" t="s">
        <v>4897</v>
      </c>
      <c r="D166">
        <v>14.38</v>
      </c>
      <c r="E166" t="s">
        <v>5199</v>
      </c>
      <c r="F166" s="10" t="s">
        <v>6363</v>
      </c>
      <c r="G166" t="s">
        <v>6365</v>
      </c>
    </row>
    <row r="167" spans="1:7" x14ac:dyDescent="0.35">
      <c r="A167" t="s">
        <v>5493</v>
      </c>
      <c r="B167" t="s">
        <v>5494</v>
      </c>
      <c r="C167" t="s">
        <v>5296</v>
      </c>
      <c r="D167">
        <v>38.299999999999997</v>
      </c>
      <c r="E167" t="s">
        <v>5235</v>
      </c>
      <c r="F167" s="10" t="s">
        <v>6363</v>
      </c>
      <c r="G167" t="s">
        <v>6365</v>
      </c>
    </row>
    <row r="168" spans="1:7" x14ac:dyDescent="0.35">
      <c r="A168" t="s">
        <v>5495</v>
      </c>
      <c r="B168" t="s">
        <v>5300</v>
      </c>
      <c r="C168" t="s">
        <v>4764</v>
      </c>
      <c r="D168">
        <v>35.75</v>
      </c>
      <c r="E168" t="s">
        <v>5198</v>
      </c>
      <c r="F168" s="10" t="s">
        <v>6363</v>
      </c>
      <c r="G168" t="s">
        <v>6365</v>
      </c>
    </row>
    <row r="169" spans="1:7" x14ac:dyDescent="0.35">
      <c r="A169" t="s">
        <v>5496</v>
      </c>
      <c r="B169" t="s">
        <v>5227</v>
      </c>
      <c r="C169" t="s">
        <v>5497</v>
      </c>
      <c r="D169">
        <v>23.82</v>
      </c>
      <c r="E169" t="s">
        <v>5235</v>
      </c>
      <c r="F169" s="10" t="s">
        <v>6363</v>
      </c>
      <c r="G169" t="s">
        <v>71</v>
      </c>
    </row>
    <row r="170" spans="1:7" x14ac:dyDescent="0.35">
      <c r="A170" t="s">
        <v>5498</v>
      </c>
      <c r="B170" t="s">
        <v>5440</v>
      </c>
      <c r="C170" t="s">
        <v>5499</v>
      </c>
      <c r="D170">
        <v>33.82</v>
      </c>
      <c r="E170" t="s">
        <v>5196</v>
      </c>
      <c r="F170" s="10" t="s">
        <v>6363</v>
      </c>
      <c r="G170" t="s">
        <v>71</v>
      </c>
    </row>
    <row r="171" spans="1:7" x14ac:dyDescent="0.35">
      <c r="A171" t="s">
        <v>5500</v>
      </c>
      <c r="B171" t="s">
        <v>5204</v>
      </c>
      <c r="C171" t="s">
        <v>5173</v>
      </c>
      <c r="D171">
        <v>10.87</v>
      </c>
      <c r="E171" t="s">
        <v>5198</v>
      </c>
      <c r="F171" s="10" t="s">
        <v>6362</v>
      </c>
      <c r="G171" t="s">
        <v>71</v>
      </c>
    </row>
    <row r="172" spans="1:7" x14ac:dyDescent="0.35">
      <c r="A172" t="s">
        <v>5501</v>
      </c>
      <c r="B172" t="s">
        <v>5459</v>
      </c>
      <c r="C172" t="s">
        <v>5502</v>
      </c>
      <c r="D172">
        <v>15.84</v>
      </c>
      <c r="E172" t="s">
        <v>5197</v>
      </c>
      <c r="F172" s="10" t="s">
        <v>6362</v>
      </c>
      <c r="G172" t="s">
        <v>6365</v>
      </c>
    </row>
    <row r="173" spans="1:7" x14ac:dyDescent="0.35">
      <c r="A173" t="s">
        <v>5503</v>
      </c>
      <c r="B173" t="s">
        <v>5504</v>
      </c>
      <c r="C173" t="s">
        <v>5505</v>
      </c>
      <c r="D173">
        <v>30.18</v>
      </c>
      <c r="E173" t="s">
        <v>5196</v>
      </c>
      <c r="F173" s="10" t="s">
        <v>6363</v>
      </c>
      <c r="G173" t="s">
        <v>71</v>
      </c>
    </row>
    <row r="174" spans="1:7" x14ac:dyDescent="0.35">
      <c r="A174" t="s">
        <v>5506</v>
      </c>
      <c r="B174" t="s">
        <v>5224</v>
      </c>
      <c r="C174" t="s">
        <v>5228</v>
      </c>
      <c r="D174">
        <v>21.41</v>
      </c>
      <c r="E174" t="s">
        <v>5235</v>
      </c>
      <c r="F174" s="10" t="s">
        <v>6363</v>
      </c>
      <c r="G174" t="s">
        <v>6365</v>
      </c>
    </row>
    <row r="175" spans="1:7" x14ac:dyDescent="0.35">
      <c r="A175" t="s">
        <v>5507</v>
      </c>
      <c r="B175" t="s">
        <v>5276</v>
      </c>
      <c r="C175" t="s">
        <v>5278</v>
      </c>
      <c r="D175">
        <v>32.11</v>
      </c>
      <c r="E175" t="s">
        <v>5198</v>
      </c>
      <c r="F175" s="10" t="s">
        <v>6363</v>
      </c>
      <c r="G175" t="s">
        <v>71</v>
      </c>
    </row>
    <row r="176" spans="1:7" x14ac:dyDescent="0.35">
      <c r="A176" t="s">
        <v>5508</v>
      </c>
      <c r="B176" t="s">
        <v>5338</v>
      </c>
      <c r="C176" t="s">
        <v>5331</v>
      </c>
      <c r="D176">
        <v>20.73</v>
      </c>
      <c r="E176" t="s">
        <v>5199</v>
      </c>
      <c r="F176" s="10" t="s">
        <v>6363</v>
      </c>
      <c r="G176" t="s">
        <v>74</v>
      </c>
    </row>
    <row r="177" spans="1:7" x14ac:dyDescent="0.35">
      <c r="A177" t="s">
        <v>5509</v>
      </c>
      <c r="B177" t="s">
        <v>5440</v>
      </c>
      <c r="C177" t="s">
        <v>5510</v>
      </c>
      <c r="D177">
        <v>30.52</v>
      </c>
      <c r="E177" t="s">
        <v>5198</v>
      </c>
      <c r="F177" s="10" t="s">
        <v>6363</v>
      </c>
      <c r="G177" t="s">
        <v>6365</v>
      </c>
    </row>
    <row r="178" spans="1:7" x14ac:dyDescent="0.35">
      <c r="A178" t="s">
        <v>5511</v>
      </c>
      <c r="B178" t="s">
        <v>5477</v>
      </c>
      <c r="C178" t="s">
        <v>5202</v>
      </c>
      <c r="D178">
        <v>12.67</v>
      </c>
      <c r="E178" t="s">
        <v>5198</v>
      </c>
      <c r="F178" s="10" t="s">
        <v>6363</v>
      </c>
      <c r="G178" t="s">
        <v>6365</v>
      </c>
    </row>
    <row r="179" spans="1:7" x14ac:dyDescent="0.35">
      <c r="A179" t="s">
        <v>5512</v>
      </c>
      <c r="B179" t="s">
        <v>5232</v>
      </c>
      <c r="C179" t="s">
        <v>5365</v>
      </c>
      <c r="D179">
        <v>19.309999999999999</v>
      </c>
      <c r="E179" t="s">
        <v>5235</v>
      </c>
      <c r="F179" s="10" t="s">
        <v>6363</v>
      </c>
      <c r="G179" t="s">
        <v>71</v>
      </c>
    </row>
    <row r="180" spans="1:7" x14ac:dyDescent="0.35">
      <c r="A180" t="s">
        <v>5513</v>
      </c>
      <c r="B180" t="s">
        <v>5307</v>
      </c>
      <c r="C180" t="s">
        <v>5202</v>
      </c>
      <c r="D180">
        <v>32.78</v>
      </c>
      <c r="E180" t="s">
        <v>5198</v>
      </c>
      <c r="F180" s="10" t="s">
        <v>6362</v>
      </c>
      <c r="G180" t="s">
        <v>74</v>
      </c>
    </row>
    <row r="181" spans="1:7" x14ac:dyDescent="0.35">
      <c r="A181" t="s">
        <v>5514</v>
      </c>
      <c r="B181" t="s">
        <v>5515</v>
      </c>
      <c r="C181" t="s">
        <v>5516</v>
      </c>
      <c r="D181">
        <v>26.02</v>
      </c>
      <c r="E181" t="s">
        <v>5198</v>
      </c>
      <c r="F181" s="10" t="s">
        <v>6363</v>
      </c>
      <c r="G181" t="s">
        <v>71</v>
      </c>
    </row>
    <row r="182" spans="1:7" x14ac:dyDescent="0.35">
      <c r="A182" t="s">
        <v>5517</v>
      </c>
      <c r="B182" t="s">
        <v>5298</v>
      </c>
      <c r="C182" t="s">
        <v>4790</v>
      </c>
      <c r="D182">
        <v>26.95</v>
      </c>
      <c r="E182" t="s">
        <v>5196</v>
      </c>
      <c r="F182" s="10" t="s">
        <v>6362</v>
      </c>
      <c r="G182" t="s">
        <v>74</v>
      </c>
    </row>
    <row r="183" spans="1:7" x14ac:dyDescent="0.35">
      <c r="A183" t="s">
        <v>5518</v>
      </c>
      <c r="B183" t="s">
        <v>5519</v>
      </c>
      <c r="C183" t="s">
        <v>5188</v>
      </c>
      <c r="D183">
        <v>35.6</v>
      </c>
      <c r="E183" t="s">
        <v>5198</v>
      </c>
      <c r="F183" s="10" t="s">
        <v>6363</v>
      </c>
      <c r="G183" t="s">
        <v>6365</v>
      </c>
    </row>
    <row r="184" spans="1:7" x14ac:dyDescent="0.35">
      <c r="A184" t="s">
        <v>5520</v>
      </c>
      <c r="B184" t="s">
        <v>5323</v>
      </c>
      <c r="C184" t="s">
        <v>5273</v>
      </c>
      <c r="D184">
        <v>21.51</v>
      </c>
      <c r="E184" t="s">
        <v>5235</v>
      </c>
      <c r="F184" s="10" t="s">
        <v>6363</v>
      </c>
      <c r="G184" t="s">
        <v>6365</v>
      </c>
    </row>
    <row r="185" spans="1:7" x14ac:dyDescent="0.35">
      <c r="A185" t="s">
        <v>5521</v>
      </c>
      <c r="B185" t="s">
        <v>5405</v>
      </c>
      <c r="C185" t="s">
        <v>4790</v>
      </c>
      <c r="D185">
        <v>25.95</v>
      </c>
      <c r="E185" t="s">
        <v>5199</v>
      </c>
      <c r="F185" s="10" t="s">
        <v>6362</v>
      </c>
      <c r="G185" t="s">
        <v>6365</v>
      </c>
    </row>
    <row r="186" spans="1:7" x14ac:dyDescent="0.35">
      <c r="A186" t="s">
        <v>5522</v>
      </c>
      <c r="B186" t="s">
        <v>5523</v>
      </c>
      <c r="C186" t="s">
        <v>5466</v>
      </c>
      <c r="D186">
        <v>25.65</v>
      </c>
      <c r="E186" t="s">
        <v>5196</v>
      </c>
      <c r="F186" s="10" t="s">
        <v>6362</v>
      </c>
      <c r="G186" t="s">
        <v>71</v>
      </c>
    </row>
    <row r="187" spans="1:7" x14ac:dyDescent="0.35">
      <c r="A187" t="s">
        <v>5524</v>
      </c>
      <c r="B187" t="s">
        <v>5323</v>
      </c>
      <c r="C187" t="s">
        <v>5409</v>
      </c>
      <c r="D187">
        <v>10.74</v>
      </c>
      <c r="E187" t="s">
        <v>5197</v>
      </c>
      <c r="F187" s="10" t="s">
        <v>6362</v>
      </c>
      <c r="G187" t="s">
        <v>71</v>
      </c>
    </row>
    <row r="188" spans="1:7" x14ac:dyDescent="0.35">
      <c r="A188" t="s">
        <v>5525</v>
      </c>
      <c r="B188" t="s">
        <v>5285</v>
      </c>
      <c r="C188" t="s">
        <v>5516</v>
      </c>
      <c r="D188">
        <v>24</v>
      </c>
      <c r="E188" t="s">
        <v>5199</v>
      </c>
      <c r="F188" s="10" t="s">
        <v>6363</v>
      </c>
      <c r="G188" t="s">
        <v>74</v>
      </c>
    </row>
    <row r="189" spans="1:7" x14ac:dyDescent="0.35">
      <c r="A189" t="s">
        <v>5526</v>
      </c>
      <c r="B189" t="s">
        <v>5264</v>
      </c>
      <c r="C189" t="s">
        <v>5527</v>
      </c>
      <c r="D189">
        <v>36.42</v>
      </c>
      <c r="E189" t="s">
        <v>5196</v>
      </c>
      <c r="F189" s="10" t="s">
        <v>6363</v>
      </c>
      <c r="G189" t="s">
        <v>6365</v>
      </c>
    </row>
    <row r="190" spans="1:7" x14ac:dyDescent="0.35">
      <c r="A190" t="s">
        <v>5528</v>
      </c>
      <c r="B190" t="s">
        <v>5345</v>
      </c>
      <c r="C190" t="s">
        <v>5173</v>
      </c>
      <c r="D190">
        <v>12.98</v>
      </c>
      <c r="E190" t="s">
        <v>5235</v>
      </c>
      <c r="F190" s="10" t="s">
        <v>6362</v>
      </c>
      <c r="G190" t="s">
        <v>71</v>
      </c>
    </row>
    <row r="191" spans="1:7" x14ac:dyDescent="0.35">
      <c r="A191" t="s">
        <v>5529</v>
      </c>
      <c r="B191" t="s">
        <v>5459</v>
      </c>
      <c r="C191" t="s">
        <v>5208</v>
      </c>
      <c r="D191">
        <v>12.49</v>
      </c>
      <c r="E191" t="s">
        <v>5197</v>
      </c>
      <c r="F191" s="10" t="s">
        <v>6363</v>
      </c>
      <c r="G191" t="s">
        <v>74</v>
      </c>
    </row>
    <row r="192" spans="1:7" x14ac:dyDescent="0.35">
      <c r="A192" t="s">
        <v>5530</v>
      </c>
      <c r="B192" t="s">
        <v>5405</v>
      </c>
      <c r="C192" t="s">
        <v>4915</v>
      </c>
      <c r="D192">
        <v>20.63</v>
      </c>
      <c r="E192" t="s">
        <v>5198</v>
      </c>
      <c r="F192" s="10" t="s">
        <v>6363</v>
      </c>
      <c r="G192" t="s">
        <v>74</v>
      </c>
    </row>
    <row r="193" spans="1:7" x14ac:dyDescent="0.35">
      <c r="A193" t="s">
        <v>5531</v>
      </c>
      <c r="B193" t="s">
        <v>5318</v>
      </c>
      <c r="C193" t="s">
        <v>4700</v>
      </c>
      <c r="D193">
        <v>28.25</v>
      </c>
      <c r="E193" t="s">
        <v>5199</v>
      </c>
      <c r="F193" s="10" t="s">
        <v>6363</v>
      </c>
      <c r="G193" t="s">
        <v>6365</v>
      </c>
    </row>
    <row r="194" spans="1:7" x14ac:dyDescent="0.35">
      <c r="A194" t="s">
        <v>5532</v>
      </c>
      <c r="B194" t="s">
        <v>5307</v>
      </c>
      <c r="C194" t="s">
        <v>4790</v>
      </c>
      <c r="D194">
        <v>32.229999999999997</v>
      </c>
      <c r="E194" t="s">
        <v>5197</v>
      </c>
      <c r="F194" s="10" t="s">
        <v>6362</v>
      </c>
      <c r="G194" t="s">
        <v>74</v>
      </c>
    </row>
    <row r="195" spans="1:7" x14ac:dyDescent="0.35">
      <c r="A195" t="s">
        <v>5533</v>
      </c>
      <c r="B195" t="s">
        <v>5519</v>
      </c>
      <c r="C195" t="s">
        <v>4671</v>
      </c>
      <c r="D195">
        <v>24.75</v>
      </c>
      <c r="E195" t="s">
        <v>5199</v>
      </c>
      <c r="F195" s="10" t="s">
        <v>6362</v>
      </c>
      <c r="G195" t="s">
        <v>6365</v>
      </c>
    </row>
    <row r="196" spans="1:7" x14ac:dyDescent="0.35">
      <c r="A196" t="s">
        <v>5534</v>
      </c>
      <c r="B196" t="s">
        <v>5427</v>
      </c>
      <c r="C196" t="s">
        <v>5448</v>
      </c>
      <c r="D196">
        <v>11.16</v>
      </c>
      <c r="E196" t="s">
        <v>5199</v>
      </c>
      <c r="F196" s="10" t="s">
        <v>6362</v>
      </c>
      <c r="G196" t="s">
        <v>74</v>
      </c>
    </row>
    <row r="197" spans="1:7" x14ac:dyDescent="0.35">
      <c r="A197" t="s">
        <v>5535</v>
      </c>
      <c r="B197" t="s">
        <v>5333</v>
      </c>
      <c r="C197" t="s">
        <v>5353</v>
      </c>
      <c r="D197">
        <v>31.91</v>
      </c>
      <c r="E197" t="s">
        <v>5199</v>
      </c>
      <c r="F197" s="10" t="s">
        <v>6363</v>
      </c>
      <c r="G197" t="s">
        <v>71</v>
      </c>
    </row>
    <row r="198" spans="1:7" x14ac:dyDescent="0.35">
      <c r="A198" t="s">
        <v>5536</v>
      </c>
      <c r="B198" t="s">
        <v>5537</v>
      </c>
      <c r="C198" t="s">
        <v>4915</v>
      </c>
      <c r="D198">
        <v>10.9</v>
      </c>
      <c r="E198" t="s">
        <v>5199</v>
      </c>
      <c r="F198" s="10" t="s">
        <v>6362</v>
      </c>
      <c r="G198" t="s">
        <v>74</v>
      </c>
    </row>
    <row r="199" spans="1:7" x14ac:dyDescent="0.35">
      <c r="A199" t="s">
        <v>5538</v>
      </c>
      <c r="B199" t="s">
        <v>5227</v>
      </c>
      <c r="C199" t="s">
        <v>5516</v>
      </c>
      <c r="D199">
        <v>18.18</v>
      </c>
      <c r="E199" t="s">
        <v>5198</v>
      </c>
      <c r="F199" s="10" t="s">
        <v>6362</v>
      </c>
      <c r="G199" t="s">
        <v>6365</v>
      </c>
    </row>
    <row r="200" spans="1:7" x14ac:dyDescent="0.35">
      <c r="A200" t="s">
        <v>5539</v>
      </c>
      <c r="B200" t="s">
        <v>5398</v>
      </c>
      <c r="C200" t="s">
        <v>5273</v>
      </c>
      <c r="D200">
        <v>26.14</v>
      </c>
      <c r="E200" t="s">
        <v>5235</v>
      </c>
      <c r="F200" s="10" t="s">
        <v>6363</v>
      </c>
      <c r="G200" t="s">
        <v>74</v>
      </c>
    </row>
    <row r="201" spans="1:7" x14ac:dyDescent="0.35">
      <c r="A201" t="s">
        <v>5540</v>
      </c>
      <c r="B201" t="s">
        <v>5237</v>
      </c>
      <c r="C201" t="s">
        <v>5399</v>
      </c>
      <c r="D201">
        <v>16.89</v>
      </c>
      <c r="E201" t="s">
        <v>5199</v>
      </c>
      <c r="F201" s="10" t="s">
        <v>6363</v>
      </c>
      <c r="G201" t="s">
        <v>6365</v>
      </c>
    </row>
    <row r="202" spans="1:7" x14ac:dyDescent="0.35">
      <c r="A202" t="s">
        <v>5541</v>
      </c>
      <c r="B202" t="s">
        <v>5537</v>
      </c>
      <c r="C202" t="s">
        <v>5406</v>
      </c>
      <c r="D202">
        <v>19.36</v>
      </c>
      <c r="E202" t="s">
        <v>5198</v>
      </c>
      <c r="F202" s="10" t="s">
        <v>6363</v>
      </c>
      <c r="G202" t="s">
        <v>71</v>
      </c>
    </row>
    <row r="203" spans="1:7" x14ac:dyDescent="0.35">
      <c r="A203" t="s">
        <v>5542</v>
      </c>
      <c r="B203" t="s">
        <v>5221</v>
      </c>
      <c r="C203" t="s">
        <v>4896</v>
      </c>
      <c r="D203">
        <v>14.28</v>
      </c>
      <c r="E203" t="s">
        <v>5196</v>
      </c>
      <c r="F203" s="10" t="s">
        <v>6362</v>
      </c>
      <c r="G203" t="s">
        <v>6365</v>
      </c>
    </row>
    <row r="204" spans="1:7" x14ac:dyDescent="0.35">
      <c r="A204" t="s">
        <v>5543</v>
      </c>
      <c r="B204" t="s">
        <v>5385</v>
      </c>
      <c r="C204" t="s">
        <v>4700</v>
      </c>
      <c r="D204">
        <v>36.11</v>
      </c>
      <c r="E204" t="s">
        <v>5199</v>
      </c>
      <c r="F204" s="10" t="s">
        <v>6362</v>
      </c>
      <c r="G204" t="s">
        <v>6365</v>
      </c>
    </row>
    <row r="205" spans="1:7" x14ac:dyDescent="0.35">
      <c r="A205" t="s">
        <v>5544</v>
      </c>
      <c r="B205" t="s">
        <v>5201</v>
      </c>
      <c r="C205" t="s">
        <v>5228</v>
      </c>
      <c r="D205">
        <v>31.93</v>
      </c>
      <c r="E205" t="s">
        <v>5196</v>
      </c>
      <c r="F205" s="10" t="s">
        <v>6362</v>
      </c>
      <c r="G205" t="s">
        <v>6366</v>
      </c>
    </row>
    <row r="206" spans="1:7" x14ac:dyDescent="0.35">
      <c r="A206" t="s">
        <v>5545</v>
      </c>
      <c r="B206" t="s">
        <v>5345</v>
      </c>
      <c r="C206" t="s">
        <v>5460</v>
      </c>
      <c r="D206">
        <v>21.14</v>
      </c>
      <c r="E206" t="s">
        <v>5198</v>
      </c>
      <c r="F206" s="10" t="s">
        <v>6362</v>
      </c>
      <c r="G206" t="s">
        <v>71</v>
      </c>
    </row>
    <row r="207" spans="1:7" x14ac:dyDescent="0.35">
      <c r="A207" t="s">
        <v>5546</v>
      </c>
      <c r="B207" t="s">
        <v>5383</v>
      </c>
      <c r="C207" t="s">
        <v>5414</v>
      </c>
      <c r="D207">
        <v>13.46</v>
      </c>
      <c r="E207" t="s">
        <v>5196</v>
      </c>
      <c r="F207" s="10" t="s">
        <v>6362</v>
      </c>
      <c r="G207" t="s">
        <v>74</v>
      </c>
    </row>
    <row r="208" spans="1:7" x14ac:dyDescent="0.35">
      <c r="A208" t="s">
        <v>5547</v>
      </c>
      <c r="B208" t="s">
        <v>5232</v>
      </c>
      <c r="C208" t="s">
        <v>5108</v>
      </c>
      <c r="D208">
        <v>22.95</v>
      </c>
      <c r="E208" t="s">
        <v>5197</v>
      </c>
      <c r="F208" s="10" t="s">
        <v>6363</v>
      </c>
      <c r="G208" t="s">
        <v>74</v>
      </c>
    </row>
    <row r="209" spans="1:7" x14ac:dyDescent="0.35">
      <c r="A209" t="s">
        <v>5548</v>
      </c>
      <c r="B209" t="s">
        <v>5321</v>
      </c>
      <c r="C209" t="s">
        <v>5115</v>
      </c>
      <c r="D209">
        <v>19.54</v>
      </c>
      <c r="E209" t="s">
        <v>5199</v>
      </c>
      <c r="F209" s="10" t="s">
        <v>6362</v>
      </c>
      <c r="G209" t="s">
        <v>74</v>
      </c>
    </row>
    <row r="210" spans="1:7" x14ac:dyDescent="0.35">
      <c r="A210" t="s">
        <v>5549</v>
      </c>
      <c r="B210" t="s">
        <v>5242</v>
      </c>
      <c r="C210" t="s">
        <v>5278</v>
      </c>
      <c r="D210">
        <v>35.65</v>
      </c>
      <c r="E210" t="s">
        <v>5198</v>
      </c>
      <c r="F210" s="10" t="s">
        <v>6363</v>
      </c>
      <c r="G210" t="s">
        <v>71</v>
      </c>
    </row>
    <row r="211" spans="1:7" x14ac:dyDescent="0.35">
      <c r="A211" t="s">
        <v>5550</v>
      </c>
      <c r="B211" t="s">
        <v>5288</v>
      </c>
      <c r="C211" t="s">
        <v>5365</v>
      </c>
      <c r="D211">
        <v>22.95</v>
      </c>
      <c r="E211" t="s">
        <v>5235</v>
      </c>
      <c r="F211" s="10" t="s">
        <v>6363</v>
      </c>
      <c r="G211" t="s">
        <v>6365</v>
      </c>
    </row>
    <row r="212" spans="1:7" x14ac:dyDescent="0.35">
      <c r="A212" t="s">
        <v>5551</v>
      </c>
      <c r="B212" t="s">
        <v>5552</v>
      </c>
      <c r="C212" t="s">
        <v>5359</v>
      </c>
      <c r="D212">
        <v>28.37</v>
      </c>
      <c r="E212" t="s">
        <v>5199</v>
      </c>
      <c r="F212" s="10" t="s">
        <v>6362</v>
      </c>
      <c r="G212" t="s">
        <v>71</v>
      </c>
    </row>
    <row r="213" spans="1:7" x14ac:dyDescent="0.35">
      <c r="A213" t="s">
        <v>5553</v>
      </c>
      <c r="B213" t="s">
        <v>5234</v>
      </c>
      <c r="C213" t="s">
        <v>4764</v>
      </c>
      <c r="D213">
        <v>35.450000000000003</v>
      </c>
      <c r="E213" t="s">
        <v>5198</v>
      </c>
      <c r="F213" s="10" t="s">
        <v>6363</v>
      </c>
      <c r="G213" t="s">
        <v>6365</v>
      </c>
    </row>
    <row r="214" spans="1:7" x14ac:dyDescent="0.35">
      <c r="A214" t="s">
        <v>5554</v>
      </c>
      <c r="B214" t="s">
        <v>5396</v>
      </c>
      <c r="C214" t="s">
        <v>5555</v>
      </c>
      <c r="D214">
        <v>26.45</v>
      </c>
      <c r="E214" t="s">
        <v>5197</v>
      </c>
      <c r="F214" s="10" t="s">
        <v>6362</v>
      </c>
      <c r="G214" t="s">
        <v>6365</v>
      </c>
    </row>
    <row r="215" spans="1:7" x14ac:dyDescent="0.35">
      <c r="A215" t="s">
        <v>5556</v>
      </c>
      <c r="B215" t="s">
        <v>5326</v>
      </c>
      <c r="C215" t="s">
        <v>4897</v>
      </c>
      <c r="D215">
        <v>12.44</v>
      </c>
      <c r="E215" t="s">
        <v>5198</v>
      </c>
      <c r="F215" s="10" t="s">
        <v>6362</v>
      </c>
      <c r="G215" t="s">
        <v>71</v>
      </c>
    </row>
    <row r="216" spans="1:7" x14ac:dyDescent="0.35">
      <c r="A216" t="s">
        <v>5557</v>
      </c>
      <c r="B216" t="s">
        <v>5401</v>
      </c>
      <c r="C216" t="s">
        <v>5451</v>
      </c>
      <c r="D216">
        <v>39.770000000000003</v>
      </c>
      <c r="E216" t="s">
        <v>5199</v>
      </c>
      <c r="F216" s="10" t="s">
        <v>6362</v>
      </c>
      <c r="G216" t="s">
        <v>71</v>
      </c>
    </row>
    <row r="217" spans="1:7" x14ac:dyDescent="0.35">
      <c r="A217" t="s">
        <v>5558</v>
      </c>
      <c r="B217" t="s">
        <v>5291</v>
      </c>
      <c r="C217" t="s">
        <v>5472</v>
      </c>
      <c r="D217">
        <v>23.42</v>
      </c>
      <c r="E217" t="s">
        <v>5197</v>
      </c>
      <c r="F217" s="10" t="s">
        <v>6363</v>
      </c>
      <c r="G217" t="s">
        <v>74</v>
      </c>
    </row>
    <row r="218" spans="1:7" x14ac:dyDescent="0.35">
      <c r="A218" t="s">
        <v>5559</v>
      </c>
      <c r="B218" t="s">
        <v>5401</v>
      </c>
      <c r="C218" t="s">
        <v>5115</v>
      </c>
      <c r="D218">
        <v>27.19</v>
      </c>
      <c r="E218" t="s">
        <v>5197</v>
      </c>
      <c r="F218" s="10" t="s">
        <v>6363</v>
      </c>
      <c r="G218" t="s">
        <v>6365</v>
      </c>
    </row>
    <row r="219" spans="1:7" x14ac:dyDescent="0.35">
      <c r="A219" t="s">
        <v>5560</v>
      </c>
      <c r="B219" t="s">
        <v>5300</v>
      </c>
      <c r="C219" t="s">
        <v>5466</v>
      </c>
      <c r="D219">
        <v>34.15</v>
      </c>
      <c r="E219" t="s">
        <v>5197</v>
      </c>
      <c r="F219" s="10" t="s">
        <v>6363</v>
      </c>
      <c r="G219" t="s">
        <v>74</v>
      </c>
    </row>
    <row r="220" spans="1:7" x14ac:dyDescent="0.35">
      <c r="A220" t="s">
        <v>5561</v>
      </c>
      <c r="B220" t="s">
        <v>5401</v>
      </c>
      <c r="C220" t="s">
        <v>5278</v>
      </c>
      <c r="D220">
        <v>25.59</v>
      </c>
      <c r="E220" t="s">
        <v>5197</v>
      </c>
      <c r="F220" s="10" t="s">
        <v>6363</v>
      </c>
      <c r="G220" t="s">
        <v>71</v>
      </c>
    </row>
    <row r="221" spans="1:7" x14ac:dyDescent="0.35">
      <c r="A221" t="s">
        <v>5562</v>
      </c>
      <c r="B221" t="s">
        <v>5264</v>
      </c>
      <c r="C221" t="s">
        <v>5418</v>
      </c>
      <c r="D221">
        <v>13.61</v>
      </c>
      <c r="E221" t="s">
        <v>5235</v>
      </c>
      <c r="F221" s="10" t="s">
        <v>6362</v>
      </c>
      <c r="G221" t="s">
        <v>6365</v>
      </c>
    </row>
    <row r="222" spans="1:7" x14ac:dyDescent="0.35">
      <c r="A222" t="s">
        <v>5563</v>
      </c>
      <c r="B222" t="s">
        <v>5302</v>
      </c>
      <c r="C222" t="s">
        <v>5406</v>
      </c>
      <c r="D222">
        <v>28.8</v>
      </c>
      <c r="E222" t="s">
        <v>5197</v>
      </c>
      <c r="F222" s="10" t="s">
        <v>6362</v>
      </c>
      <c r="G222" t="s">
        <v>6365</v>
      </c>
    </row>
    <row r="223" spans="1:7" x14ac:dyDescent="0.35">
      <c r="A223" t="s">
        <v>5564</v>
      </c>
      <c r="B223" t="s">
        <v>5239</v>
      </c>
      <c r="C223" t="s">
        <v>5388</v>
      </c>
      <c r="D223">
        <v>28.79</v>
      </c>
      <c r="E223" t="s">
        <v>5197</v>
      </c>
      <c r="F223" s="10" t="s">
        <v>6362</v>
      </c>
      <c r="G223" t="s">
        <v>6365</v>
      </c>
    </row>
    <row r="224" spans="1:7" x14ac:dyDescent="0.35">
      <c r="A224" t="s">
        <v>5565</v>
      </c>
      <c r="B224" t="s">
        <v>5276</v>
      </c>
      <c r="C224" t="s">
        <v>4915</v>
      </c>
      <c r="D224">
        <v>30.98</v>
      </c>
      <c r="E224" t="s">
        <v>5198</v>
      </c>
      <c r="F224" s="10" t="s">
        <v>6363</v>
      </c>
      <c r="G224" t="s">
        <v>6365</v>
      </c>
    </row>
    <row r="225" spans="1:7" x14ac:dyDescent="0.35">
      <c r="A225" t="s">
        <v>5566</v>
      </c>
      <c r="B225" t="s">
        <v>5318</v>
      </c>
      <c r="C225" t="s">
        <v>5245</v>
      </c>
      <c r="D225">
        <v>29.4</v>
      </c>
      <c r="E225" t="s">
        <v>5198</v>
      </c>
      <c r="F225" s="10" t="s">
        <v>6362</v>
      </c>
      <c r="G225" t="s">
        <v>71</v>
      </c>
    </row>
    <row r="226" spans="1:7" x14ac:dyDescent="0.35">
      <c r="A226" t="s">
        <v>5567</v>
      </c>
      <c r="B226" t="s">
        <v>5483</v>
      </c>
      <c r="C226" t="s">
        <v>5108</v>
      </c>
      <c r="D226">
        <v>29.7</v>
      </c>
      <c r="E226" t="s">
        <v>5196</v>
      </c>
      <c r="F226" s="10" t="s">
        <v>6363</v>
      </c>
      <c r="G226" t="s">
        <v>6366</v>
      </c>
    </row>
    <row r="227" spans="1:7" x14ac:dyDescent="0.35">
      <c r="A227" t="s">
        <v>5568</v>
      </c>
      <c r="B227" t="s">
        <v>5427</v>
      </c>
      <c r="C227" t="s">
        <v>4705</v>
      </c>
      <c r="D227">
        <v>29.97</v>
      </c>
      <c r="E227" t="s">
        <v>5235</v>
      </c>
      <c r="F227" s="10" t="s">
        <v>6362</v>
      </c>
      <c r="G227" t="s">
        <v>6365</v>
      </c>
    </row>
    <row r="228" spans="1:7" x14ac:dyDescent="0.35">
      <c r="A228" t="s">
        <v>5569</v>
      </c>
      <c r="B228" t="s">
        <v>5214</v>
      </c>
      <c r="C228" t="s">
        <v>5245</v>
      </c>
      <c r="D228">
        <v>38.83</v>
      </c>
      <c r="E228" t="s">
        <v>5199</v>
      </c>
      <c r="F228" s="10" t="s">
        <v>6362</v>
      </c>
      <c r="G228" t="s">
        <v>74</v>
      </c>
    </row>
    <row r="229" spans="1:7" x14ac:dyDescent="0.35">
      <c r="A229" t="s">
        <v>5570</v>
      </c>
      <c r="B229" t="s">
        <v>5244</v>
      </c>
      <c r="C229" t="s">
        <v>5331</v>
      </c>
      <c r="D229">
        <v>18.11</v>
      </c>
      <c r="E229" t="s">
        <v>5197</v>
      </c>
      <c r="F229" s="10" t="s">
        <v>6362</v>
      </c>
      <c r="G229" t="s">
        <v>74</v>
      </c>
    </row>
    <row r="230" spans="1:7" x14ac:dyDescent="0.35">
      <c r="A230" t="s">
        <v>5571</v>
      </c>
      <c r="B230" t="s">
        <v>5239</v>
      </c>
      <c r="C230" t="s">
        <v>5414</v>
      </c>
      <c r="D230">
        <v>20.48</v>
      </c>
      <c r="E230" t="s">
        <v>5197</v>
      </c>
      <c r="F230" s="10" t="s">
        <v>6363</v>
      </c>
      <c r="G230" t="s">
        <v>74</v>
      </c>
    </row>
    <row r="231" spans="1:7" x14ac:dyDescent="0.35">
      <c r="A231" t="s">
        <v>5572</v>
      </c>
      <c r="B231" t="s">
        <v>5480</v>
      </c>
      <c r="C231" t="s">
        <v>5316</v>
      </c>
      <c r="D231">
        <v>27.27</v>
      </c>
      <c r="E231" t="s">
        <v>5196</v>
      </c>
      <c r="F231" s="10" t="s">
        <v>6363</v>
      </c>
      <c r="G231" t="s">
        <v>74</v>
      </c>
    </row>
    <row r="232" spans="1:7" x14ac:dyDescent="0.35">
      <c r="A232" t="s">
        <v>5573</v>
      </c>
      <c r="B232" t="s">
        <v>5515</v>
      </c>
      <c r="C232" t="s">
        <v>4696</v>
      </c>
      <c r="D232">
        <v>16.489999999999998</v>
      </c>
      <c r="E232" t="s">
        <v>5235</v>
      </c>
      <c r="F232" s="10" t="s">
        <v>6362</v>
      </c>
      <c r="G232" t="s">
        <v>6365</v>
      </c>
    </row>
    <row r="233" spans="1:7" x14ac:dyDescent="0.35">
      <c r="A233" t="s">
        <v>5574</v>
      </c>
      <c r="B233" t="s">
        <v>5338</v>
      </c>
      <c r="C233" t="s">
        <v>4920</v>
      </c>
      <c r="D233">
        <v>17.27</v>
      </c>
      <c r="E233" t="s">
        <v>5199</v>
      </c>
      <c r="F233" s="10" t="s">
        <v>6363</v>
      </c>
      <c r="G233" t="s">
        <v>6366</v>
      </c>
    </row>
    <row r="234" spans="1:7" x14ac:dyDescent="0.35">
      <c r="A234" t="s">
        <v>5575</v>
      </c>
      <c r="B234" t="s">
        <v>5383</v>
      </c>
      <c r="C234" t="s">
        <v>5251</v>
      </c>
      <c r="D234">
        <v>13.48</v>
      </c>
      <c r="E234" t="s">
        <v>5198</v>
      </c>
      <c r="F234" s="10" t="s">
        <v>6362</v>
      </c>
      <c r="G234" t="s">
        <v>74</v>
      </c>
    </row>
    <row r="235" spans="1:7" x14ac:dyDescent="0.35">
      <c r="A235" t="s">
        <v>5576</v>
      </c>
      <c r="B235" t="s">
        <v>5295</v>
      </c>
      <c r="C235" t="s">
        <v>5319</v>
      </c>
      <c r="D235">
        <v>25.95</v>
      </c>
      <c r="E235" t="s">
        <v>5196</v>
      </c>
      <c r="F235" s="10" t="s">
        <v>6362</v>
      </c>
      <c r="G235" t="s">
        <v>6365</v>
      </c>
    </row>
    <row r="236" spans="1:7" x14ac:dyDescent="0.35">
      <c r="A236" t="s">
        <v>5577</v>
      </c>
      <c r="B236" t="s">
        <v>5207</v>
      </c>
      <c r="C236" t="s">
        <v>4856</v>
      </c>
      <c r="D236">
        <v>21.31</v>
      </c>
      <c r="E236" t="s">
        <v>5198</v>
      </c>
      <c r="F236" s="10" t="s">
        <v>6362</v>
      </c>
      <c r="G236" t="s">
        <v>6365</v>
      </c>
    </row>
    <row r="237" spans="1:7" x14ac:dyDescent="0.35">
      <c r="A237" t="s">
        <v>5578</v>
      </c>
      <c r="B237" t="s">
        <v>5398</v>
      </c>
      <c r="C237" t="s">
        <v>5334</v>
      </c>
      <c r="D237">
        <v>22.52</v>
      </c>
      <c r="E237" t="s">
        <v>5197</v>
      </c>
      <c r="F237" s="10" t="s">
        <v>6363</v>
      </c>
      <c r="G237" t="s">
        <v>6365</v>
      </c>
    </row>
    <row r="238" spans="1:7" x14ac:dyDescent="0.35">
      <c r="A238" t="s">
        <v>5579</v>
      </c>
      <c r="B238" t="s">
        <v>5580</v>
      </c>
      <c r="C238" t="s">
        <v>5286</v>
      </c>
      <c r="D238">
        <v>15.72</v>
      </c>
      <c r="E238" t="s">
        <v>5196</v>
      </c>
      <c r="F238" s="10" t="s">
        <v>6363</v>
      </c>
      <c r="G238" t="s">
        <v>6365</v>
      </c>
    </row>
    <row r="239" spans="1:7" x14ac:dyDescent="0.35">
      <c r="A239" t="s">
        <v>5581</v>
      </c>
      <c r="B239" t="s">
        <v>5302</v>
      </c>
      <c r="C239" t="s">
        <v>4920</v>
      </c>
      <c r="D239">
        <v>28.06</v>
      </c>
      <c r="E239" t="s">
        <v>5199</v>
      </c>
      <c r="F239" s="10" t="s">
        <v>6363</v>
      </c>
      <c r="G239" t="s">
        <v>71</v>
      </c>
    </row>
    <row r="240" spans="1:7" x14ac:dyDescent="0.35">
      <c r="A240" t="s">
        <v>5582</v>
      </c>
      <c r="B240" t="s">
        <v>5583</v>
      </c>
      <c r="C240" t="s">
        <v>5584</v>
      </c>
      <c r="D240">
        <v>25.2</v>
      </c>
      <c r="E240" t="s">
        <v>5196</v>
      </c>
      <c r="F240" s="10" t="s">
        <v>6363</v>
      </c>
      <c r="G240" t="s">
        <v>74</v>
      </c>
    </row>
    <row r="241" spans="1:7" x14ac:dyDescent="0.35">
      <c r="A241" t="s">
        <v>5585</v>
      </c>
      <c r="B241" t="s">
        <v>5423</v>
      </c>
      <c r="C241" t="s">
        <v>5586</v>
      </c>
      <c r="D241">
        <v>18.13</v>
      </c>
      <c r="E241" t="s">
        <v>5196</v>
      </c>
      <c r="F241" s="10" t="s">
        <v>6362</v>
      </c>
      <c r="G241" t="s">
        <v>6365</v>
      </c>
    </row>
    <row r="242" spans="1:7" x14ac:dyDescent="0.35">
      <c r="A242" t="s">
        <v>5587</v>
      </c>
      <c r="B242" t="s">
        <v>5250</v>
      </c>
      <c r="C242" t="s">
        <v>4671</v>
      </c>
      <c r="D242">
        <v>32.03</v>
      </c>
      <c r="E242" t="s">
        <v>5235</v>
      </c>
      <c r="F242" s="10" t="s">
        <v>6363</v>
      </c>
      <c r="G242" t="s">
        <v>6365</v>
      </c>
    </row>
    <row r="243" spans="1:7" x14ac:dyDescent="0.35">
      <c r="A243" t="s">
        <v>5588</v>
      </c>
      <c r="B243" t="s">
        <v>5589</v>
      </c>
      <c r="C243" t="s">
        <v>4671</v>
      </c>
      <c r="D243">
        <v>30.53</v>
      </c>
      <c r="E243" t="s">
        <v>5235</v>
      </c>
      <c r="F243" s="10" t="s">
        <v>6363</v>
      </c>
      <c r="G243" t="s">
        <v>6365</v>
      </c>
    </row>
    <row r="244" spans="1:7" x14ac:dyDescent="0.35">
      <c r="A244" t="s">
        <v>5590</v>
      </c>
      <c r="B244" t="s">
        <v>5390</v>
      </c>
      <c r="C244" t="s">
        <v>5451</v>
      </c>
      <c r="D244">
        <v>29.89</v>
      </c>
      <c r="E244" t="s">
        <v>5198</v>
      </c>
      <c r="F244" s="10" t="s">
        <v>6362</v>
      </c>
      <c r="G244" t="s">
        <v>6365</v>
      </c>
    </row>
    <row r="245" spans="1:7" x14ac:dyDescent="0.35">
      <c r="A245" t="s">
        <v>5591</v>
      </c>
      <c r="B245" t="s">
        <v>5592</v>
      </c>
      <c r="C245" t="s">
        <v>4697</v>
      </c>
      <c r="D245">
        <v>27.58</v>
      </c>
      <c r="E245" t="s">
        <v>5196</v>
      </c>
      <c r="F245" s="10" t="s">
        <v>6362</v>
      </c>
      <c r="G245" t="s">
        <v>6365</v>
      </c>
    </row>
    <row r="246" spans="1:7" x14ac:dyDescent="0.35">
      <c r="A246" t="s">
        <v>5593</v>
      </c>
      <c r="B246" t="s">
        <v>5519</v>
      </c>
      <c r="C246" t="s">
        <v>5215</v>
      </c>
      <c r="D246">
        <v>25.92</v>
      </c>
      <c r="E246" t="s">
        <v>5196</v>
      </c>
      <c r="F246" s="10" t="s">
        <v>6363</v>
      </c>
      <c r="G246" t="s">
        <v>6365</v>
      </c>
    </row>
    <row r="247" spans="1:7" x14ac:dyDescent="0.35">
      <c r="A247" t="s">
        <v>5594</v>
      </c>
      <c r="B247" t="s">
        <v>5523</v>
      </c>
      <c r="C247" t="s">
        <v>5054</v>
      </c>
      <c r="D247">
        <v>27.42</v>
      </c>
      <c r="E247" t="s">
        <v>5196</v>
      </c>
      <c r="F247" s="10" t="s">
        <v>6363</v>
      </c>
      <c r="G247" t="s">
        <v>74</v>
      </c>
    </row>
    <row r="248" spans="1:7" x14ac:dyDescent="0.35">
      <c r="A248" t="s">
        <v>5595</v>
      </c>
      <c r="B248" t="s">
        <v>5239</v>
      </c>
      <c r="C248" t="s">
        <v>5388</v>
      </c>
      <c r="D248">
        <v>36.590000000000003</v>
      </c>
      <c r="E248" t="s">
        <v>5198</v>
      </c>
      <c r="F248" s="10" t="s">
        <v>6362</v>
      </c>
      <c r="G248" t="s">
        <v>6365</v>
      </c>
    </row>
    <row r="249" spans="1:7" x14ac:dyDescent="0.35">
      <c r="A249" t="s">
        <v>5596</v>
      </c>
      <c r="B249" t="s">
        <v>5217</v>
      </c>
      <c r="C249" t="s">
        <v>5597</v>
      </c>
      <c r="D249">
        <v>24.86</v>
      </c>
      <c r="E249" t="s">
        <v>5196</v>
      </c>
      <c r="F249" s="10" t="s">
        <v>6363</v>
      </c>
      <c r="G249" t="s">
        <v>6365</v>
      </c>
    </row>
    <row r="250" spans="1:7" x14ac:dyDescent="0.35">
      <c r="A250" t="s">
        <v>5598</v>
      </c>
      <c r="B250" t="s">
        <v>5483</v>
      </c>
      <c r="C250" t="s">
        <v>5296</v>
      </c>
      <c r="D250">
        <v>37.71</v>
      </c>
      <c r="E250" t="s">
        <v>5198</v>
      </c>
      <c r="F250" s="10" t="s">
        <v>6363</v>
      </c>
      <c r="G250" t="s">
        <v>71</v>
      </c>
    </row>
    <row r="251" spans="1:7" x14ac:dyDescent="0.35">
      <c r="A251" t="s">
        <v>5599</v>
      </c>
      <c r="B251" t="s">
        <v>5423</v>
      </c>
      <c r="C251" t="s">
        <v>5375</v>
      </c>
      <c r="D251">
        <v>18.59</v>
      </c>
      <c r="E251" t="s">
        <v>5235</v>
      </c>
      <c r="F251" s="10" t="s">
        <v>6363</v>
      </c>
      <c r="G251" t="s">
        <v>71</v>
      </c>
    </row>
    <row r="252" spans="1:7" x14ac:dyDescent="0.35">
      <c r="A252" t="s">
        <v>5600</v>
      </c>
      <c r="B252" t="s">
        <v>5281</v>
      </c>
      <c r="C252" t="s">
        <v>5205</v>
      </c>
      <c r="D252">
        <v>21.49</v>
      </c>
      <c r="E252" t="s">
        <v>5198</v>
      </c>
      <c r="F252" s="10" t="s">
        <v>6363</v>
      </c>
      <c r="G252" t="s">
        <v>74</v>
      </c>
    </row>
    <row r="253" spans="1:7" x14ac:dyDescent="0.35">
      <c r="A253" t="s">
        <v>5601</v>
      </c>
      <c r="B253" t="s">
        <v>5272</v>
      </c>
      <c r="C253" t="s">
        <v>4915</v>
      </c>
      <c r="D253">
        <v>15.65</v>
      </c>
      <c r="E253" t="s">
        <v>5196</v>
      </c>
      <c r="F253" s="10" t="s">
        <v>6363</v>
      </c>
      <c r="G253" t="s">
        <v>6365</v>
      </c>
    </row>
    <row r="254" spans="1:7" x14ac:dyDescent="0.35">
      <c r="A254" t="s">
        <v>5602</v>
      </c>
      <c r="B254" t="s">
        <v>5212</v>
      </c>
      <c r="C254" t="s">
        <v>4764</v>
      </c>
      <c r="D254">
        <v>38.880000000000003</v>
      </c>
      <c r="E254" t="s">
        <v>5196</v>
      </c>
      <c r="F254" s="10" t="s">
        <v>6363</v>
      </c>
      <c r="G254" t="s">
        <v>6365</v>
      </c>
    </row>
    <row r="255" spans="1:7" x14ac:dyDescent="0.35">
      <c r="A255" t="s">
        <v>5603</v>
      </c>
      <c r="B255" t="s">
        <v>5459</v>
      </c>
      <c r="C255" t="s">
        <v>5502</v>
      </c>
      <c r="D255">
        <v>32.409999999999997</v>
      </c>
      <c r="E255" t="s">
        <v>5235</v>
      </c>
      <c r="F255" s="10" t="s">
        <v>6363</v>
      </c>
      <c r="G255" t="s">
        <v>6365</v>
      </c>
    </row>
    <row r="256" spans="1:7" x14ac:dyDescent="0.35">
      <c r="A256" t="s">
        <v>5604</v>
      </c>
      <c r="B256" t="s">
        <v>5311</v>
      </c>
      <c r="C256" t="s">
        <v>4700</v>
      </c>
      <c r="D256">
        <v>21.54</v>
      </c>
      <c r="E256" t="s">
        <v>5196</v>
      </c>
      <c r="F256" s="10" t="s">
        <v>6362</v>
      </c>
      <c r="G256" t="s">
        <v>6365</v>
      </c>
    </row>
    <row r="257" spans="1:7" x14ac:dyDescent="0.35">
      <c r="A257" t="s">
        <v>5605</v>
      </c>
      <c r="B257" t="s">
        <v>5385</v>
      </c>
      <c r="C257" t="s">
        <v>5406</v>
      </c>
      <c r="D257">
        <v>22.64</v>
      </c>
      <c r="E257" t="s">
        <v>5197</v>
      </c>
      <c r="F257" s="10" t="s">
        <v>6362</v>
      </c>
      <c r="G257" t="s">
        <v>6365</v>
      </c>
    </row>
    <row r="258" spans="1:7" x14ac:dyDescent="0.35">
      <c r="A258" t="s">
        <v>5606</v>
      </c>
      <c r="B258" t="s">
        <v>5480</v>
      </c>
      <c r="C258" t="s">
        <v>5308</v>
      </c>
      <c r="D258">
        <v>23.59</v>
      </c>
      <c r="E258" t="s">
        <v>5199</v>
      </c>
      <c r="F258" s="10" t="s">
        <v>6363</v>
      </c>
      <c r="G258" t="s">
        <v>74</v>
      </c>
    </row>
    <row r="259" spans="1:7" x14ac:dyDescent="0.35">
      <c r="A259" t="s">
        <v>5607</v>
      </c>
      <c r="B259" t="s">
        <v>5398</v>
      </c>
      <c r="C259" t="s">
        <v>5205</v>
      </c>
      <c r="D259">
        <v>25.78</v>
      </c>
      <c r="E259" t="s">
        <v>5197</v>
      </c>
      <c r="F259" s="10" t="s">
        <v>6363</v>
      </c>
      <c r="G259" t="s">
        <v>6365</v>
      </c>
    </row>
    <row r="260" spans="1:7" x14ac:dyDescent="0.35">
      <c r="A260" t="s">
        <v>5608</v>
      </c>
      <c r="B260" t="s">
        <v>5609</v>
      </c>
      <c r="C260" t="s">
        <v>5319</v>
      </c>
      <c r="D260">
        <v>24.55</v>
      </c>
      <c r="E260" t="s">
        <v>5197</v>
      </c>
      <c r="F260" s="10" t="s">
        <v>6363</v>
      </c>
      <c r="G260" t="s">
        <v>71</v>
      </c>
    </row>
    <row r="261" spans="1:7" x14ac:dyDescent="0.35">
      <c r="A261" t="s">
        <v>5610</v>
      </c>
      <c r="B261" t="s">
        <v>5609</v>
      </c>
      <c r="C261" t="s">
        <v>5054</v>
      </c>
      <c r="D261">
        <v>38.119999999999997</v>
      </c>
      <c r="E261" t="s">
        <v>5235</v>
      </c>
      <c r="F261" s="10" t="s">
        <v>6363</v>
      </c>
      <c r="G261" t="s">
        <v>74</v>
      </c>
    </row>
    <row r="262" spans="1:7" x14ac:dyDescent="0.35">
      <c r="A262" t="s">
        <v>5611</v>
      </c>
      <c r="B262" t="s">
        <v>5519</v>
      </c>
      <c r="C262" t="s">
        <v>5448</v>
      </c>
      <c r="D262">
        <v>23.39</v>
      </c>
      <c r="E262" t="s">
        <v>5235</v>
      </c>
      <c r="F262" s="10" t="s">
        <v>6363</v>
      </c>
      <c r="G262" t="s">
        <v>71</v>
      </c>
    </row>
    <row r="263" spans="1:7" x14ac:dyDescent="0.35">
      <c r="A263" t="s">
        <v>5612</v>
      </c>
      <c r="B263" t="s">
        <v>5401</v>
      </c>
      <c r="C263" t="s">
        <v>4696</v>
      </c>
      <c r="D263">
        <v>28.66</v>
      </c>
      <c r="E263" t="s">
        <v>5196</v>
      </c>
      <c r="F263" s="10" t="s">
        <v>6363</v>
      </c>
      <c r="G263" t="s">
        <v>6365</v>
      </c>
    </row>
    <row r="264" spans="1:7" x14ac:dyDescent="0.35">
      <c r="A264" t="s">
        <v>5613</v>
      </c>
      <c r="B264" t="s">
        <v>5281</v>
      </c>
      <c r="C264" t="s">
        <v>4714</v>
      </c>
      <c r="D264">
        <v>27.67</v>
      </c>
      <c r="E264" t="s">
        <v>5199</v>
      </c>
      <c r="F264" s="10" t="s">
        <v>6363</v>
      </c>
      <c r="G264" t="s">
        <v>74</v>
      </c>
    </row>
    <row r="265" spans="1:7" x14ac:dyDescent="0.35">
      <c r="A265" t="s">
        <v>5614</v>
      </c>
      <c r="B265" t="s">
        <v>5434</v>
      </c>
      <c r="C265" t="s">
        <v>5463</v>
      </c>
      <c r="D265">
        <v>19.63</v>
      </c>
      <c r="E265" t="s">
        <v>5198</v>
      </c>
      <c r="F265" s="10" t="s">
        <v>6362</v>
      </c>
      <c r="G265" t="s">
        <v>6365</v>
      </c>
    </row>
    <row r="266" spans="1:7" x14ac:dyDescent="0.35">
      <c r="A266" t="s">
        <v>5615</v>
      </c>
      <c r="B266" t="s">
        <v>5385</v>
      </c>
      <c r="C266" t="s">
        <v>5230</v>
      </c>
      <c r="D266">
        <v>35.94</v>
      </c>
      <c r="E266" t="s">
        <v>5235</v>
      </c>
      <c r="F266" s="10" t="s">
        <v>6362</v>
      </c>
      <c r="G266" t="s">
        <v>6365</v>
      </c>
    </row>
    <row r="267" spans="1:7" x14ac:dyDescent="0.35">
      <c r="A267" t="s">
        <v>5616</v>
      </c>
      <c r="B267" t="s">
        <v>5488</v>
      </c>
      <c r="C267" t="s">
        <v>5466</v>
      </c>
      <c r="D267">
        <v>34.75</v>
      </c>
      <c r="E267" t="s">
        <v>5235</v>
      </c>
      <c r="F267" s="10" t="s">
        <v>6362</v>
      </c>
      <c r="G267" t="s">
        <v>6365</v>
      </c>
    </row>
    <row r="268" spans="1:7" x14ac:dyDescent="0.35">
      <c r="A268" t="s">
        <v>5617</v>
      </c>
      <c r="B268" t="s">
        <v>5333</v>
      </c>
      <c r="C268" t="s">
        <v>5478</v>
      </c>
      <c r="D268">
        <v>33.81</v>
      </c>
      <c r="E268" t="s">
        <v>5197</v>
      </c>
      <c r="F268" s="10" t="s">
        <v>6362</v>
      </c>
      <c r="G268" t="s">
        <v>6365</v>
      </c>
    </row>
    <row r="269" spans="1:7" x14ac:dyDescent="0.35">
      <c r="A269" t="s">
        <v>5618</v>
      </c>
      <c r="B269" t="s">
        <v>5323</v>
      </c>
      <c r="C269" t="s">
        <v>5586</v>
      </c>
      <c r="D269">
        <v>23.45</v>
      </c>
      <c r="E269" t="s">
        <v>5198</v>
      </c>
      <c r="F269" s="10" t="s">
        <v>6362</v>
      </c>
      <c r="G269" t="s">
        <v>6365</v>
      </c>
    </row>
    <row r="270" spans="1:7" x14ac:dyDescent="0.35">
      <c r="A270" t="s">
        <v>5619</v>
      </c>
      <c r="B270" t="s">
        <v>5345</v>
      </c>
      <c r="C270" t="s">
        <v>5286</v>
      </c>
      <c r="D270">
        <v>35.93</v>
      </c>
      <c r="E270" t="s">
        <v>5199</v>
      </c>
      <c r="F270" s="10" t="s">
        <v>6363</v>
      </c>
      <c r="G270" t="s">
        <v>74</v>
      </c>
    </row>
    <row r="271" spans="1:7" x14ac:dyDescent="0.35">
      <c r="A271" t="s">
        <v>5620</v>
      </c>
      <c r="B271" t="s">
        <v>5398</v>
      </c>
      <c r="C271" t="s">
        <v>5586</v>
      </c>
      <c r="D271">
        <v>16.07</v>
      </c>
      <c r="E271" t="s">
        <v>5235</v>
      </c>
      <c r="F271" s="10" t="s">
        <v>6362</v>
      </c>
      <c r="G271" t="s">
        <v>6365</v>
      </c>
    </row>
    <row r="272" spans="1:7" x14ac:dyDescent="0.35">
      <c r="A272" t="s">
        <v>5621</v>
      </c>
      <c r="B272" t="s">
        <v>5260</v>
      </c>
      <c r="C272" t="s">
        <v>5418</v>
      </c>
      <c r="D272">
        <v>18.43</v>
      </c>
      <c r="E272" t="s">
        <v>5197</v>
      </c>
      <c r="F272" s="10" t="s">
        <v>6363</v>
      </c>
      <c r="G272" t="s">
        <v>71</v>
      </c>
    </row>
    <row r="273" spans="1:7" x14ac:dyDescent="0.35">
      <c r="A273" t="s">
        <v>5622</v>
      </c>
      <c r="B273" t="s">
        <v>5347</v>
      </c>
      <c r="C273" t="s">
        <v>4707</v>
      </c>
      <c r="D273">
        <v>28.03</v>
      </c>
      <c r="E273" t="s">
        <v>5196</v>
      </c>
      <c r="F273" s="10" t="s">
        <v>6363</v>
      </c>
      <c r="G273" t="s">
        <v>6365</v>
      </c>
    </row>
    <row r="274" spans="1:7" x14ac:dyDescent="0.35">
      <c r="A274" t="s">
        <v>5623</v>
      </c>
      <c r="B274" t="s">
        <v>5207</v>
      </c>
      <c r="C274" t="s">
        <v>5308</v>
      </c>
      <c r="D274">
        <v>14.54</v>
      </c>
      <c r="E274" t="s">
        <v>5235</v>
      </c>
      <c r="F274" s="10" t="s">
        <v>6363</v>
      </c>
      <c r="G274" t="s">
        <v>6366</v>
      </c>
    </row>
    <row r="275" spans="1:7" x14ac:dyDescent="0.35">
      <c r="A275" t="s">
        <v>5624</v>
      </c>
      <c r="B275" t="s">
        <v>5323</v>
      </c>
      <c r="C275" t="s">
        <v>4559</v>
      </c>
      <c r="D275">
        <v>30.87</v>
      </c>
      <c r="E275" t="s">
        <v>5235</v>
      </c>
      <c r="F275" s="10" t="s">
        <v>6362</v>
      </c>
      <c r="G275" t="s">
        <v>71</v>
      </c>
    </row>
    <row r="276" spans="1:7" x14ac:dyDescent="0.35">
      <c r="A276" t="s">
        <v>5625</v>
      </c>
      <c r="B276" t="s">
        <v>5345</v>
      </c>
      <c r="C276" t="s">
        <v>5324</v>
      </c>
      <c r="D276">
        <v>11.11</v>
      </c>
      <c r="E276" t="s">
        <v>5197</v>
      </c>
      <c r="F276" s="10" t="s">
        <v>6363</v>
      </c>
      <c r="G276" t="s">
        <v>6365</v>
      </c>
    </row>
    <row r="277" spans="1:7" x14ac:dyDescent="0.35">
      <c r="A277" t="s">
        <v>5626</v>
      </c>
      <c r="B277" t="s">
        <v>5293</v>
      </c>
      <c r="C277" t="s">
        <v>5108</v>
      </c>
      <c r="D277">
        <v>19.45</v>
      </c>
      <c r="E277" t="s">
        <v>5196</v>
      </c>
      <c r="F277" s="10" t="s">
        <v>6362</v>
      </c>
      <c r="G277" t="s">
        <v>6365</v>
      </c>
    </row>
    <row r="278" spans="1:7" x14ac:dyDescent="0.35">
      <c r="A278" t="s">
        <v>5627</v>
      </c>
      <c r="B278" t="s">
        <v>5628</v>
      </c>
      <c r="C278" t="s">
        <v>4705</v>
      </c>
      <c r="D278">
        <v>22.41</v>
      </c>
      <c r="E278" t="s">
        <v>5197</v>
      </c>
      <c r="F278" s="10" t="s">
        <v>6362</v>
      </c>
      <c r="G278" t="s">
        <v>6365</v>
      </c>
    </row>
    <row r="279" spans="1:7" x14ac:dyDescent="0.35">
      <c r="A279" t="s">
        <v>5629</v>
      </c>
      <c r="B279" t="s">
        <v>5212</v>
      </c>
      <c r="C279" t="s">
        <v>5268</v>
      </c>
      <c r="D279">
        <v>26.71</v>
      </c>
      <c r="E279" t="s">
        <v>5235</v>
      </c>
      <c r="F279" s="10" t="s">
        <v>6362</v>
      </c>
      <c r="G279" t="s">
        <v>6366</v>
      </c>
    </row>
    <row r="280" spans="1:7" x14ac:dyDescent="0.35">
      <c r="A280" t="s">
        <v>5630</v>
      </c>
      <c r="B280" t="s">
        <v>5628</v>
      </c>
      <c r="C280" t="s">
        <v>5205</v>
      </c>
      <c r="D280">
        <v>14.31</v>
      </c>
      <c r="E280" t="s">
        <v>5196</v>
      </c>
      <c r="F280" s="10" t="s">
        <v>6362</v>
      </c>
      <c r="G280" t="s">
        <v>71</v>
      </c>
    </row>
    <row r="281" spans="1:7" x14ac:dyDescent="0.35">
      <c r="A281" t="s">
        <v>5631</v>
      </c>
      <c r="B281" t="s">
        <v>5592</v>
      </c>
      <c r="C281" t="s">
        <v>5054</v>
      </c>
      <c r="D281">
        <v>28.23</v>
      </c>
      <c r="E281" t="s">
        <v>5198</v>
      </c>
      <c r="F281" s="10" t="s">
        <v>6363</v>
      </c>
      <c r="G281" t="s">
        <v>74</v>
      </c>
    </row>
    <row r="282" spans="1:7" x14ac:dyDescent="0.35">
      <c r="A282" t="s">
        <v>5632</v>
      </c>
      <c r="B282" t="s">
        <v>5580</v>
      </c>
      <c r="C282" t="s">
        <v>5451</v>
      </c>
      <c r="D282">
        <v>30.66</v>
      </c>
      <c r="E282" t="s">
        <v>5198</v>
      </c>
      <c r="F282" s="10" t="s">
        <v>6363</v>
      </c>
      <c r="G282" t="s">
        <v>6365</v>
      </c>
    </row>
    <row r="283" spans="1:7" x14ac:dyDescent="0.35">
      <c r="A283" t="s">
        <v>5633</v>
      </c>
      <c r="B283" t="s">
        <v>5609</v>
      </c>
      <c r="C283" t="s">
        <v>5634</v>
      </c>
      <c r="D283">
        <v>33.74</v>
      </c>
      <c r="E283" t="s">
        <v>5197</v>
      </c>
      <c r="F283" s="10" t="s">
        <v>6362</v>
      </c>
      <c r="G283" t="s">
        <v>74</v>
      </c>
    </row>
    <row r="284" spans="1:7" x14ac:dyDescent="0.35">
      <c r="A284" t="s">
        <v>5635</v>
      </c>
      <c r="B284" t="s">
        <v>5383</v>
      </c>
      <c r="C284" t="s">
        <v>5584</v>
      </c>
      <c r="D284">
        <v>34.49</v>
      </c>
      <c r="E284" t="s">
        <v>5198</v>
      </c>
      <c r="F284" s="10" t="s">
        <v>6363</v>
      </c>
      <c r="G284" t="s">
        <v>6365</v>
      </c>
    </row>
    <row r="285" spans="1:7" x14ac:dyDescent="0.35">
      <c r="A285" t="s">
        <v>5636</v>
      </c>
      <c r="B285" t="s">
        <v>5444</v>
      </c>
      <c r="C285" t="s">
        <v>5261</v>
      </c>
      <c r="D285">
        <v>12.23</v>
      </c>
      <c r="E285" t="s">
        <v>5196</v>
      </c>
      <c r="F285" s="10" t="s">
        <v>6363</v>
      </c>
      <c r="G285" t="s">
        <v>71</v>
      </c>
    </row>
    <row r="286" spans="1:7" x14ac:dyDescent="0.35">
      <c r="A286" t="s">
        <v>5637</v>
      </c>
      <c r="B286" t="s">
        <v>5267</v>
      </c>
      <c r="C286" t="s">
        <v>5256</v>
      </c>
      <c r="D286">
        <v>34.270000000000003</v>
      </c>
      <c r="E286" t="s">
        <v>5196</v>
      </c>
      <c r="F286" s="10" t="s">
        <v>6363</v>
      </c>
      <c r="G286" t="s">
        <v>6365</v>
      </c>
    </row>
    <row r="287" spans="1:7" x14ac:dyDescent="0.35">
      <c r="A287" t="s">
        <v>5638</v>
      </c>
      <c r="B287" t="s">
        <v>5264</v>
      </c>
      <c r="C287" t="s">
        <v>5222</v>
      </c>
      <c r="D287">
        <v>27.15</v>
      </c>
      <c r="E287" t="s">
        <v>5199</v>
      </c>
      <c r="F287" s="10" t="s">
        <v>6362</v>
      </c>
      <c r="G287" t="s">
        <v>6365</v>
      </c>
    </row>
    <row r="288" spans="1:7" x14ac:dyDescent="0.35">
      <c r="A288" t="s">
        <v>5639</v>
      </c>
      <c r="B288" t="s">
        <v>5364</v>
      </c>
      <c r="C288" t="s">
        <v>5286</v>
      </c>
      <c r="D288">
        <v>11.92</v>
      </c>
      <c r="E288" t="s">
        <v>5198</v>
      </c>
      <c r="F288" s="10" t="s">
        <v>6362</v>
      </c>
      <c r="G288" t="s">
        <v>71</v>
      </c>
    </row>
    <row r="289" spans="1:7" x14ac:dyDescent="0.35">
      <c r="A289" t="s">
        <v>5640</v>
      </c>
      <c r="B289" t="s">
        <v>5267</v>
      </c>
      <c r="C289" t="s">
        <v>5597</v>
      </c>
      <c r="D289">
        <v>15.33</v>
      </c>
      <c r="E289" t="s">
        <v>5199</v>
      </c>
      <c r="F289" s="10" t="s">
        <v>6363</v>
      </c>
      <c r="G289" t="s">
        <v>6366</v>
      </c>
    </row>
    <row r="290" spans="1:7" x14ac:dyDescent="0.35">
      <c r="A290" t="s">
        <v>5641</v>
      </c>
      <c r="B290" t="s">
        <v>5219</v>
      </c>
      <c r="C290" t="s">
        <v>5634</v>
      </c>
      <c r="D290">
        <v>32.880000000000003</v>
      </c>
      <c r="E290" t="s">
        <v>5198</v>
      </c>
      <c r="F290" s="10" t="s">
        <v>6363</v>
      </c>
      <c r="G290" t="s">
        <v>6365</v>
      </c>
    </row>
    <row r="291" spans="1:7" x14ac:dyDescent="0.35">
      <c r="A291" t="s">
        <v>5642</v>
      </c>
      <c r="B291" t="s">
        <v>5358</v>
      </c>
      <c r="C291" t="s">
        <v>5222</v>
      </c>
      <c r="D291">
        <v>21.73</v>
      </c>
      <c r="E291" t="s">
        <v>5198</v>
      </c>
      <c r="F291" s="10" t="s">
        <v>6362</v>
      </c>
      <c r="G291" t="s">
        <v>74</v>
      </c>
    </row>
    <row r="292" spans="1:7" x14ac:dyDescent="0.35">
      <c r="A292" t="s">
        <v>5643</v>
      </c>
      <c r="B292" t="s">
        <v>5455</v>
      </c>
      <c r="C292" t="s">
        <v>5362</v>
      </c>
      <c r="D292">
        <v>12.49</v>
      </c>
      <c r="E292" t="s">
        <v>5196</v>
      </c>
      <c r="F292" s="10" t="s">
        <v>6363</v>
      </c>
      <c r="G292" t="s">
        <v>74</v>
      </c>
    </row>
    <row r="293" spans="1:7" x14ac:dyDescent="0.35">
      <c r="A293" t="s">
        <v>5644</v>
      </c>
      <c r="B293" t="s">
        <v>5288</v>
      </c>
      <c r="C293" t="s">
        <v>5406</v>
      </c>
      <c r="D293">
        <v>13.16</v>
      </c>
      <c r="E293" t="s">
        <v>5199</v>
      </c>
      <c r="F293" s="10" t="s">
        <v>6362</v>
      </c>
      <c r="G293" t="s">
        <v>6365</v>
      </c>
    </row>
    <row r="294" spans="1:7" x14ac:dyDescent="0.35">
      <c r="A294" t="s">
        <v>5645</v>
      </c>
      <c r="B294" t="s">
        <v>5217</v>
      </c>
      <c r="C294" t="s">
        <v>5463</v>
      </c>
      <c r="D294">
        <v>28.06</v>
      </c>
      <c r="E294" t="s">
        <v>5235</v>
      </c>
      <c r="F294" s="10" t="s">
        <v>6362</v>
      </c>
      <c r="G294" t="s">
        <v>6365</v>
      </c>
    </row>
    <row r="295" spans="1:7" x14ac:dyDescent="0.35">
      <c r="A295" t="s">
        <v>5646</v>
      </c>
      <c r="B295" t="s">
        <v>5515</v>
      </c>
      <c r="C295" t="s">
        <v>5165</v>
      </c>
      <c r="D295">
        <v>27.84</v>
      </c>
      <c r="E295" t="s">
        <v>5196</v>
      </c>
      <c r="F295" s="10" t="s">
        <v>6363</v>
      </c>
      <c r="G295" t="s">
        <v>71</v>
      </c>
    </row>
    <row r="296" spans="1:7" x14ac:dyDescent="0.35">
      <c r="A296" t="s">
        <v>5647</v>
      </c>
      <c r="B296" t="s">
        <v>5477</v>
      </c>
      <c r="C296" t="s">
        <v>5202</v>
      </c>
      <c r="D296">
        <v>28.2</v>
      </c>
      <c r="E296" t="s">
        <v>5199</v>
      </c>
      <c r="F296" s="10" t="s">
        <v>6363</v>
      </c>
      <c r="G296" t="s">
        <v>6365</v>
      </c>
    </row>
    <row r="297" spans="1:7" x14ac:dyDescent="0.35">
      <c r="A297" t="s">
        <v>5648</v>
      </c>
      <c r="B297" t="s">
        <v>5488</v>
      </c>
      <c r="C297" t="s">
        <v>5649</v>
      </c>
      <c r="D297">
        <v>39.74</v>
      </c>
      <c r="E297" t="s">
        <v>5235</v>
      </c>
      <c r="F297" s="10" t="s">
        <v>6362</v>
      </c>
      <c r="G297" t="s">
        <v>74</v>
      </c>
    </row>
    <row r="298" spans="1:7" x14ac:dyDescent="0.35">
      <c r="A298" t="s">
        <v>5650</v>
      </c>
      <c r="B298" t="s">
        <v>5537</v>
      </c>
      <c r="C298" t="s">
        <v>5421</v>
      </c>
      <c r="D298">
        <v>34.11</v>
      </c>
      <c r="E298" t="s">
        <v>5235</v>
      </c>
      <c r="F298" s="10" t="s">
        <v>6362</v>
      </c>
      <c r="G298" t="s">
        <v>74</v>
      </c>
    </row>
    <row r="299" spans="1:7" x14ac:dyDescent="0.35">
      <c r="A299" t="s">
        <v>5651</v>
      </c>
      <c r="B299" t="s">
        <v>5455</v>
      </c>
      <c r="C299" t="s">
        <v>5510</v>
      </c>
      <c r="D299">
        <v>26.3</v>
      </c>
      <c r="E299" t="s">
        <v>5198</v>
      </c>
      <c r="F299" s="10" t="s">
        <v>6363</v>
      </c>
      <c r="G299" t="s">
        <v>74</v>
      </c>
    </row>
    <row r="300" spans="1:7" x14ac:dyDescent="0.35">
      <c r="A300" t="s">
        <v>5652</v>
      </c>
      <c r="B300" t="s">
        <v>5307</v>
      </c>
      <c r="C300" t="s">
        <v>4700</v>
      </c>
      <c r="D300">
        <v>19.350000000000001</v>
      </c>
      <c r="E300" t="s">
        <v>5235</v>
      </c>
      <c r="F300" s="10" t="s">
        <v>6363</v>
      </c>
      <c r="G300" t="s">
        <v>74</v>
      </c>
    </row>
    <row r="301" spans="1:7" x14ac:dyDescent="0.35">
      <c r="A301" t="s">
        <v>5653</v>
      </c>
      <c r="B301" t="s">
        <v>5244</v>
      </c>
      <c r="C301" t="s">
        <v>5188</v>
      </c>
      <c r="D301">
        <v>13.51</v>
      </c>
      <c r="E301" t="s">
        <v>5199</v>
      </c>
      <c r="F301" s="10" t="s">
        <v>6362</v>
      </c>
      <c r="G301" t="s">
        <v>71</v>
      </c>
    </row>
    <row r="302" spans="1:7" x14ac:dyDescent="0.35">
      <c r="A302" t="s">
        <v>5654</v>
      </c>
      <c r="B302" t="s">
        <v>5318</v>
      </c>
      <c r="C302" t="s">
        <v>5205</v>
      </c>
      <c r="D302">
        <v>20.03</v>
      </c>
      <c r="E302" t="s">
        <v>5199</v>
      </c>
      <c r="F302" s="10" t="s">
        <v>6362</v>
      </c>
      <c r="G302" t="s">
        <v>6366</v>
      </c>
    </row>
    <row r="303" spans="1:7" x14ac:dyDescent="0.35">
      <c r="A303" t="s">
        <v>5655</v>
      </c>
      <c r="B303" t="s">
        <v>5537</v>
      </c>
      <c r="C303" t="s">
        <v>5505</v>
      </c>
      <c r="D303">
        <v>16.84</v>
      </c>
      <c r="E303" t="s">
        <v>5196</v>
      </c>
      <c r="F303" s="10" t="s">
        <v>6363</v>
      </c>
      <c r="G303" t="s">
        <v>6365</v>
      </c>
    </row>
    <row r="304" spans="1:7" x14ac:dyDescent="0.35">
      <c r="A304" t="s">
        <v>5656</v>
      </c>
      <c r="B304" t="s">
        <v>5515</v>
      </c>
      <c r="C304" t="s">
        <v>4676</v>
      </c>
      <c r="D304">
        <v>18.059999999999999</v>
      </c>
      <c r="E304" t="s">
        <v>5196</v>
      </c>
      <c r="F304" s="10" t="s">
        <v>6363</v>
      </c>
      <c r="G304" t="s">
        <v>74</v>
      </c>
    </row>
    <row r="305" spans="1:7" x14ac:dyDescent="0.35">
      <c r="A305" t="s">
        <v>5657</v>
      </c>
      <c r="B305" t="s">
        <v>5367</v>
      </c>
      <c r="C305" t="s">
        <v>4764</v>
      </c>
      <c r="D305">
        <v>31.13</v>
      </c>
      <c r="E305" t="s">
        <v>5196</v>
      </c>
      <c r="F305" s="10" t="s">
        <v>6363</v>
      </c>
      <c r="G305" t="s">
        <v>6366</v>
      </c>
    </row>
    <row r="306" spans="1:7" x14ac:dyDescent="0.35">
      <c r="A306" t="s">
        <v>5658</v>
      </c>
      <c r="B306" t="s">
        <v>5477</v>
      </c>
      <c r="C306" t="s">
        <v>4785</v>
      </c>
      <c r="D306">
        <v>31.58</v>
      </c>
      <c r="E306" t="s">
        <v>5235</v>
      </c>
      <c r="F306" s="10" t="s">
        <v>6362</v>
      </c>
      <c r="G306" t="s">
        <v>74</v>
      </c>
    </row>
    <row r="307" spans="1:7" x14ac:dyDescent="0.35">
      <c r="A307" t="s">
        <v>5659</v>
      </c>
      <c r="B307" t="s">
        <v>5413</v>
      </c>
      <c r="C307" t="s">
        <v>4856</v>
      </c>
      <c r="D307">
        <v>13.34</v>
      </c>
      <c r="E307" t="s">
        <v>5196</v>
      </c>
      <c r="F307" s="10" t="s">
        <v>6362</v>
      </c>
      <c r="G307" t="s">
        <v>6365</v>
      </c>
    </row>
    <row r="308" spans="1:7" x14ac:dyDescent="0.35">
      <c r="A308" t="s">
        <v>5660</v>
      </c>
      <c r="B308" t="s">
        <v>5483</v>
      </c>
      <c r="C308" t="s">
        <v>5505</v>
      </c>
      <c r="D308">
        <v>15.41</v>
      </c>
      <c r="E308" t="s">
        <v>5197</v>
      </c>
      <c r="F308" s="10" t="s">
        <v>6363</v>
      </c>
      <c r="G308" t="s">
        <v>74</v>
      </c>
    </row>
    <row r="309" spans="1:7" x14ac:dyDescent="0.35">
      <c r="A309" t="s">
        <v>5661</v>
      </c>
      <c r="B309" t="s">
        <v>5283</v>
      </c>
      <c r="C309" t="s">
        <v>4705</v>
      </c>
      <c r="D309">
        <v>37.950000000000003</v>
      </c>
      <c r="E309" t="s">
        <v>5235</v>
      </c>
      <c r="F309" s="10" t="s">
        <v>6363</v>
      </c>
      <c r="G309" t="s">
        <v>71</v>
      </c>
    </row>
    <row r="310" spans="1:7" x14ac:dyDescent="0.35">
      <c r="A310" t="s">
        <v>5662</v>
      </c>
      <c r="B310" t="s">
        <v>5440</v>
      </c>
      <c r="C310" t="s">
        <v>4700</v>
      </c>
      <c r="D310">
        <v>14.25</v>
      </c>
      <c r="E310" t="s">
        <v>5198</v>
      </c>
      <c r="F310" s="10" t="s">
        <v>6363</v>
      </c>
      <c r="G310" t="s">
        <v>6365</v>
      </c>
    </row>
    <row r="311" spans="1:7" x14ac:dyDescent="0.35">
      <c r="A311" t="s">
        <v>5663</v>
      </c>
      <c r="B311" t="s">
        <v>5537</v>
      </c>
      <c r="C311" t="s">
        <v>5251</v>
      </c>
      <c r="D311">
        <v>26.32</v>
      </c>
      <c r="E311" t="s">
        <v>5198</v>
      </c>
      <c r="F311" s="10" t="s">
        <v>6362</v>
      </c>
      <c r="G311" t="s">
        <v>6366</v>
      </c>
    </row>
    <row r="312" spans="1:7" x14ac:dyDescent="0.35">
      <c r="A312" t="s">
        <v>5664</v>
      </c>
      <c r="B312" t="s">
        <v>5515</v>
      </c>
      <c r="C312" t="s">
        <v>4696</v>
      </c>
      <c r="D312">
        <v>38.1</v>
      </c>
      <c r="E312" t="s">
        <v>5199</v>
      </c>
      <c r="F312" s="10" t="s">
        <v>6363</v>
      </c>
      <c r="G312" t="s">
        <v>6365</v>
      </c>
    </row>
    <row r="313" spans="1:7" x14ac:dyDescent="0.35">
      <c r="A313" t="s">
        <v>5665</v>
      </c>
      <c r="B313" t="s">
        <v>5358</v>
      </c>
      <c r="C313" t="s">
        <v>5202</v>
      </c>
      <c r="D313">
        <v>36.979999999999997</v>
      </c>
      <c r="E313" t="s">
        <v>5199</v>
      </c>
      <c r="F313" s="10" t="s">
        <v>6362</v>
      </c>
      <c r="G313" t="s">
        <v>6365</v>
      </c>
    </row>
    <row r="314" spans="1:7" x14ac:dyDescent="0.35">
      <c r="A314" t="s">
        <v>5666</v>
      </c>
      <c r="B314" t="s">
        <v>5488</v>
      </c>
      <c r="C314" t="s">
        <v>5273</v>
      </c>
      <c r="D314">
        <v>27.05</v>
      </c>
      <c r="E314" t="s">
        <v>5196</v>
      </c>
      <c r="F314" s="10" t="s">
        <v>6363</v>
      </c>
      <c r="G314" t="s">
        <v>74</v>
      </c>
    </row>
    <row r="315" spans="1:7" x14ac:dyDescent="0.35">
      <c r="A315" t="s">
        <v>5667</v>
      </c>
      <c r="B315" t="s">
        <v>5283</v>
      </c>
      <c r="C315" t="s">
        <v>5597</v>
      </c>
      <c r="D315">
        <v>15.09</v>
      </c>
      <c r="E315" t="s">
        <v>5235</v>
      </c>
      <c r="F315" s="10" t="s">
        <v>6363</v>
      </c>
      <c r="G315" t="s">
        <v>6365</v>
      </c>
    </row>
    <row r="316" spans="1:7" x14ac:dyDescent="0.35">
      <c r="A316" t="s">
        <v>5668</v>
      </c>
      <c r="B316" t="s">
        <v>5494</v>
      </c>
      <c r="C316" t="s">
        <v>5421</v>
      </c>
      <c r="D316">
        <v>15.37</v>
      </c>
      <c r="E316" t="s">
        <v>5197</v>
      </c>
      <c r="F316" s="10" t="s">
        <v>6363</v>
      </c>
      <c r="G316" t="s">
        <v>6365</v>
      </c>
    </row>
    <row r="317" spans="1:7" x14ac:dyDescent="0.35">
      <c r="A317" t="s">
        <v>5669</v>
      </c>
      <c r="B317" t="s">
        <v>5580</v>
      </c>
      <c r="C317" t="s">
        <v>5463</v>
      </c>
      <c r="D317">
        <v>11.13</v>
      </c>
      <c r="E317" t="s">
        <v>5196</v>
      </c>
      <c r="F317" s="10" t="s">
        <v>6362</v>
      </c>
      <c r="G317" t="s">
        <v>6365</v>
      </c>
    </row>
    <row r="318" spans="1:7" x14ac:dyDescent="0.35">
      <c r="A318" t="s">
        <v>5670</v>
      </c>
      <c r="B318" t="s">
        <v>5217</v>
      </c>
      <c r="C318" t="s">
        <v>5091</v>
      </c>
      <c r="D318">
        <v>31.5</v>
      </c>
      <c r="E318" t="s">
        <v>5199</v>
      </c>
      <c r="F318" s="10" t="s">
        <v>6363</v>
      </c>
      <c r="G318" t="s">
        <v>6365</v>
      </c>
    </row>
    <row r="319" spans="1:7" x14ac:dyDescent="0.35">
      <c r="A319" t="s">
        <v>5671</v>
      </c>
      <c r="B319" t="s">
        <v>5364</v>
      </c>
      <c r="C319" t="s">
        <v>4915</v>
      </c>
      <c r="D319">
        <v>17.670000000000002</v>
      </c>
      <c r="E319" t="s">
        <v>5196</v>
      </c>
      <c r="F319" s="10" t="s">
        <v>6363</v>
      </c>
      <c r="G319" t="s">
        <v>74</v>
      </c>
    </row>
    <row r="320" spans="1:7" x14ac:dyDescent="0.35">
      <c r="A320" t="s">
        <v>5672</v>
      </c>
      <c r="B320" t="s">
        <v>5315</v>
      </c>
      <c r="C320" t="s">
        <v>5365</v>
      </c>
      <c r="D320">
        <v>20.78</v>
      </c>
      <c r="E320" t="s">
        <v>5197</v>
      </c>
      <c r="F320" s="10" t="s">
        <v>6363</v>
      </c>
      <c r="G320" t="s">
        <v>71</v>
      </c>
    </row>
    <row r="321" spans="1:7" x14ac:dyDescent="0.35">
      <c r="A321" t="s">
        <v>5673</v>
      </c>
      <c r="B321" t="s">
        <v>5609</v>
      </c>
      <c r="C321" t="s">
        <v>5331</v>
      </c>
      <c r="D321">
        <v>23.82</v>
      </c>
      <c r="E321" t="s">
        <v>5199</v>
      </c>
      <c r="F321" s="10" t="s">
        <v>6362</v>
      </c>
      <c r="G321" t="s">
        <v>74</v>
      </c>
    </row>
    <row r="322" spans="1:7" x14ac:dyDescent="0.35">
      <c r="A322" t="s">
        <v>5674</v>
      </c>
      <c r="B322" t="s">
        <v>5276</v>
      </c>
      <c r="C322" t="s">
        <v>5173</v>
      </c>
      <c r="D322">
        <v>16.93</v>
      </c>
      <c r="E322" t="s">
        <v>5197</v>
      </c>
      <c r="F322" s="10" t="s">
        <v>6362</v>
      </c>
      <c r="G322" t="s">
        <v>6365</v>
      </c>
    </row>
    <row r="323" spans="1:7" x14ac:dyDescent="0.35">
      <c r="A323" t="s">
        <v>5675</v>
      </c>
      <c r="B323" t="s">
        <v>5367</v>
      </c>
      <c r="C323" t="s">
        <v>5375</v>
      </c>
      <c r="D323">
        <v>21.86</v>
      </c>
      <c r="E323" t="s">
        <v>5196</v>
      </c>
      <c r="F323" s="10" t="s">
        <v>6363</v>
      </c>
      <c r="G323" t="s">
        <v>71</v>
      </c>
    </row>
    <row r="324" spans="1:7" x14ac:dyDescent="0.35">
      <c r="A324" t="s">
        <v>5676</v>
      </c>
      <c r="B324" t="s">
        <v>5302</v>
      </c>
      <c r="C324" t="s">
        <v>5261</v>
      </c>
      <c r="D324">
        <v>17.11</v>
      </c>
      <c r="E324" t="s">
        <v>5196</v>
      </c>
      <c r="F324" s="10" t="s">
        <v>6363</v>
      </c>
      <c r="G324" t="s">
        <v>6366</v>
      </c>
    </row>
    <row r="325" spans="1:7" x14ac:dyDescent="0.35">
      <c r="A325" t="s">
        <v>5677</v>
      </c>
      <c r="B325" t="s">
        <v>5336</v>
      </c>
      <c r="C325" t="s">
        <v>5399</v>
      </c>
      <c r="D325">
        <v>16.04</v>
      </c>
      <c r="E325" t="s">
        <v>5198</v>
      </c>
      <c r="F325" s="10" t="s">
        <v>6363</v>
      </c>
      <c r="G325" t="s">
        <v>74</v>
      </c>
    </row>
    <row r="326" spans="1:7" x14ac:dyDescent="0.35">
      <c r="A326" t="s">
        <v>5678</v>
      </c>
      <c r="B326" t="s">
        <v>5304</v>
      </c>
      <c r="C326" t="s">
        <v>5399</v>
      </c>
      <c r="D326">
        <v>14.63</v>
      </c>
      <c r="E326" t="s">
        <v>5196</v>
      </c>
      <c r="F326" s="10" t="s">
        <v>6362</v>
      </c>
      <c r="G326" t="s">
        <v>74</v>
      </c>
    </row>
    <row r="327" spans="1:7" x14ac:dyDescent="0.35">
      <c r="A327" t="s">
        <v>5679</v>
      </c>
      <c r="B327" t="s">
        <v>5326</v>
      </c>
      <c r="C327" t="s">
        <v>5319</v>
      </c>
      <c r="D327">
        <v>16.510000000000002</v>
      </c>
      <c r="E327" t="s">
        <v>5235</v>
      </c>
      <c r="F327" s="10" t="s">
        <v>6363</v>
      </c>
      <c r="G327" t="s">
        <v>6365</v>
      </c>
    </row>
    <row r="328" spans="1:7" x14ac:dyDescent="0.35">
      <c r="A328" t="s">
        <v>5680</v>
      </c>
      <c r="B328" t="s">
        <v>5323</v>
      </c>
      <c r="C328" t="s">
        <v>5510</v>
      </c>
      <c r="D328">
        <v>23.62</v>
      </c>
      <c r="E328" t="s">
        <v>5235</v>
      </c>
      <c r="F328" s="10" t="s">
        <v>6362</v>
      </c>
      <c r="G328" t="s">
        <v>74</v>
      </c>
    </row>
    <row r="329" spans="1:7" x14ac:dyDescent="0.35">
      <c r="A329" t="s">
        <v>5681</v>
      </c>
      <c r="B329" t="s">
        <v>5411</v>
      </c>
      <c r="C329" t="s">
        <v>5365</v>
      </c>
      <c r="D329">
        <v>20.84</v>
      </c>
      <c r="E329" t="s">
        <v>5198</v>
      </c>
      <c r="F329" s="10" t="s">
        <v>6362</v>
      </c>
      <c r="G329" t="s">
        <v>6365</v>
      </c>
    </row>
    <row r="330" spans="1:7" x14ac:dyDescent="0.35">
      <c r="A330" t="s">
        <v>5682</v>
      </c>
      <c r="B330" t="s">
        <v>5444</v>
      </c>
      <c r="C330" t="s">
        <v>5248</v>
      </c>
      <c r="D330">
        <v>25.8</v>
      </c>
      <c r="E330" t="s">
        <v>5197</v>
      </c>
      <c r="F330" s="10" t="s">
        <v>6362</v>
      </c>
      <c r="G330" t="s">
        <v>74</v>
      </c>
    </row>
    <row r="331" spans="1:7" x14ac:dyDescent="0.35">
      <c r="A331" t="s">
        <v>5683</v>
      </c>
      <c r="B331" t="s">
        <v>5232</v>
      </c>
      <c r="C331" t="s">
        <v>5296</v>
      </c>
      <c r="D331">
        <v>25.84</v>
      </c>
      <c r="E331" t="s">
        <v>5197</v>
      </c>
      <c r="F331" s="10" t="s">
        <v>6363</v>
      </c>
      <c r="G331" t="s">
        <v>74</v>
      </c>
    </row>
    <row r="332" spans="1:7" x14ac:dyDescent="0.35">
      <c r="A332" t="s">
        <v>5684</v>
      </c>
      <c r="B332" t="s">
        <v>5285</v>
      </c>
      <c r="C332" t="s">
        <v>5478</v>
      </c>
      <c r="D332">
        <v>26.72</v>
      </c>
      <c r="E332" t="s">
        <v>5199</v>
      </c>
      <c r="F332" s="10" t="s">
        <v>6363</v>
      </c>
      <c r="G332" t="s">
        <v>74</v>
      </c>
    </row>
    <row r="333" spans="1:7" x14ac:dyDescent="0.35">
      <c r="A333" t="s">
        <v>5685</v>
      </c>
      <c r="B333" t="s">
        <v>5302</v>
      </c>
      <c r="C333" t="s">
        <v>5248</v>
      </c>
      <c r="D333">
        <v>13.15</v>
      </c>
      <c r="E333" t="s">
        <v>5198</v>
      </c>
      <c r="F333" s="10" t="s">
        <v>6362</v>
      </c>
      <c r="G333" t="s">
        <v>74</v>
      </c>
    </row>
    <row r="334" spans="1:7" x14ac:dyDescent="0.35">
      <c r="A334" t="s">
        <v>5686</v>
      </c>
      <c r="B334" t="s">
        <v>5295</v>
      </c>
      <c r="C334" t="s">
        <v>5451</v>
      </c>
      <c r="D334">
        <v>10.95</v>
      </c>
      <c r="E334" t="s">
        <v>5235</v>
      </c>
      <c r="F334" s="10" t="s">
        <v>6362</v>
      </c>
      <c r="G334" t="s">
        <v>6365</v>
      </c>
    </row>
    <row r="335" spans="1:7" x14ac:dyDescent="0.35">
      <c r="A335" t="s">
        <v>5687</v>
      </c>
      <c r="B335" t="s">
        <v>5302</v>
      </c>
      <c r="C335" t="s">
        <v>5165</v>
      </c>
      <c r="D335">
        <v>21.54</v>
      </c>
      <c r="E335" t="s">
        <v>5199</v>
      </c>
      <c r="F335" s="10" t="s">
        <v>6362</v>
      </c>
      <c r="G335" t="s">
        <v>6366</v>
      </c>
    </row>
    <row r="336" spans="1:7" x14ac:dyDescent="0.35">
      <c r="A336" t="s">
        <v>5688</v>
      </c>
      <c r="B336" t="s">
        <v>5515</v>
      </c>
      <c r="C336" t="s">
        <v>5510</v>
      </c>
      <c r="D336">
        <v>23.82</v>
      </c>
      <c r="E336" t="s">
        <v>5197</v>
      </c>
      <c r="F336" s="10" t="s">
        <v>6363</v>
      </c>
      <c r="G336" t="s">
        <v>6365</v>
      </c>
    </row>
    <row r="337" spans="1:7" x14ac:dyDescent="0.35">
      <c r="A337" t="s">
        <v>5689</v>
      </c>
      <c r="B337" t="s">
        <v>5276</v>
      </c>
      <c r="C337" t="s">
        <v>5245</v>
      </c>
      <c r="D337">
        <v>35.119999999999997</v>
      </c>
      <c r="E337" t="s">
        <v>5196</v>
      </c>
      <c r="F337" s="10" t="s">
        <v>6362</v>
      </c>
      <c r="G337" t="s">
        <v>6365</v>
      </c>
    </row>
    <row r="338" spans="1:7" x14ac:dyDescent="0.35">
      <c r="A338" t="s">
        <v>5690</v>
      </c>
      <c r="B338" t="s">
        <v>5364</v>
      </c>
      <c r="C338" t="s">
        <v>5362</v>
      </c>
      <c r="D338">
        <v>15.7</v>
      </c>
      <c r="E338" t="s">
        <v>5198</v>
      </c>
      <c r="F338" s="10" t="s">
        <v>6363</v>
      </c>
      <c r="G338" t="s">
        <v>71</v>
      </c>
    </row>
    <row r="339" spans="1:7" x14ac:dyDescent="0.35">
      <c r="A339" t="s">
        <v>5691</v>
      </c>
      <c r="B339" t="s">
        <v>5295</v>
      </c>
      <c r="C339" t="s">
        <v>4764</v>
      </c>
      <c r="D339">
        <v>31.39</v>
      </c>
      <c r="E339" t="s">
        <v>5235</v>
      </c>
      <c r="F339" s="10" t="s">
        <v>6362</v>
      </c>
      <c r="G339" t="s">
        <v>6365</v>
      </c>
    </row>
    <row r="340" spans="1:7" x14ac:dyDescent="0.35">
      <c r="A340" t="s">
        <v>5692</v>
      </c>
      <c r="B340" t="s">
        <v>5242</v>
      </c>
      <c r="C340" t="s">
        <v>4676</v>
      </c>
      <c r="D340">
        <v>19.399999999999999</v>
      </c>
      <c r="E340" t="s">
        <v>5198</v>
      </c>
      <c r="F340" s="10" t="s">
        <v>6362</v>
      </c>
      <c r="G340" t="s">
        <v>6366</v>
      </c>
    </row>
    <row r="341" spans="1:7" x14ac:dyDescent="0.35">
      <c r="A341" t="s">
        <v>5693</v>
      </c>
      <c r="B341" t="s">
        <v>5694</v>
      </c>
      <c r="C341" t="s">
        <v>5268</v>
      </c>
      <c r="D341">
        <v>28.2</v>
      </c>
      <c r="E341" t="s">
        <v>5196</v>
      </c>
      <c r="F341" s="10" t="s">
        <v>6362</v>
      </c>
      <c r="G341" t="s">
        <v>6365</v>
      </c>
    </row>
    <row r="342" spans="1:7" x14ac:dyDescent="0.35">
      <c r="A342" t="s">
        <v>5695</v>
      </c>
      <c r="B342" t="s">
        <v>5390</v>
      </c>
      <c r="C342" t="s">
        <v>5380</v>
      </c>
      <c r="D342">
        <v>21.73</v>
      </c>
      <c r="E342" t="s">
        <v>5197</v>
      </c>
      <c r="F342" s="10" t="s">
        <v>6363</v>
      </c>
      <c r="G342" t="s">
        <v>6365</v>
      </c>
    </row>
    <row r="343" spans="1:7" x14ac:dyDescent="0.35">
      <c r="A343" t="s">
        <v>5696</v>
      </c>
      <c r="B343" t="s">
        <v>5515</v>
      </c>
      <c r="C343" t="s">
        <v>5278</v>
      </c>
      <c r="D343">
        <v>31.98</v>
      </c>
      <c r="E343" t="s">
        <v>5197</v>
      </c>
      <c r="F343" s="10" t="s">
        <v>6363</v>
      </c>
      <c r="G343" t="s">
        <v>6366</v>
      </c>
    </row>
    <row r="344" spans="1:7" x14ac:dyDescent="0.35">
      <c r="A344" t="s">
        <v>5697</v>
      </c>
      <c r="B344" t="s">
        <v>5698</v>
      </c>
      <c r="C344" t="s">
        <v>4896</v>
      </c>
      <c r="D344">
        <v>12.18</v>
      </c>
      <c r="E344" t="s">
        <v>5196</v>
      </c>
      <c r="F344" s="10" t="s">
        <v>6362</v>
      </c>
      <c r="G344" t="s">
        <v>6365</v>
      </c>
    </row>
    <row r="345" spans="1:7" x14ac:dyDescent="0.35">
      <c r="A345" t="s">
        <v>5699</v>
      </c>
      <c r="B345" t="s">
        <v>5315</v>
      </c>
      <c r="C345" t="s">
        <v>4790</v>
      </c>
      <c r="D345">
        <v>17.66</v>
      </c>
      <c r="E345" t="s">
        <v>5199</v>
      </c>
      <c r="F345" s="10" t="s">
        <v>6362</v>
      </c>
      <c r="G345" t="s">
        <v>6365</v>
      </c>
    </row>
    <row r="346" spans="1:7" x14ac:dyDescent="0.35">
      <c r="A346" t="s">
        <v>5700</v>
      </c>
      <c r="B346" t="s">
        <v>5267</v>
      </c>
      <c r="C346" t="s">
        <v>5225</v>
      </c>
      <c r="D346">
        <v>38.200000000000003</v>
      </c>
      <c r="E346" t="s">
        <v>5198</v>
      </c>
      <c r="F346" s="10" t="s">
        <v>6362</v>
      </c>
      <c r="G346" t="s">
        <v>74</v>
      </c>
    </row>
    <row r="347" spans="1:7" x14ac:dyDescent="0.35">
      <c r="A347" t="s">
        <v>5701</v>
      </c>
      <c r="B347" t="s">
        <v>5224</v>
      </c>
      <c r="C347" t="s">
        <v>5115</v>
      </c>
      <c r="D347">
        <v>27.37</v>
      </c>
      <c r="E347" t="s">
        <v>5199</v>
      </c>
      <c r="F347" s="10" t="s">
        <v>6363</v>
      </c>
      <c r="G347" t="s">
        <v>6365</v>
      </c>
    </row>
    <row r="348" spans="1:7" x14ac:dyDescent="0.35">
      <c r="A348" t="s">
        <v>5702</v>
      </c>
      <c r="B348" t="s">
        <v>5383</v>
      </c>
      <c r="C348" t="s">
        <v>5586</v>
      </c>
      <c r="D348">
        <v>25.51</v>
      </c>
      <c r="E348" t="s">
        <v>5235</v>
      </c>
      <c r="F348" s="10" t="s">
        <v>6362</v>
      </c>
      <c r="G348" t="s">
        <v>71</v>
      </c>
    </row>
    <row r="349" spans="1:7" x14ac:dyDescent="0.35">
      <c r="A349" t="s">
        <v>5703</v>
      </c>
      <c r="B349" t="s">
        <v>5477</v>
      </c>
      <c r="C349" t="s">
        <v>4764</v>
      </c>
      <c r="D349">
        <v>20.66</v>
      </c>
      <c r="E349" t="s">
        <v>5197</v>
      </c>
      <c r="F349" s="10" t="s">
        <v>6362</v>
      </c>
      <c r="G349" t="s">
        <v>6366</v>
      </c>
    </row>
    <row r="350" spans="1:7" x14ac:dyDescent="0.35">
      <c r="A350" t="s">
        <v>5704</v>
      </c>
      <c r="B350" t="s">
        <v>5326</v>
      </c>
      <c r="C350" t="s">
        <v>4559</v>
      </c>
      <c r="D350">
        <v>13.19</v>
      </c>
      <c r="E350" t="s">
        <v>5235</v>
      </c>
      <c r="F350" s="10" t="s">
        <v>6363</v>
      </c>
      <c r="G350" t="s">
        <v>74</v>
      </c>
    </row>
    <row r="351" spans="1:7" x14ac:dyDescent="0.35">
      <c r="A351" t="s">
        <v>5705</v>
      </c>
      <c r="B351" t="s">
        <v>5427</v>
      </c>
      <c r="C351" t="s">
        <v>4676</v>
      </c>
      <c r="D351">
        <v>18.149999999999999</v>
      </c>
      <c r="E351" t="s">
        <v>5198</v>
      </c>
      <c r="F351" s="10" t="s">
        <v>6363</v>
      </c>
      <c r="G351" t="s">
        <v>6366</v>
      </c>
    </row>
    <row r="352" spans="1:7" x14ac:dyDescent="0.35">
      <c r="A352" t="s">
        <v>5706</v>
      </c>
      <c r="B352" t="s">
        <v>5321</v>
      </c>
      <c r="C352" t="s">
        <v>5273</v>
      </c>
      <c r="D352">
        <v>33.33</v>
      </c>
      <c r="E352" t="s">
        <v>5198</v>
      </c>
      <c r="F352" s="10" t="s">
        <v>6362</v>
      </c>
      <c r="G352" t="s">
        <v>6365</v>
      </c>
    </row>
    <row r="353" spans="1:7" x14ac:dyDescent="0.35">
      <c r="A353" t="s">
        <v>5707</v>
      </c>
      <c r="B353" t="s">
        <v>5423</v>
      </c>
      <c r="C353" t="s">
        <v>5472</v>
      </c>
      <c r="D353">
        <v>37.15</v>
      </c>
      <c r="E353" t="s">
        <v>5196</v>
      </c>
      <c r="F353" s="10" t="s">
        <v>6362</v>
      </c>
      <c r="G353" t="s">
        <v>74</v>
      </c>
    </row>
    <row r="354" spans="1:7" x14ac:dyDescent="0.35">
      <c r="A354" t="s">
        <v>5708</v>
      </c>
      <c r="B354" t="s">
        <v>5345</v>
      </c>
      <c r="C354" t="s">
        <v>4720</v>
      </c>
      <c r="D354">
        <v>37.950000000000003</v>
      </c>
      <c r="E354" t="s">
        <v>5198</v>
      </c>
      <c r="F354" s="10" t="s">
        <v>6363</v>
      </c>
      <c r="G354" t="s">
        <v>71</v>
      </c>
    </row>
    <row r="355" spans="1:7" x14ac:dyDescent="0.35">
      <c r="A355" t="s">
        <v>5709</v>
      </c>
      <c r="B355" t="s">
        <v>5477</v>
      </c>
      <c r="C355" t="s">
        <v>5510</v>
      </c>
      <c r="D355">
        <v>19.79</v>
      </c>
      <c r="E355" t="s">
        <v>5198</v>
      </c>
      <c r="F355" s="10" t="s">
        <v>6363</v>
      </c>
      <c r="G355" t="s">
        <v>74</v>
      </c>
    </row>
    <row r="356" spans="1:7" x14ac:dyDescent="0.35">
      <c r="A356" t="s">
        <v>5710</v>
      </c>
      <c r="B356" t="s">
        <v>5272</v>
      </c>
      <c r="C356" t="s">
        <v>5173</v>
      </c>
      <c r="D356">
        <v>29.58</v>
      </c>
      <c r="E356" t="s">
        <v>5197</v>
      </c>
      <c r="F356" s="10" t="s">
        <v>6362</v>
      </c>
      <c r="G356" t="s">
        <v>6365</v>
      </c>
    </row>
    <row r="357" spans="1:7" x14ac:dyDescent="0.35">
      <c r="A357" t="s">
        <v>5711</v>
      </c>
      <c r="B357" t="s">
        <v>5258</v>
      </c>
      <c r="C357" t="s">
        <v>4764</v>
      </c>
      <c r="D357">
        <v>31.06</v>
      </c>
      <c r="E357" t="s">
        <v>5235</v>
      </c>
      <c r="F357" s="10" t="s">
        <v>6363</v>
      </c>
      <c r="G357" t="s">
        <v>74</v>
      </c>
    </row>
    <row r="358" spans="1:7" x14ac:dyDescent="0.35">
      <c r="A358" t="s">
        <v>5712</v>
      </c>
      <c r="B358" t="s">
        <v>5311</v>
      </c>
      <c r="C358" t="s">
        <v>5375</v>
      </c>
      <c r="D358">
        <v>14.98</v>
      </c>
      <c r="E358" t="s">
        <v>5198</v>
      </c>
      <c r="F358" s="10" t="s">
        <v>6363</v>
      </c>
      <c r="G358" t="s">
        <v>74</v>
      </c>
    </row>
    <row r="359" spans="1:7" x14ac:dyDescent="0.35">
      <c r="A359" t="s">
        <v>5713</v>
      </c>
      <c r="B359" t="s">
        <v>5583</v>
      </c>
      <c r="C359" t="s">
        <v>5254</v>
      </c>
      <c r="D359">
        <v>27.12</v>
      </c>
      <c r="E359" t="s">
        <v>5198</v>
      </c>
      <c r="F359" s="10" t="s">
        <v>6363</v>
      </c>
      <c r="G359" t="s">
        <v>74</v>
      </c>
    </row>
    <row r="360" spans="1:7" x14ac:dyDescent="0.35">
      <c r="A360" t="s">
        <v>5714</v>
      </c>
      <c r="B360" t="s">
        <v>5483</v>
      </c>
      <c r="C360" t="s">
        <v>5472</v>
      </c>
      <c r="D360">
        <v>34.270000000000003</v>
      </c>
      <c r="E360" t="s">
        <v>5196</v>
      </c>
      <c r="F360" s="10" t="s">
        <v>6362</v>
      </c>
      <c r="G360" t="s">
        <v>6365</v>
      </c>
    </row>
    <row r="361" spans="1:7" x14ac:dyDescent="0.35">
      <c r="A361" t="s">
        <v>5715</v>
      </c>
      <c r="B361" t="s">
        <v>5504</v>
      </c>
      <c r="C361" t="s">
        <v>5340</v>
      </c>
      <c r="D361">
        <v>35.520000000000003</v>
      </c>
      <c r="E361" t="s">
        <v>5198</v>
      </c>
      <c r="F361" s="10" t="s">
        <v>6362</v>
      </c>
      <c r="G361" t="s">
        <v>74</v>
      </c>
    </row>
    <row r="362" spans="1:7" x14ac:dyDescent="0.35">
      <c r="A362" t="s">
        <v>5716</v>
      </c>
      <c r="B362" t="s">
        <v>5227</v>
      </c>
      <c r="C362" t="s">
        <v>4714</v>
      </c>
      <c r="D362">
        <v>23.33</v>
      </c>
      <c r="E362" t="s">
        <v>5198</v>
      </c>
      <c r="F362" s="10" t="s">
        <v>6362</v>
      </c>
      <c r="G362" t="s">
        <v>74</v>
      </c>
    </row>
    <row r="363" spans="1:7" x14ac:dyDescent="0.35">
      <c r="A363" t="s">
        <v>5717</v>
      </c>
      <c r="B363" t="s">
        <v>5552</v>
      </c>
      <c r="C363" t="s">
        <v>5497</v>
      </c>
      <c r="D363">
        <v>11.94</v>
      </c>
      <c r="E363" t="s">
        <v>5198</v>
      </c>
      <c r="F363" s="10" t="s">
        <v>6362</v>
      </c>
      <c r="G363" t="s">
        <v>74</v>
      </c>
    </row>
    <row r="364" spans="1:7" x14ac:dyDescent="0.35">
      <c r="A364" t="s">
        <v>5718</v>
      </c>
      <c r="B364" t="s">
        <v>5413</v>
      </c>
      <c r="C364" t="s">
        <v>5634</v>
      </c>
      <c r="D364">
        <v>16.440000000000001</v>
      </c>
      <c r="E364" t="s">
        <v>5196</v>
      </c>
      <c r="F364" s="10" t="s">
        <v>6362</v>
      </c>
      <c r="G364" t="s">
        <v>6365</v>
      </c>
    </row>
    <row r="365" spans="1:7" x14ac:dyDescent="0.35">
      <c r="A365" t="s">
        <v>5719</v>
      </c>
      <c r="B365" t="s">
        <v>5258</v>
      </c>
      <c r="C365" t="s">
        <v>5319</v>
      </c>
      <c r="D365">
        <v>21.75</v>
      </c>
      <c r="E365" t="s">
        <v>5198</v>
      </c>
      <c r="F365" s="10" t="s">
        <v>6363</v>
      </c>
      <c r="G365" t="s">
        <v>74</v>
      </c>
    </row>
    <row r="366" spans="1:7" x14ac:dyDescent="0.35">
      <c r="A366" t="s">
        <v>5720</v>
      </c>
      <c r="B366" t="s">
        <v>5250</v>
      </c>
      <c r="C366" t="s">
        <v>4671</v>
      </c>
      <c r="D366">
        <v>21.97</v>
      </c>
      <c r="E366" t="s">
        <v>5235</v>
      </c>
      <c r="F366" s="10" t="s">
        <v>6362</v>
      </c>
      <c r="G366" t="s">
        <v>71</v>
      </c>
    </row>
    <row r="367" spans="1:7" x14ac:dyDescent="0.35">
      <c r="A367" t="s">
        <v>5721</v>
      </c>
      <c r="B367" t="s">
        <v>5423</v>
      </c>
      <c r="C367" t="s">
        <v>5230</v>
      </c>
      <c r="D367">
        <v>20.72</v>
      </c>
      <c r="E367" t="s">
        <v>5198</v>
      </c>
      <c r="F367" s="10" t="s">
        <v>6362</v>
      </c>
      <c r="G367" t="s">
        <v>71</v>
      </c>
    </row>
    <row r="368" spans="1:7" x14ac:dyDescent="0.35">
      <c r="A368" t="s">
        <v>5722</v>
      </c>
      <c r="B368" t="s">
        <v>5552</v>
      </c>
      <c r="C368" t="s">
        <v>5011</v>
      </c>
      <c r="D368">
        <v>22.05</v>
      </c>
      <c r="E368" t="s">
        <v>5197</v>
      </c>
      <c r="F368" s="10" t="s">
        <v>6362</v>
      </c>
      <c r="G368" t="s">
        <v>6365</v>
      </c>
    </row>
    <row r="369" spans="1:7" x14ac:dyDescent="0.35">
      <c r="A369" t="s">
        <v>5723</v>
      </c>
      <c r="B369" t="s">
        <v>5434</v>
      </c>
      <c r="C369" t="s">
        <v>5388</v>
      </c>
      <c r="D369">
        <v>28.28</v>
      </c>
      <c r="E369" t="s">
        <v>5199</v>
      </c>
      <c r="F369" s="10" t="s">
        <v>6363</v>
      </c>
      <c r="G369" t="s">
        <v>74</v>
      </c>
    </row>
    <row r="370" spans="1:7" x14ac:dyDescent="0.35">
      <c r="A370" t="s">
        <v>5724</v>
      </c>
      <c r="B370" t="s">
        <v>5201</v>
      </c>
      <c r="C370" t="s">
        <v>5222</v>
      </c>
      <c r="D370">
        <v>20.14</v>
      </c>
      <c r="E370" t="s">
        <v>5197</v>
      </c>
      <c r="F370" s="10" t="s">
        <v>6362</v>
      </c>
      <c r="G370" t="s">
        <v>74</v>
      </c>
    </row>
    <row r="371" spans="1:7" x14ac:dyDescent="0.35">
      <c r="A371" t="s">
        <v>5725</v>
      </c>
      <c r="B371" t="s">
        <v>5321</v>
      </c>
      <c r="C371" t="s">
        <v>4790</v>
      </c>
      <c r="D371">
        <v>20.58</v>
      </c>
      <c r="E371" t="s">
        <v>5198</v>
      </c>
      <c r="F371" s="10" t="s">
        <v>6362</v>
      </c>
      <c r="G371" t="s">
        <v>6366</v>
      </c>
    </row>
    <row r="372" spans="1:7" x14ac:dyDescent="0.35">
      <c r="A372" t="s">
        <v>5726</v>
      </c>
      <c r="B372" t="s">
        <v>5318</v>
      </c>
      <c r="C372" t="s">
        <v>5453</v>
      </c>
      <c r="D372">
        <v>31.12</v>
      </c>
      <c r="E372" t="s">
        <v>5198</v>
      </c>
      <c r="F372" s="10" t="s">
        <v>6362</v>
      </c>
      <c r="G372" t="s">
        <v>6365</v>
      </c>
    </row>
    <row r="373" spans="1:7" x14ac:dyDescent="0.35">
      <c r="A373" t="s">
        <v>5727</v>
      </c>
      <c r="B373" t="s">
        <v>5207</v>
      </c>
      <c r="C373" t="s">
        <v>5222</v>
      </c>
      <c r="D373">
        <v>33.85</v>
      </c>
      <c r="E373" t="s">
        <v>5198</v>
      </c>
      <c r="F373" s="10" t="s">
        <v>6363</v>
      </c>
      <c r="G373" t="s">
        <v>74</v>
      </c>
    </row>
    <row r="374" spans="1:7" x14ac:dyDescent="0.35">
      <c r="A374" t="s">
        <v>5728</v>
      </c>
      <c r="B374" t="s">
        <v>5281</v>
      </c>
      <c r="C374" t="s">
        <v>5555</v>
      </c>
      <c r="D374">
        <v>26.48</v>
      </c>
      <c r="E374" t="s">
        <v>5196</v>
      </c>
      <c r="F374" s="10" t="s">
        <v>6362</v>
      </c>
      <c r="G374" t="s">
        <v>71</v>
      </c>
    </row>
    <row r="375" spans="1:7" x14ac:dyDescent="0.35">
      <c r="A375" t="s">
        <v>5729</v>
      </c>
      <c r="B375" t="s">
        <v>5291</v>
      </c>
      <c r="C375" t="s">
        <v>5115</v>
      </c>
      <c r="D375">
        <v>12.16</v>
      </c>
      <c r="E375" t="s">
        <v>5197</v>
      </c>
      <c r="F375" s="10" t="s">
        <v>6363</v>
      </c>
      <c r="G375" t="s">
        <v>6365</v>
      </c>
    </row>
    <row r="376" spans="1:7" x14ac:dyDescent="0.35">
      <c r="A376" t="s">
        <v>5730</v>
      </c>
      <c r="B376" t="s">
        <v>5300</v>
      </c>
      <c r="C376" t="s">
        <v>5451</v>
      </c>
      <c r="D376">
        <v>21.58</v>
      </c>
      <c r="E376" t="s">
        <v>5198</v>
      </c>
      <c r="F376" s="10" t="s">
        <v>6362</v>
      </c>
      <c r="G376" t="s">
        <v>71</v>
      </c>
    </row>
    <row r="377" spans="1:7" x14ac:dyDescent="0.35">
      <c r="A377" t="s">
        <v>5731</v>
      </c>
      <c r="B377" t="s">
        <v>5411</v>
      </c>
      <c r="C377" t="s">
        <v>4764</v>
      </c>
      <c r="D377">
        <v>15.08</v>
      </c>
      <c r="E377" t="s">
        <v>5198</v>
      </c>
      <c r="F377" s="10" t="s">
        <v>6363</v>
      </c>
      <c r="G377" t="s">
        <v>74</v>
      </c>
    </row>
    <row r="378" spans="1:7" x14ac:dyDescent="0.35">
      <c r="A378" t="s">
        <v>5732</v>
      </c>
      <c r="B378" t="s">
        <v>5311</v>
      </c>
      <c r="C378" t="s">
        <v>5353</v>
      </c>
      <c r="D378">
        <v>16.41</v>
      </c>
      <c r="E378" t="s">
        <v>5196</v>
      </c>
      <c r="F378" s="10" t="s">
        <v>6363</v>
      </c>
      <c r="G378" t="s">
        <v>71</v>
      </c>
    </row>
    <row r="379" spans="1:7" x14ac:dyDescent="0.35">
      <c r="A379" t="s">
        <v>5733</v>
      </c>
      <c r="B379" t="s">
        <v>5288</v>
      </c>
      <c r="C379" t="s">
        <v>4693</v>
      </c>
      <c r="D379">
        <v>24.98</v>
      </c>
      <c r="E379" t="s">
        <v>5199</v>
      </c>
      <c r="F379" s="10" t="s">
        <v>6362</v>
      </c>
      <c r="G379" t="s">
        <v>6365</v>
      </c>
    </row>
    <row r="380" spans="1:7" x14ac:dyDescent="0.35">
      <c r="A380" t="s">
        <v>5734</v>
      </c>
      <c r="B380" t="s">
        <v>5295</v>
      </c>
      <c r="C380" t="s">
        <v>5735</v>
      </c>
      <c r="D380">
        <v>26.42</v>
      </c>
      <c r="E380" t="s">
        <v>5198</v>
      </c>
      <c r="F380" s="10" t="s">
        <v>6362</v>
      </c>
      <c r="G380" t="s">
        <v>74</v>
      </c>
    </row>
    <row r="381" spans="1:7" x14ac:dyDescent="0.35">
      <c r="A381" t="s">
        <v>5736</v>
      </c>
      <c r="B381" t="s">
        <v>5207</v>
      </c>
      <c r="C381" t="s">
        <v>4781</v>
      </c>
      <c r="D381">
        <v>16.3</v>
      </c>
      <c r="E381" t="s">
        <v>5197</v>
      </c>
      <c r="F381" s="10" t="s">
        <v>6362</v>
      </c>
      <c r="G381" t="s">
        <v>71</v>
      </c>
    </row>
    <row r="382" spans="1:7" x14ac:dyDescent="0.35">
      <c r="A382" t="s">
        <v>5737</v>
      </c>
      <c r="B382" t="s">
        <v>5413</v>
      </c>
      <c r="C382" t="s">
        <v>5597</v>
      </c>
      <c r="D382">
        <v>13.41</v>
      </c>
      <c r="E382" t="s">
        <v>5199</v>
      </c>
      <c r="F382" s="10" t="s">
        <v>6363</v>
      </c>
      <c r="G382" t="s">
        <v>6366</v>
      </c>
    </row>
    <row r="383" spans="1:7" x14ac:dyDescent="0.35">
      <c r="A383" t="s">
        <v>5738</v>
      </c>
      <c r="B383" t="s">
        <v>5250</v>
      </c>
      <c r="C383" t="s">
        <v>5202</v>
      </c>
      <c r="D383">
        <v>27.78</v>
      </c>
      <c r="E383" t="s">
        <v>5198</v>
      </c>
      <c r="F383" s="10" t="s">
        <v>6362</v>
      </c>
      <c r="G383" t="s">
        <v>71</v>
      </c>
    </row>
    <row r="384" spans="1:7" x14ac:dyDescent="0.35">
      <c r="A384" t="s">
        <v>5739</v>
      </c>
      <c r="B384" t="s">
        <v>5307</v>
      </c>
      <c r="C384" t="s">
        <v>5215</v>
      </c>
      <c r="D384">
        <v>25.55</v>
      </c>
      <c r="E384" t="s">
        <v>5197</v>
      </c>
      <c r="F384" s="10" t="s">
        <v>6363</v>
      </c>
      <c r="G384" t="s">
        <v>71</v>
      </c>
    </row>
    <row r="385" spans="1:7" x14ac:dyDescent="0.35">
      <c r="A385" t="s">
        <v>5740</v>
      </c>
      <c r="B385" t="s">
        <v>5318</v>
      </c>
      <c r="C385" t="s">
        <v>5365</v>
      </c>
      <c r="D385">
        <v>27.61</v>
      </c>
      <c r="E385" t="s">
        <v>5196</v>
      </c>
      <c r="F385" s="10" t="s">
        <v>6362</v>
      </c>
      <c r="G385" t="s">
        <v>6365</v>
      </c>
    </row>
    <row r="386" spans="1:7" x14ac:dyDescent="0.35">
      <c r="A386" t="s">
        <v>5741</v>
      </c>
      <c r="B386" t="s">
        <v>5242</v>
      </c>
      <c r="C386" t="s">
        <v>5406</v>
      </c>
      <c r="D386">
        <v>37.049999999999997</v>
      </c>
      <c r="E386" t="s">
        <v>5235</v>
      </c>
      <c r="F386" s="10" t="s">
        <v>6362</v>
      </c>
      <c r="G386" t="s">
        <v>6365</v>
      </c>
    </row>
    <row r="387" spans="1:7" x14ac:dyDescent="0.35">
      <c r="A387" t="s">
        <v>5742</v>
      </c>
      <c r="B387" t="s">
        <v>5288</v>
      </c>
      <c r="C387" t="s">
        <v>4697</v>
      </c>
      <c r="D387">
        <v>31.47</v>
      </c>
      <c r="E387" t="s">
        <v>5196</v>
      </c>
      <c r="F387" s="10" t="s">
        <v>6362</v>
      </c>
      <c r="G387" t="s">
        <v>71</v>
      </c>
    </row>
    <row r="388" spans="1:7" x14ac:dyDescent="0.35">
      <c r="A388" t="s">
        <v>5743</v>
      </c>
      <c r="B388" t="s">
        <v>5232</v>
      </c>
      <c r="C388" t="s">
        <v>5091</v>
      </c>
      <c r="D388">
        <v>29.14</v>
      </c>
      <c r="E388" t="s">
        <v>5199</v>
      </c>
      <c r="F388" s="10" t="s">
        <v>6362</v>
      </c>
      <c r="G388" t="s">
        <v>71</v>
      </c>
    </row>
    <row r="389" spans="1:7" x14ac:dyDescent="0.35">
      <c r="A389" t="s">
        <v>5744</v>
      </c>
      <c r="B389" t="s">
        <v>5253</v>
      </c>
      <c r="C389" t="s">
        <v>5502</v>
      </c>
      <c r="D389">
        <v>37.74</v>
      </c>
      <c r="E389" t="s">
        <v>5197</v>
      </c>
      <c r="F389" s="10" t="s">
        <v>6362</v>
      </c>
      <c r="G389" t="s">
        <v>6365</v>
      </c>
    </row>
    <row r="390" spans="1:7" x14ac:dyDescent="0.35">
      <c r="A390" t="s">
        <v>5745</v>
      </c>
      <c r="B390" t="s">
        <v>5411</v>
      </c>
      <c r="C390" t="s">
        <v>5245</v>
      </c>
      <c r="D390">
        <v>31.1</v>
      </c>
      <c r="E390" t="s">
        <v>5196</v>
      </c>
      <c r="F390" s="10" t="s">
        <v>6362</v>
      </c>
      <c r="G390" t="s">
        <v>6365</v>
      </c>
    </row>
    <row r="391" spans="1:7" x14ac:dyDescent="0.35">
      <c r="A391" t="s">
        <v>5746</v>
      </c>
      <c r="B391" t="s">
        <v>5405</v>
      </c>
      <c r="C391" t="s">
        <v>5747</v>
      </c>
      <c r="D391">
        <v>33.17</v>
      </c>
      <c r="E391" t="s">
        <v>5235</v>
      </c>
      <c r="F391" s="10" t="s">
        <v>6362</v>
      </c>
      <c r="G391" t="s">
        <v>74</v>
      </c>
    </row>
    <row r="392" spans="1:7" x14ac:dyDescent="0.35">
      <c r="A392" t="s">
        <v>5748</v>
      </c>
      <c r="B392" t="s">
        <v>5427</v>
      </c>
      <c r="C392" t="s">
        <v>4697</v>
      </c>
      <c r="D392">
        <v>33.31</v>
      </c>
      <c r="E392" t="s">
        <v>5197</v>
      </c>
      <c r="F392" s="10" t="s">
        <v>6362</v>
      </c>
      <c r="G392" t="s">
        <v>6365</v>
      </c>
    </row>
    <row r="393" spans="1:7" x14ac:dyDescent="0.35">
      <c r="A393" t="s">
        <v>5749</v>
      </c>
      <c r="B393" t="s">
        <v>5227</v>
      </c>
      <c r="C393" t="s">
        <v>5406</v>
      </c>
      <c r="D393">
        <v>20.18</v>
      </c>
      <c r="E393" t="s">
        <v>5235</v>
      </c>
      <c r="F393" s="10" t="s">
        <v>6362</v>
      </c>
      <c r="G393" t="s">
        <v>74</v>
      </c>
    </row>
    <row r="394" spans="1:7" x14ac:dyDescent="0.35">
      <c r="A394" t="s">
        <v>5750</v>
      </c>
      <c r="B394" t="s">
        <v>5405</v>
      </c>
      <c r="C394" t="s">
        <v>4897</v>
      </c>
      <c r="D394">
        <v>27.69</v>
      </c>
      <c r="E394" t="s">
        <v>5199</v>
      </c>
      <c r="F394" s="10" t="s">
        <v>6363</v>
      </c>
      <c r="G394" t="s">
        <v>6365</v>
      </c>
    </row>
    <row r="395" spans="1:7" x14ac:dyDescent="0.35">
      <c r="A395" t="s">
        <v>5751</v>
      </c>
      <c r="B395" t="s">
        <v>5552</v>
      </c>
      <c r="C395" t="s">
        <v>4559</v>
      </c>
      <c r="D395">
        <v>10.73</v>
      </c>
      <c r="E395" t="s">
        <v>5196</v>
      </c>
      <c r="F395" s="10" t="s">
        <v>6362</v>
      </c>
      <c r="G395" t="s">
        <v>71</v>
      </c>
    </row>
    <row r="396" spans="1:7" x14ac:dyDescent="0.35">
      <c r="A396" t="s">
        <v>5752</v>
      </c>
      <c r="B396" t="s">
        <v>5242</v>
      </c>
      <c r="C396" t="s">
        <v>5649</v>
      </c>
      <c r="D396">
        <v>19.71</v>
      </c>
      <c r="E396" t="s">
        <v>5197</v>
      </c>
      <c r="F396" s="10" t="s">
        <v>6363</v>
      </c>
      <c r="G396" t="s">
        <v>6365</v>
      </c>
    </row>
    <row r="397" spans="1:7" x14ac:dyDescent="0.35">
      <c r="A397" t="s">
        <v>5753</v>
      </c>
      <c r="B397" t="s">
        <v>5239</v>
      </c>
      <c r="C397" t="s">
        <v>4920</v>
      </c>
      <c r="D397">
        <v>36.89</v>
      </c>
      <c r="E397" t="s">
        <v>5199</v>
      </c>
      <c r="F397" s="10" t="s">
        <v>6362</v>
      </c>
      <c r="G397" t="s">
        <v>6365</v>
      </c>
    </row>
    <row r="398" spans="1:7" x14ac:dyDescent="0.35">
      <c r="A398" t="s">
        <v>5754</v>
      </c>
      <c r="B398" t="s">
        <v>5338</v>
      </c>
      <c r="C398" t="s">
        <v>5497</v>
      </c>
      <c r="D398">
        <v>17.18</v>
      </c>
      <c r="E398" t="s">
        <v>5235</v>
      </c>
      <c r="F398" s="10" t="s">
        <v>6362</v>
      </c>
      <c r="G398" t="s">
        <v>6366</v>
      </c>
    </row>
    <row r="399" spans="1:7" x14ac:dyDescent="0.35">
      <c r="A399" t="s">
        <v>5755</v>
      </c>
      <c r="B399" t="s">
        <v>5383</v>
      </c>
      <c r="C399" t="s">
        <v>5516</v>
      </c>
      <c r="D399">
        <v>31.87</v>
      </c>
      <c r="E399" t="s">
        <v>5198</v>
      </c>
      <c r="F399" s="10" t="s">
        <v>6362</v>
      </c>
      <c r="G399" t="s">
        <v>6365</v>
      </c>
    </row>
    <row r="400" spans="1:7" x14ac:dyDescent="0.35">
      <c r="A400" t="s">
        <v>5756</v>
      </c>
      <c r="B400" t="s">
        <v>5333</v>
      </c>
      <c r="C400" t="s">
        <v>4714</v>
      </c>
      <c r="D400">
        <v>14.81</v>
      </c>
      <c r="E400" t="s">
        <v>5199</v>
      </c>
      <c r="F400" s="10" t="s">
        <v>6363</v>
      </c>
      <c r="G400" t="s">
        <v>74</v>
      </c>
    </row>
    <row r="401" spans="1:7" x14ac:dyDescent="0.35">
      <c r="A401" t="s">
        <v>5757</v>
      </c>
      <c r="B401" t="s">
        <v>5300</v>
      </c>
      <c r="C401" t="s">
        <v>5758</v>
      </c>
      <c r="D401">
        <v>10.029999999999999</v>
      </c>
      <c r="E401" t="s">
        <v>5235</v>
      </c>
      <c r="F401" s="10" t="s">
        <v>6362</v>
      </c>
      <c r="G401" t="s">
        <v>6365</v>
      </c>
    </row>
    <row r="402" spans="1:7" x14ac:dyDescent="0.35">
      <c r="A402" t="s">
        <v>5759</v>
      </c>
      <c r="B402" t="s">
        <v>5221</v>
      </c>
      <c r="C402" t="s">
        <v>5359</v>
      </c>
      <c r="D402">
        <v>23.27</v>
      </c>
      <c r="E402" t="s">
        <v>5198</v>
      </c>
      <c r="F402" s="10" t="s">
        <v>6363</v>
      </c>
      <c r="G402" t="s">
        <v>71</v>
      </c>
    </row>
    <row r="403" spans="1:7" x14ac:dyDescent="0.35">
      <c r="A403" t="s">
        <v>5760</v>
      </c>
      <c r="B403" t="s">
        <v>5315</v>
      </c>
      <c r="C403" t="s">
        <v>5273</v>
      </c>
      <c r="D403">
        <v>39.409999999999997</v>
      </c>
      <c r="E403" t="s">
        <v>5196</v>
      </c>
      <c r="F403" s="10" t="s">
        <v>6362</v>
      </c>
      <c r="G403" t="s">
        <v>6365</v>
      </c>
    </row>
    <row r="404" spans="1:7" x14ac:dyDescent="0.35">
      <c r="A404" t="s">
        <v>5761</v>
      </c>
      <c r="B404" t="s">
        <v>5247</v>
      </c>
      <c r="C404" t="s">
        <v>5505</v>
      </c>
      <c r="D404">
        <v>20.420000000000002</v>
      </c>
      <c r="E404" t="s">
        <v>5197</v>
      </c>
      <c r="F404" s="10" t="s">
        <v>6363</v>
      </c>
      <c r="G404" t="s">
        <v>71</v>
      </c>
    </row>
    <row r="405" spans="1:7" x14ac:dyDescent="0.35">
      <c r="A405" t="s">
        <v>5762</v>
      </c>
      <c r="B405" t="s">
        <v>5628</v>
      </c>
      <c r="C405" t="s">
        <v>5418</v>
      </c>
      <c r="D405">
        <v>39.94</v>
      </c>
      <c r="E405" t="s">
        <v>5197</v>
      </c>
      <c r="F405" s="10" t="s">
        <v>6362</v>
      </c>
      <c r="G405" t="s">
        <v>6365</v>
      </c>
    </row>
    <row r="406" spans="1:7" x14ac:dyDescent="0.35">
      <c r="A406" t="s">
        <v>5763</v>
      </c>
      <c r="B406" t="s">
        <v>5293</v>
      </c>
      <c r="C406" t="s">
        <v>5502</v>
      </c>
      <c r="D406">
        <v>26.88</v>
      </c>
      <c r="E406" t="s">
        <v>5198</v>
      </c>
      <c r="F406" s="10" t="s">
        <v>6362</v>
      </c>
      <c r="G406" t="s">
        <v>6366</v>
      </c>
    </row>
    <row r="407" spans="1:7" x14ac:dyDescent="0.35">
      <c r="A407" t="s">
        <v>5764</v>
      </c>
      <c r="B407" t="s">
        <v>5281</v>
      </c>
      <c r="C407" t="s">
        <v>5499</v>
      </c>
      <c r="D407">
        <v>15.4</v>
      </c>
      <c r="E407" t="s">
        <v>5235</v>
      </c>
      <c r="F407" s="10" t="s">
        <v>6362</v>
      </c>
      <c r="G407" t="s">
        <v>6365</v>
      </c>
    </row>
    <row r="408" spans="1:7" x14ac:dyDescent="0.35">
      <c r="A408" t="s">
        <v>5765</v>
      </c>
      <c r="B408" t="s">
        <v>5302</v>
      </c>
      <c r="C408" t="s">
        <v>4671</v>
      </c>
      <c r="D408">
        <v>21.62</v>
      </c>
      <c r="E408" t="s">
        <v>5196</v>
      </c>
      <c r="F408" s="10" t="s">
        <v>6362</v>
      </c>
      <c r="G408" t="s">
        <v>74</v>
      </c>
    </row>
    <row r="409" spans="1:7" x14ac:dyDescent="0.35">
      <c r="A409" t="s">
        <v>5766</v>
      </c>
      <c r="B409" t="s">
        <v>5580</v>
      </c>
      <c r="C409" t="s">
        <v>5091</v>
      </c>
      <c r="D409">
        <v>39.39</v>
      </c>
      <c r="E409" t="s">
        <v>5235</v>
      </c>
      <c r="F409" s="10" t="s">
        <v>6362</v>
      </c>
      <c r="G409" t="s">
        <v>74</v>
      </c>
    </row>
    <row r="410" spans="1:7" x14ac:dyDescent="0.35">
      <c r="A410" t="s">
        <v>5767</v>
      </c>
      <c r="B410" t="s">
        <v>5390</v>
      </c>
      <c r="C410" t="s">
        <v>5448</v>
      </c>
      <c r="D410">
        <v>14.44</v>
      </c>
      <c r="E410" t="s">
        <v>5196</v>
      </c>
      <c r="F410" s="10" t="s">
        <v>6362</v>
      </c>
      <c r="G410" t="s">
        <v>6365</v>
      </c>
    </row>
    <row r="411" spans="1:7" x14ac:dyDescent="0.35">
      <c r="A411" t="s">
        <v>5768</v>
      </c>
      <c r="B411" t="s">
        <v>5291</v>
      </c>
      <c r="C411" t="s">
        <v>5586</v>
      </c>
      <c r="D411">
        <v>32.26</v>
      </c>
      <c r="E411" t="s">
        <v>5197</v>
      </c>
      <c r="F411" s="10" t="s">
        <v>6362</v>
      </c>
      <c r="G411" t="s">
        <v>6365</v>
      </c>
    </row>
    <row r="412" spans="1:7" x14ac:dyDescent="0.35">
      <c r="A412" t="s">
        <v>5769</v>
      </c>
      <c r="B412" t="s">
        <v>5272</v>
      </c>
      <c r="C412" t="s">
        <v>5586</v>
      </c>
      <c r="D412">
        <v>38</v>
      </c>
      <c r="E412" t="s">
        <v>5235</v>
      </c>
      <c r="F412" s="10" t="s">
        <v>6362</v>
      </c>
      <c r="G412" t="s">
        <v>6366</v>
      </c>
    </row>
    <row r="413" spans="1:7" x14ac:dyDescent="0.35">
      <c r="A413" t="s">
        <v>5770</v>
      </c>
      <c r="B413" t="s">
        <v>5207</v>
      </c>
      <c r="C413" t="s">
        <v>4897</v>
      </c>
      <c r="D413">
        <v>26.32</v>
      </c>
      <c r="E413" t="s">
        <v>5196</v>
      </c>
      <c r="F413" s="10" t="s">
        <v>6363</v>
      </c>
      <c r="G413" t="s">
        <v>74</v>
      </c>
    </row>
    <row r="414" spans="1:7" x14ac:dyDescent="0.35">
      <c r="A414" t="s">
        <v>5771</v>
      </c>
      <c r="B414" t="s">
        <v>5272</v>
      </c>
      <c r="C414" t="s">
        <v>5409</v>
      </c>
      <c r="D414">
        <v>29.15</v>
      </c>
      <c r="E414" t="s">
        <v>5197</v>
      </c>
      <c r="F414" s="10" t="s">
        <v>6363</v>
      </c>
      <c r="G414" t="s">
        <v>74</v>
      </c>
    </row>
    <row r="415" spans="1:7" x14ac:dyDescent="0.35">
      <c r="A415" t="s">
        <v>5772</v>
      </c>
      <c r="B415" t="s">
        <v>5328</v>
      </c>
      <c r="C415" t="s">
        <v>5597</v>
      </c>
      <c r="D415">
        <v>11.96</v>
      </c>
      <c r="E415" t="s">
        <v>5196</v>
      </c>
      <c r="F415" s="10" t="s">
        <v>6363</v>
      </c>
      <c r="G415" t="s">
        <v>6365</v>
      </c>
    </row>
    <row r="416" spans="1:7" x14ac:dyDescent="0.35">
      <c r="A416" t="s">
        <v>5773</v>
      </c>
      <c r="B416" t="s">
        <v>5311</v>
      </c>
      <c r="C416" t="s">
        <v>4915</v>
      </c>
      <c r="D416">
        <v>20.62</v>
      </c>
      <c r="E416" t="s">
        <v>5197</v>
      </c>
      <c r="F416" s="10" t="s">
        <v>6363</v>
      </c>
      <c r="G416" t="s">
        <v>6365</v>
      </c>
    </row>
    <row r="417" spans="1:7" x14ac:dyDescent="0.35">
      <c r="A417" t="s">
        <v>5774</v>
      </c>
      <c r="B417" t="s">
        <v>5318</v>
      </c>
      <c r="C417" t="s">
        <v>5365</v>
      </c>
      <c r="D417">
        <v>19.48</v>
      </c>
      <c r="E417" t="s">
        <v>5198</v>
      </c>
      <c r="F417" s="10" t="s">
        <v>6363</v>
      </c>
      <c r="G417" t="s">
        <v>6365</v>
      </c>
    </row>
    <row r="418" spans="1:7" x14ac:dyDescent="0.35">
      <c r="A418" t="s">
        <v>5775</v>
      </c>
      <c r="B418" t="s">
        <v>5239</v>
      </c>
      <c r="C418" t="s">
        <v>5334</v>
      </c>
      <c r="D418">
        <v>31.6</v>
      </c>
      <c r="E418" t="s">
        <v>5235</v>
      </c>
      <c r="F418" s="10" t="s">
        <v>6362</v>
      </c>
      <c r="G418" t="s">
        <v>74</v>
      </c>
    </row>
    <row r="419" spans="1:7" x14ac:dyDescent="0.35">
      <c r="A419" t="s">
        <v>5776</v>
      </c>
      <c r="B419" t="s">
        <v>5455</v>
      </c>
      <c r="C419" t="s">
        <v>5340</v>
      </c>
      <c r="D419">
        <v>26.7</v>
      </c>
      <c r="E419" t="s">
        <v>5199</v>
      </c>
      <c r="F419" s="10" t="s">
        <v>6363</v>
      </c>
      <c r="G419" t="s">
        <v>6366</v>
      </c>
    </row>
    <row r="420" spans="1:7" x14ac:dyDescent="0.35">
      <c r="A420" t="s">
        <v>5777</v>
      </c>
      <c r="B420" t="s">
        <v>5440</v>
      </c>
      <c r="C420" t="s">
        <v>4856</v>
      </c>
      <c r="D420">
        <v>14.05</v>
      </c>
      <c r="E420" t="s">
        <v>5197</v>
      </c>
      <c r="F420" s="10" t="s">
        <v>6363</v>
      </c>
      <c r="G420" t="s">
        <v>6365</v>
      </c>
    </row>
    <row r="421" spans="1:7" x14ac:dyDescent="0.35">
      <c r="A421" t="s">
        <v>5778</v>
      </c>
      <c r="B421" t="s">
        <v>5474</v>
      </c>
      <c r="C421" t="s">
        <v>5409</v>
      </c>
      <c r="D421">
        <v>11.4</v>
      </c>
      <c r="E421" t="s">
        <v>5197</v>
      </c>
      <c r="F421" s="10" t="s">
        <v>6362</v>
      </c>
      <c r="G421" t="s">
        <v>6365</v>
      </c>
    </row>
    <row r="422" spans="1:7" x14ac:dyDescent="0.35">
      <c r="A422" t="s">
        <v>5779</v>
      </c>
      <c r="B422" t="s">
        <v>5401</v>
      </c>
      <c r="C422" t="s">
        <v>5228</v>
      </c>
      <c r="D422">
        <v>18.89</v>
      </c>
      <c r="E422" t="s">
        <v>5198</v>
      </c>
      <c r="F422" s="10" t="s">
        <v>6363</v>
      </c>
      <c r="G422" t="s">
        <v>6365</v>
      </c>
    </row>
    <row r="423" spans="1:7" x14ac:dyDescent="0.35">
      <c r="A423" t="s">
        <v>5780</v>
      </c>
      <c r="B423" t="s">
        <v>5250</v>
      </c>
      <c r="C423" t="s">
        <v>4697</v>
      </c>
      <c r="D423">
        <v>19.36</v>
      </c>
      <c r="E423" t="s">
        <v>5199</v>
      </c>
      <c r="F423" s="10" t="s">
        <v>6363</v>
      </c>
      <c r="G423" t="s">
        <v>74</v>
      </c>
    </row>
    <row r="424" spans="1:7" x14ac:dyDescent="0.35">
      <c r="A424" t="s">
        <v>5781</v>
      </c>
      <c r="B424" t="s">
        <v>5212</v>
      </c>
      <c r="C424" t="s">
        <v>5261</v>
      </c>
      <c r="D424">
        <v>39.409999999999997</v>
      </c>
      <c r="E424" t="s">
        <v>5198</v>
      </c>
      <c r="F424" s="10" t="s">
        <v>6363</v>
      </c>
      <c r="G424" t="s">
        <v>74</v>
      </c>
    </row>
    <row r="425" spans="1:7" x14ac:dyDescent="0.35">
      <c r="A425" t="s">
        <v>5782</v>
      </c>
      <c r="B425" t="s">
        <v>5232</v>
      </c>
      <c r="C425" t="s">
        <v>4897</v>
      </c>
      <c r="D425">
        <v>33.86</v>
      </c>
      <c r="E425" t="s">
        <v>5196</v>
      </c>
      <c r="F425" s="10" t="s">
        <v>6363</v>
      </c>
      <c r="G425" t="s">
        <v>6365</v>
      </c>
    </row>
    <row r="426" spans="1:7" x14ac:dyDescent="0.35">
      <c r="A426" t="s">
        <v>5783</v>
      </c>
      <c r="B426" t="s">
        <v>5307</v>
      </c>
      <c r="C426" t="s">
        <v>5115</v>
      </c>
      <c r="D426">
        <v>19</v>
      </c>
      <c r="E426" t="s">
        <v>5197</v>
      </c>
      <c r="F426" s="10" t="s">
        <v>6363</v>
      </c>
      <c r="G426" t="s">
        <v>74</v>
      </c>
    </row>
    <row r="427" spans="1:7" x14ac:dyDescent="0.35">
      <c r="A427" t="s">
        <v>5784</v>
      </c>
      <c r="B427" t="s">
        <v>5221</v>
      </c>
      <c r="C427" t="s">
        <v>5273</v>
      </c>
      <c r="D427">
        <v>11.62</v>
      </c>
      <c r="E427" t="s">
        <v>5198</v>
      </c>
      <c r="F427" s="10" t="s">
        <v>6363</v>
      </c>
      <c r="G427" t="s">
        <v>74</v>
      </c>
    </row>
    <row r="428" spans="1:7" x14ac:dyDescent="0.35">
      <c r="A428" t="s">
        <v>5785</v>
      </c>
      <c r="B428" t="s">
        <v>5201</v>
      </c>
      <c r="C428" t="s">
        <v>5202</v>
      </c>
      <c r="D428">
        <v>35.32</v>
      </c>
      <c r="E428" t="s">
        <v>5196</v>
      </c>
      <c r="F428" s="10" t="s">
        <v>6362</v>
      </c>
      <c r="G428" t="s">
        <v>6366</v>
      </c>
    </row>
    <row r="429" spans="1:7" x14ac:dyDescent="0.35">
      <c r="A429" t="s">
        <v>5786</v>
      </c>
      <c r="B429" t="s">
        <v>5267</v>
      </c>
      <c r="C429" t="s">
        <v>5115</v>
      </c>
      <c r="D429">
        <v>16.239999999999998</v>
      </c>
      <c r="E429" t="s">
        <v>5199</v>
      </c>
      <c r="F429" s="10" t="s">
        <v>6362</v>
      </c>
      <c r="G429" t="s">
        <v>74</v>
      </c>
    </row>
    <row r="430" spans="1:7" x14ac:dyDescent="0.35">
      <c r="A430" t="s">
        <v>5787</v>
      </c>
      <c r="B430" t="s">
        <v>5285</v>
      </c>
      <c r="C430" t="s">
        <v>5399</v>
      </c>
      <c r="D430">
        <v>17.7</v>
      </c>
      <c r="E430" t="s">
        <v>5235</v>
      </c>
      <c r="F430" s="10" t="s">
        <v>6362</v>
      </c>
      <c r="G430" t="s">
        <v>74</v>
      </c>
    </row>
    <row r="431" spans="1:7" x14ac:dyDescent="0.35">
      <c r="A431" t="s">
        <v>5788</v>
      </c>
      <c r="B431" t="s">
        <v>5212</v>
      </c>
      <c r="C431" t="s">
        <v>5502</v>
      </c>
      <c r="D431">
        <v>34.200000000000003</v>
      </c>
      <c r="E431" t="s">
        <v>5235</v>
      </c>
      <c r="F431" s="10" t="s">
        <v>6362</v>
      </c>
      <c r="G431" t="s">
        <v>6365</v>
      </c>
    </row>
    <row r="432" spans="1:7" x14ac:dyDescent="0.35">
      <c r="A432" t="s">
        <v>5789</v>
      </c>
      <c r="B432" t="s">
        <v>5293</v>
      </c>
      <c r="C432" t="s">
        <v>5268</v>
      </c>
      <c r="D432">
        <v>11.3</v>
      </c>
      <c r="E432" t="s">
        <v>5199</v>
      </c>
      <c r="F432" s="10" t="s">
        <v>6363</v>
      </c>
      <c r="G432" t="s">
        <v>6365</v>
      </c>
    </row>
    <row r="433" spans="1:7" x14ac:dyDescent="0.35">
      <c r="A433" t="s">
        <v>5790</v>
      </c>
      <c r="B433" t="s">
        <v>5302</v>
      </c>
      <c r="C433" t="s">
        <v>5472</v>
      </c>
      <c r="D433">
        <v>16.489999999999998</v>
      </c>
      <c r="E433" t="s">
        <v>5235</v>
      </c>
      <c r="F433" s="10" t="s">
        <v>6362</v>
      </c>
      <c r="G433" t="s">
        <v>6365</v>
      </c>
    </row>
    <row r="434" spans="1:7" x14ac:dyDescent="0.35">
      <c r="A434" t="s">
        <v>5791</v>
      </c>
      <c r="B434" t="s">
        <v>5488</v>
      </c>
      <c r="C434" t="s">
        <v>5472</v>
      </c>
      <c r="D434">
        <v>13.85</v>
      </c>
      <c r="E434" t="s">
        <v>5235</v>
      </c>
      <c r="F434" s="10" t="s">
        <v>6363</v>
      </c>
      <c r="G434" t="s">
        <v>6365</v>
      </c>
    </row>
    <row r="435" spans="1:7" x14ac:dyDescent="0.35">
      <c r="A435" t="s">
        <v>5792</v>
      </c>
      <c r="B435" t="s">
        <v>5276</v>
      </c>
      <c r="C435" t="s">
        <v>5054</v>
      </c>
      <c r="D435">
        <v>29.02</v>
      </c>
      <c r="E435" t="s">
        <v>5199</v>
      </c>
      <c r="F435" s="10" t="s">
        <v>6363</v>
      </c>
      <c r="G435" t="s">
        <v>71</v>
      </c>
    </row>
    <row r="436" spans="1:7" x14ac:dyDescent="0.35">
      <c r="A436" t="s">
        <v>5793</v>
      </c>
      <c r="B436" t="s">
        <v>5258</v>
      </c>
      <c r="C436" t="s">
        <v>5270</v>
      </c>
      <c r="D436">
        <v>21.6</v>
      </c>
      <c r="E436" t="s">
        <v>5196</v>
      </c>
      <c r="F436" s="10" t="s">
        <v>6363</v>
      </c>
      <c r="G436" t="s">
        <v>6365</v>
      </c>
    </row>
    <row r="437" spans="1:7" x14ac:dyDescent="0.35">
      <c r="A437" t="s">
        <v>5794</v>
      </c>
      <c r="B437" t="s">
        <v>5244</v>
      </c>
      <c r="C437" t="s">
        <v>5205</v>
      </c>
      <c r="D437">
        <v>30.41</v>
      </c>
      <c r="E437" t="s">
        <v>5235</v>
      </c>
      <c r="F437" s="10" t="s">
        <v>6362</v>
      </c>
      <c r="G437" t="s">
        <v>6365</v>
      </c>
    </row>
    <row r="438" spans="1:7" x14ac:dyDescent="0.35">
      <c r="A438" t="s">
        <v>5795</v>
      </c>
      <c r="B438" t="s">
        <v>5239</v>
      </c>
      <c r="C438" t="s">
        <v>5516</v>
      </c>
      <c r="D438">
        <v>38.9</v>
      </c>
      <c r="E438" t="s">
        <v>5235</v>
      </c>
      <c r="F438" s="10" t="s">
        <v>6363</v>
      </c>
      <c r="G438" t="s">
        <v>74</v>
      </c>
    </row>
    <row r="439" spans="1:7" x14ac:dyDescent="0.35">
      <c r="A439" t="s">
        <v>5796</v>
      </c>
      <c r="B439" t="s">
        <v>5336</v>
      </c>
      <c r="C439" t="s">
        <v>5312</v>
      </c>
      <c r="D439">
        <v>38.090000000000003</v>
      </c>
      <c r="E439" t="s">
        <v>5198</v>
      </c>
      <c r="F439" s="10" t="s">
        <v>6362</v>
      </c>
      <c r="G439" t="s">
        <v>6366</v>
      </c>
    </row>
    <row r="440" spans="1:7" x14ac:dyDescent="0.35">
      <c r="A440" t="s">
        <v>5797</v>
      </c>
      <c r="B440" t="s">
        <v>5427</v>
      </c>
      <c r="C440" t="s">
        <v>5555</v>
      </c>
      <c r="D440">
        <v>16.77</v>
      </c>
      <c r="E440" t="s">
        <v>5197</v>
      </c>
      <c r="F440" s="10" t="s">
        <v>6363</v>
      </c>
      <c r="G440" t="s">
        <v>6366</v>
      </c>
    </row>
    <row r="441" spans="1:7" x14ac:dyDescent="0.35">
      <c r="A441" t="s">
        <v>5798</v>
      </c>
      <c r="B441" t="s">
        <v>5537</v>
      </c>
      <c r="C441" t="s">
        <v>5451</v>
      </c>
      <c r="D441">
        <v>15.75</v>
      </c>
      <c r="E441" t="s">
        <v>5196</v>
      </c>
      <c r="F441" s="10" t="s">
        <v>6363</v>
      </c>
      <c r="G441" t="s">
        <v>6365</v>
      </c>
    </row>
    <row r="442" spans="1:7" x14ac:dyDescent="0.35">
      <c r="A442" t="s">
        <v>5799</v>
      </c>
      <c r="B442" t="s">
        <v>5347</v>
      </c>
      <c r="C442" t="s">
        <v>4856</v>
      </c>
      <c r="D442">
        <v>14.05</v>
      </c>
      <c r="E442" t="s">
        <v>5196</v>
      </c>
      <c r="F442" s="10" t="s">
        <v>6362</v>
      </c>
      <c r="G442" t="s">
        <v>71</v>
      </c>
    </row>
    <row r="443" spans="1:7" x14ac:dyDescent="0.35">
      <c r="A443" t="s">
        <v>5800</v>
      </c>
      <c r="B443" t="s">
        <v>5234</v>
      </c>
      <c r="C443" t="s">
        <v>5173</v>
      </c>
      <c r="D443">
        <v>14.69</v>
      </c>
      <c r="E443" t="s">
        <v>5235</v>
      </c>
      <c r="F443" s="10" t="s">
        <v>6363</v>
      </c>
      <c r="G443" t="s">
        <v>6366</v>
      </c>
    </row>
    <row r="444" spans="1:7" x14ac:dyDescent="0.35">
      <c r="A444" t="s">
        <v>5801</v>
      </c>
      <c r="B444" t="s">
        <v>5580</v>
      </c>
      <c r="C444" t="s">
        <v>5340</v>
      </c>
      <c r="D444">
        <v>14.16</v>
      </c>
      <c r="E444" t="s">
        <v>5196</v>
      </c>
      <c r="F444" s="10" t="s">
        <v>6362</v>
      </c>
      <c r="G444" t="s">
        <v>6365</v>
      </c>
    </row>
    <row r="445" spans="1:7" x14ac:dyDescent="0.35">
      <c r="A445" t="s">
        <v>5802</v>
      </c>
      <c r="B445" t="s">
        <v>5423</v>
      </c>
      <c r="C445" t="s">
        <v>5251</v>
      </c>
      <c r="D445">
        <v>10.44</v>
      </c>
      <c r="E445" t="s">
        <v>5235</v>
      </c>
      <c r="F445" s="10" t="s">
        <v>6363</v>
      </c>
      <c r="G445" t="s">
        <v>6365</v>
      </c>
    </row>
    <row r="446" spans="1:7" x14ac:dyDescent="0.35">
      <c r="A446" t="s">
        <v>5803</v>
      </c>
      <c r="B446" t="s">
        <v>5609</v>
      </c>
      <c r="C446" t="s">
        <v>4804</v>
      </c>
      <c r="D446">
        <v>13.56</v>
      </c>
      <c r="E446" t="s">
        <v>5235</v>
      </c>
      <c r="F446" s="10" t="s">
        <v>6363</v>
      </c>
      <c r="G446" t="s">
        <v>6365</v>
      </c>
    </row>
    <row r="447" spans="1:7" x14ac:dyDescent="0.35">
      <c r="A447" t="s">
        <v>5804</v>
      </c>
      <c r="B447" t="s">
        <v>5401</v>
      </c>
      <c r="C447" t="s">
        <v>4915</v>
      </c>
      <c r="D447">
        <v>20.78</v>
      </c>
      <c r="E447" t="s">
        <v>5199</v>
      </c>
      <c r="F447" s="10" t="s">
        <v>6363</v>
      </c>
      <c r="G447" t="s">
        <v>6365</v>
      </c>
    </row>
    <row r="448" spans="1:7" x14ac:dyDescent="0.35">
      <c r="A448" t="s">
        <v>5805</v>
      </c>
      <c r="B448" t="s">
        <v>5326</v>
      </c>
      <c r="C448" t="s">
        <v>4773</v>
      </c>
      <c r="D448">
        <v>28.09</v>
      </c>
      <c r="E448" t="s">
        <v>5196</v>
      </c>
      <c r="F448" s="10" t="s">
        <v>6362</v>
      </c>
      <c r="G448" t="s">
        <v>6365</v>
      </c>
    </row>
    <row r="449" spans="1:7" x14ac:dyDescent="0.35">
      <c r="A449" t="s">
        <v>5806</v>
      </c>
      <c r="B449" t="s">
        <v>5592</v>
      </c>
      <c r="C449" t="s">
        <v>4693</v>
      </c>
      <c r="D449">
        <v>29.38</v>
      </c>
      <c r="E449" t="s">
        <v>5198</v>
      </c>
      <c r="F449" s="10" t="s">
        <v>6363</v>
      </c>
      <c r="G449" t="s">
        <v>6365</v>
      </c>
    </row>
    <row r="450" spans="1:7" x14ac:dyDescent="0.35">
      <c r="A450" t="s">
        <v>5807</v>
      </c>
      <c r="B450" t="s">
        <v>5300</v>
      </c>
      <c r="C450" t="s">
        <v>5215</v>
      </c>
      <c r="D450">
        <v>20.84</v>
      </c>
      <c r="E450" t="s">
        <v>5199</v>
      </c>
      <c r="F450" s="10" t="s">
        <v>6362</v>
      </c>
      <c r="G450" t="s">
        <v>74</v>
      </c>
    </row>
    <row r="451" spans="1:7" x14ac:dyDescent="0.35">
      <c r="A451" t="s">
        <v>5808</v>
      </c>
      <c r="B451" t="s">
        <v>5244</v>
      </c>
      <c r="C451" t="s">
        <v>5527</v>
      </c>
      <c r="D451">
        <v>35.33</v>
      </c>
      <c r="E451" t="s">
        <v>5235</v>
      </c>
      <c r="F451" s="10" t="s">
        <v>6362</v>
      </c>
      <c r="G451" t="s">
        <v>6365</v>
      </c>
    </row>
    <row r="452" spans="1:7" x14ac:dyDescent="0.35">
      <c r="A452" t="s">
        <v>5809</v>
      </c>
      <c r="B452" t="s">
        <v>5321</v>
      </c>
      <c r="C452" t="s">
        <v>5011</v>
      </c>
      <c r="D452">
        <v>11.96</v>
      </c>
      <c r="E452" t="s">
        <v>5198</v>
      </c>
      <c r="F452" s="10" t="s">
        <v>6362</v>
      </c>
      <c r="G452" t="s">
        <v>74</v>
      </c>
    </row>
    <row r="453" spans="1:7" x14ac:dyDescent="0.35">
      <c r="A453" t="s">
        <v>5810</v>
      </c>
      <c r="B453" t="s">
        <v>5413</v>
      </c>
      <c r="C453" t="s">
        <v>5634</v>
      </c>
      <c r="D453">
        <v>20.09</v>
      </c>
      <c r="E453" t="s">
        <v>5235</v>
      </c>
      <c r="F453" s="10" t="s">
        <v>6363</v>
      </c>
      <c r="G453" t="s">
        <v>6365</v>
      </c>
    </row>
    <row r="454" spans="1:7" x14ac:dyDescent="0.35">
      <c r="A454" t="s">
        <v>5811</v>
      </c>
      <c r="B454" t="s">
        <v>5234</v>
      </c>
      <c r="C454" t="s">
        <v>5399</v>
      </c>
      <c r="D454">
        <v>20.88</v>
      </c>
      <c r="E454" t="s">
        <v>5197</v>
      </c>
      <c r="F454" s="10" t="s">
        <v>6362</v>
      </c>
      <c r="G454" t="s">
        <v>6365</v>
      </c>
    </row>
    <row r="455" spans="1:7" x14ac:dyDescent="0.35">
      <c r="A455" t="s">
        <v>5812</v>
      </c>
      <c r="B455" t="s">
        <v>5242</v>
      </c>
      <c r="C455" t="s">
        <v>5353</v>
      </c>
      <c r="D455">
        <v>31.78</v>
      </c>
      <c r="E455" t="s">
        <v>5198</v>
      </c>
      <c r="F455" s="10" t="s">
        <v>6362</v>
      </c>
      <c r="G455" t="s">
        <v>6365</v>
      </c>
    </row>
    <row r="456" spans="1:7" x14ac:dyDescent="0.35">
      <c r="A456" t="s">
        <v>5813</v>
      </c>
      <c r="B456" t="s">
        <v>5300</v>
      </c>
      <c r="C456" t="s">
        <v>5225</v>
      </c>
      <c r="D456">
        <v>14.91</v>
      </c>
      <c r="E456" t="s">
        <v>5198</v>
      </c>
      <c r="F456" s="10" t="s">
        <v>6363</v>
      </c>
      <c r="G456" t="s">
        <v>6365</v>
      </c>
    </row>
    <row r="457" spans="1:7" x14ac:dyDescent="0.35">
      <c r="A457" t="s">
        <v>5814</v>
      </c>
      <c r="B457" t="s">
        <v>5488</v>
      </c>
      <c r="C457" t="s">
        <v>5597</v>
      </c>
      <c r="D457">
        <v>37.11</v>
      </c>
      <c r="E457" t="s">
        <v>5198</v>
      </c>
      <c r="F457" s="10" t="s">
        <v>6363</v>
      </c>
      <c r="G457" t="s">
        <v>6366</v>
      </c>
    </row>
    <row r="458" spans="1:7" x14ac:dyDescent="0.35">
      <c r="A458" t="s">
        <v>5815</v>
      </c>
      <c r="B458" t="s">
        <v>5204</v>
      </c>
      <c r="C458" t="s">
        <v>5586</v>
      </c>
      <c r="D458">
        <v>12.24</v>
      </c>
      <c r="E458" t="s">
        <v>5197</v>
      </c>
      <c r="F458" s="10" t="s">
        <v>6363</v>
      </c>
      <c r="G458" t="s">
        <v>71</v>
      </c>
    </row>
    <row r="459" spans="1:7" x14ac:dyDescent="0.35">
      <c r="A459" t="s">
        <v>5816</v>
      </c>
      <c r="B459" t="s">
        <v>5219</v>
      </c>
      <c r="C459" t="s">
        <v>5296</v>
      </c>
      <c r="D459">
        <v>36.630000000000003</v>
      </c>
      <c r="E459" t="s">
        <v>5198</v>
      </c>
      <c r="F459" s="10" t="s">
        <v>6362</v>
      </c>
      <c r="G459" t="s">
        <v>6365</v>
      </c>
    </row>
    <row r="460" spans="1:7" x14ac:dyDescent="0.35">
      <c r="A460" t="s">
        <v>5817</v>
      </c>
      <c r="B460" t="s">
        <v>5318</v>
      </c>
      <c r="C460" t="s">
        <v>5319</v>
      </c>
      <c r="D460">
        <v>19.14</v>
      </c>
      <c r="E460" t="s">
        <v>5197</v>
      </c>
      <c r="F460" s="10" t="s">
        <v>6363</v>
      </c>
      <c r="G460" t="s">
        <v>6365</v>
      </c>
    </row>
    <row r="461" spans="1:7" x14ac:dyDescent="0.35">
      <c r="A461" t="s">
        <v>5818</v>
      </c>
      <c r="B461" t="s">
        <v>5434</v>
      </c>
      <c r="C461" t="s">
        <v>5091</v>
      </c>
      <c r="D461">
        <v>33.81</v>
      </c>
      <c r="E461" t="s">
        <v>5198</v>
      </c>
      <c r="F461" s="10" t="s">
        <v>6362</v>
      </c>
      <c r="G461" t="s">
        <v>74</v>
      </c>
    </row>
    <row r="462" spans="1:7" x14ac:dyDescent="0.35">
      <c r="A462" t="s">
        <v>5819</v>
      </c>
      <c r="B462" t="s">
        <v>5589</v>
      </c>
      <c r="C462" t="s">
        <v>5296</v>
      </c>
      <c r="D462">
        <v>21.7</v>
      </c>
      <c r="E462" t="s">
        <v>5198</v>
      </c>
      <c r="F462" s="10" t="s">
        <v>6363</v>
      </c>
      <c r="G462" t="s">
        <v>6365</v>
      </c>
    </row>
    <row r="463" spans="1:7" x14ac:dyDescent="0.35">
      <c r="A463" t="s">
        <v>5820</v>
      </c>
      <c r="B463" t="s">
        <v>5338</v>
      </c>
      <c r="C463" t="s">
        <v>4790</v>
      </c>
      <c r="D463">
        <v>38.4</v>
      </c>
      <c r="E463" t="s">
        <v>5199</v>
      </c>
      <c r="F463" s="10" t="s">
        <v>6363</v>
      </c>
      <c r="G463" t="s">
        <v>71</v>
      </c>
    </row>
    <row r="464" spans="1:7" x14ac:dyDescent="0.35">
      <c r="A464" t="s">
        <v>5821</v>
      </c>
      <c r="B464" t="s">
        <v>5434</v>
      </c>
      <c r="C464" t="s">
        <v>5351</v>
      </c>
      <c r="D464">
        <v>32.270000000000003</v>
      </c>
      <c r="E464" t="s">
        <v>5198</v>
      </c>
      <c r="F464" s="10" t="s">
        <v>6363</v>
      </c>
      <c r="G464" t="s">
        <v>71</v>
      </c>
    </row>
    <row r="465" spans="1:7" x14ac:dyDescent="0.35">
      <c r="A465" t="s">
        <v>5822</v>
      </c>
      <c r="B465" t="s">
        <v>5212</v>
      </c>
      <c r="C465" t="s">
        <v>5472</v>
      </c>
      <c r="D465">
        <v>35.049999999999997</v>
      </c>
      <c r="E465" t="s">
        <v>5199</v>
      </c>
      <c r="F465" s="10" t="s">
        <v>6362</v>
      </c>
      <c r="G465" t="s">
        <v>71</v>
      </c>
    </row>
    <row r="466" spans="1:7" x14ac:dyDescent="0.35">
      <c r="A466" t="s">
        <v>5823</v>
      </c>
      <c r="B466" t="s">
        <v>5358</v>
      </c>
      <c r="C466" t="s">
        <v>4764</v>
      </c>
      <c r="D466">
        <v>12.87</v>
      </c>
      <c r="E466" t="s">
        <v>5199</v>
      </c>
      <c r="F466" s="10" t="s">
        <v>6363</v>
      </c>
      <c r="G466" t="s">
        <v>6365</v>
      </c>
    </row>
    <row r="467" spans="1:7" x14ac:dyDescent="0.35">
      <c r="A467" t="s">
        <v>5824</v>
      </c>
      <c r="B467" t="s">
        <v>5219</v>
      </c>
      <c r="C467" t="s">
        <v>5261</v>
      </c>
      <c r="D467">
        <v>26.93</v>
      </c>
      <c r="E467" t="s">
        <v>5197</v>
      </c>
      <c r="F467" s="10" t="s">
        <v>6362</v>
      </c>
      <c r="G467" t="s">
        <v>74</v>
      </c>
    </row>
    <row r="468" spans="1:7" x14ac:dyDescent="0.35">
      <c r="A468" t="s">
        <v>5825</v>
      </c>
      <c r="B468" t="s">
        <v>5227</v>
      </c>
      <c r="C468" t="s">
        <v>5388</v>
      </c>
      <c r="D468">
        <v>25.44</v>
      </c>
      <c r="E468" t="s">
        <v>5196</v>
      </c>
      <c r="F468" s="10" t="s">
        <v>6362</v>
      </c>
      <c r="G468" t="s">
        <v>6365</v>
      </c>
    </row>
    <row r="469" spans="1:7" x14ac:dyDescent="0.35">
      <c r="A469" t="s">
        <v>5826</v>
      </c>
      <c r="B469" t="s">
        <v>5367</v>
      </c>
      <c r="C469" t="s">
        <v>5586</v>
      </c>
      <c r="D469">
        <v>35.979999999999997</v>
      </c>
      <c r="E469" t="s">
        <v>5197</v>
      </c>
      <c r="F469" s="10" t="s">
        <v>6363</v>
      </c>
      <c r="G469" t="s">
        <v>74</v>
      </c>
    </row>
    <row r="470" spans="1:7" x14ac:dyDescent="0.35">
      <c r="A470" t="s">
        <v>5827</v>
      </c>
      <c r="B470" t="s">
        <v>5592</v>
      </c>
      <c r="C470" t="s">
        <v>5353</v>
      </c>
      <c r="D470">
        <v>11.06</v>
      </c>
      <c r="E470" t="s">
        <v>5196</v>
      </c>
      <c r="F470" s="10" t="s">
        <v>6362</v>
      </c>
      <c r="G470" t="s">
        <v>74</v>
      </c>
    </row>
    <row r="471" spans="1:7" x14ac:dyDescent="0.35">
      <c r="A471" t="s">
        <v>5828</v>
      </c>
      <c r="B471" t="s">
        <v>5214</v>
      </c>
      <c r="C471" t="s">
        <v>4920</v>
      </c>
      <c r="D471">
        <v>39.22</v>
      </c>
      <c r="E471" t="s">
        <v>5235</v>
      </c>
      <c r="F471" s="10" t="s">
        <v>6362</v>
      </c>
      <c r="G471" t="s">
        <v>6365</v>
      </c>
    </row>
    <row r="472" spans="1:7" x14ac:dyDescent="0.35">
      <c r="A472" t="s">
        <v>5829</v>
      </c>
      <c r="B472" t="s">
        <v>5328</v>
      </c>
      <c r="C472" t="s">
        <v>5296</v>
      </c>
      <c r="D472">
        <v>36.04</v>
      </c>
      <c r="E472" t="s">
        <v>5196</v>
      </c>
      <c r="F472" s="10" t="s">
        <v>6362</v>
      </c>
      <c r="G472" t="s">
        <v>6365</v>
      </c>
    </row>
    <row r="473" spans="1:7" x14ac:dyDescent="0.35">
      <c r="A473" t="s">
        <v>5830</v>
      </c>
      <c r="B473" t="s">
        <v>5219</v>
      </c>
      <c r="C473" t="s">
        <v>4790</v>
      </c>
      <c r="D473">
        <v>36.69</v>
      </c>
      <c r="E473" t="s">
        <v>5197</v>
      </c>
      <c r="F473" s="10" t="s">
        <v>6363</v>
      </c>
      <c r="G473" t="s">
        <v>6365</v>
      </c>
    </row>
    <row r="474" spans="1:7" x14ac:dyDescent="0.35">
      <c r="A474" t="s">
        <v>5831</v>
      </c>
      <c r="B474" t="s">
        <v>5494</v>
      </c>
      <c r="C474" t="s">
        <v>5228</v>
      </c>
      <c r="D474">
        <v>38.99</v>
      </c>
      <c r="E474" t="s">
        <v>5196</v>
      </c>
      <c r="F474" s="10" t="s">
        <v>6363</v>
      </c>
      <c r="G474" t="s">
        <v>71</v>
      </c>
    </row>
    <row r="475" spans="1:7" x14ac:dyDescent="0.35">
      <c r="A475" t="s">
        <v>5832</v>
      </c>
      <c r="B475" t="s">
        <v>5232</v>
      </c>
      <c r="C475" t="s">
        <v>5228</v>
      </c>
      <c r="D475">
        <v>25.73</v>
      </c>
      <c r="E475" t="s">
        <v>5197</v>
      </c>
      <c r="F475" s="10" t="s">
        <v>6362</v>
      </c>
      <c r="G475" t="s">
        <v>71</v>
      </c>
    </row>
    <row r="476" spans="1:7" x14ac:dyDescent="0.35">
      <c r="A476" t="s">
        <v>5833</v>
      </c>
      <c r="B476" t="s">
        <v>5247</v>
      </c>
      <c r="C476" t="s">
        <v>5478</v>
      </c>
      <c r="D476">
        <v>16.54</v>
      </c>
      <c r="E476" t="s">
        <v>5199</v>
      </c>
      <c r="F476" s="10" t="s">
        <v>6363</v>
      </c>
      <c r="G476" t="s">
        <v>6365</v>
      </c>
    </row>
    <row r="477" spans="1:7" x14ac:dyDescent="0.35">
      <c r="A477" t="s">
        <v>5834</v>
      </c>
      <c r="B477" t="s">
        <v>5480</v>
      </c>
      <c r="C477" t="s">
        <v>5451</v>
      </c>
      <c r="D477">
        <v>33.39</v>
      </c>
      <c r="E477" t="s">
        <v>5198</v>
      </c>
      <c r="F477" s="10" t="s">
        <v>6363</v>
      </c>
      <c r="G477" t="s">
        <v>6365</v>
      </c>
    </row>
    <row r="478" spans="1:7" x14ac:dyDescent="0.35">
      <c r="A478" t="s">
        <v>5835</v>
      </c>
      <c r="B478" t="s">
        <v>5283</v>
      </c>
      <c r="C478" t="s">
        <v>5597</v>
      </c>
      <c r="D478">
        <v>20.07</v>
      </c>
      <c r="E478" t="s">
        <v>5235</v>
      </c>
      <c r="F478" s="10" t="s">
        <v>6362</v>
      </c>
      <c r="G478" t="s">
        <v>6365</v>
      </c>
    </row>
    <row r="479" spans="1:7" x14ac:dyDescent="0.35">
      <c r="A479" t="s">
        <v>5836</v>
      </c>
      <c r="B479" t="s">
        <v>5293</v>
      </c>
      <c r="C479" t="s">
        <v>5378</v>
      </c>
      <c r="D479">
        <v>15.58</v>
      </c>
      <c r="E479" t="s">
        <v>5197</v>
      </c>
      <c r="F479" s="10" t="s">
        <v>6362</v>
      </c>
      <c r="G479" t="s">
        <v>74</v>
      </c>
    </row>
    <row r="480" spans="1:7" x14ac:dyDescent="0.35">
      <c r="A480" t="s">
        <v>5837</v>
      </c>
      <c r="B480" t="s">
        <v>5592</v>
      </c>
      <c r="C480" t="s">
        <v>4559</v>
      </c>
      <c r="D480">
        <v>35.049999999999997</v>
      </c>
      <c r="E480" t="s">
        <v>5196</v>
      </c>
      <c r="F480" s="10" t="s">
        <v>6363</v>
      </c>
      <c r="G480" t="s">
        <v>6365</v>
      </c>
    </row>
    <row r="481" spans="1:7" x14ac:dyDescent="0.35">
      <c r="A481" t="s">
        <v>5838</v>
      </c>
      <c r="B481" t="s">
        <v>5504</v>
      </c>
      <c r="C481" t="s">
        <v>5649</v>
      </c>
      <c r="D481">
        <v>15.02</v>
      </c>
      <c r="E481" t="s">
        <v>5197</v>
      </c>
      <c r="F481" s="10" t="s">
        <v>6362</v>
      </c>
      <c r="G481" t="s">
        <v>74</v>
      </c>
    </row>
    <row r="482" spans="1:7" x14ac:dyDescent="0.35">
      <c r="A482" t="s">
        <v>5839</v>
      </c>
      <c r="B482" t="s">
        <v>5321</v>
      </c>
      <c r="C482" t="s">
        <v>5319</v>
      </c>
      <c r="D482">
        <v>35.18</v>
      </c>
      <c r="E482" t="s">
        <v>5197</v>
      </c>
      <c r="F482" s="10" t="s">
        <v>6363</v>
      </c>
      <c r="G482" t="s">
        <v>74</v>
      </c>
    </row>
    <row r="483" spans="1:7" x14ac:dyDescent="0.35">
      <c r="A483" t="s">
        <v>5840</v>
      </c>
      <c r="B483" t="s">
        <v>5242</v>
      </c>
      <c r="C483" t="s">
        <v>5240</v>
      </c>
      <c r="D483">
        <v>24.3</v>
      </c>
      <c r="E483" t="s">
        <v>5197</v>
      </c>
      <c r="F483" s="10" t="s">
        <v>6363</v>
      </c>
      <c r="G483" t="s">
        <v>6365</v>
      </c>
    </row>
    <row r="484" spans="1:7" x14ac:dyDescent="0.35">
      <c r="A484" t="s">
        <v>5841</v>
      </c>
      <c r="B484" t="s">
        <v>5244</v>
      </c>
      <c r="C484" t="s">
        <v>5215</v>
      </c>
      <c r="D484">
        <v>31.46</v>
      </c>
      <c r="E484" t="s">
        <v>5199</v>
      </c>
      <c r="F484" s="10" t="s">
        <v>6362</v>
      </c>
      <c r="G484" t="s">
        <v>6365</v>
      </c>
    </row>
    <row r="485" spans="1:7" x14ac:dyDescent="0.35">
      <c r="A485" t="s">
        <v>5842</v>
      </c>
      <c r="B485" t="s">
        <v>5323</v>
      </c>
      <c r="C485" t="s">
        <v>5188</v>
      </c>
      <c r="D485">
        <v>21.97</v>
      </c>
      <c r="E485" t="s">
        <v>5235</v>
      </c>
      <c r="F485" s="10" t="s">
        <v>6363</v>
      </c>
      <c r="G485" t="s">
        <v>74</v>
      </c>
    </row>
    <row r="486" spans="1:7" x14ac:dyDescent="0.35">
      <c r="A486" t="s">
        <v>5843</v>
      </c>
      <c r="B486" t="s">
        <v>5552</v>
      </c>
      <c r="C486" t="s">
        <v>5202</v>
      </c>
      <c r="D486">
        <v>33.5</v>
      </c>
      <c r="E486" t="s">
        <v>5199</v>
      </c>
      <c r="F486" s="10" t="s">
        <v>6362</v>
      </c>
      <c r="G486" t="s">
        <v>6365</v>
      </c>
    </row>
    <row r="487" spans="1:7" x14ac:dyDescent="0.35">
      <c r="A487" t="s">
        <v>5844</v>
      </c>
      <c r="B487" t="s">
        <v>5276</v>
      </c>
      <c r="C487" t="s">
        <v>5351</v>
      </c>
      <c r="D487">
        <v>38.75</v>
      </c>
      <c r="E487" t="s">
        <v>5199</v>
      </c>
      <c r="F487" s="10" t="s">
        <v>6362</v>
      </c>
      <c r="G487" t="s">
        <v>6365</v>
      </c>
    </row>
    <row r="488" spans="1:7" x14ac:dyDescent="0.35">
      <c r="A488" t="s">
        <v>5845</v>
      </c>
      <c r="B488" t="s">
        <v>5295</v>
      </c>
      <c r="C488" t="s">
        <v>5472</v>
      </c>
      <c r="D488">
        <v>10.02</v>
      </c>
      <c r="E488" t="s">
        <v>5197</v>
      </c>
      <c r="F488" s="10" t="s">
        <v>6363</v>
      </c>
      <c r="G488" t="s">
        <v>6365</v>
      </c>
    </row>
    <row r="489" spans="1:7" x14ac:dyDescent="0.35">
      <c r="A489" t="s">
        <v>5846</v>
      </c>
      <c r="B489" t="s">
        <v>5383</v>
      </c>
      <c r="C489" t="s">
        <v>4790</v>
      </c>
      <c r="D489">
        <v>17.03</v>
      </c>
      <c r="E489" t="s">
        <v>5198</v>
      </c>
      <c r="F489" s="10" t="s">
        <v>6362</v>
      </c>
      <c r="G489" t="s">
        <v>6365</v>
      </c>
    </row>
    <row r="490" spans="1:7" x14ac:dyDescent="0.35">
      <c r="A490" t="s">
        <v>5847</v>
      </c>
      <c r="B490" t="s">
        <v>5237</v>
      </c>
      <c r="C490" t="s">
        <v>5649</v>
      </c>
      <c r="D490">
        <v>28.46</v>
      </c>
      <c r="E490" t="s">
        <v>5197</v>
      </c>
      <c r="F490" s="10" t="s">
        <v>6363</v>
      </c>
      <c r="G490" t="s">
        <v>74</v>
      </c>
    </row>
    <row r="491" spans="1:7" x14ac:dyDescent="0.35">
      <c r="A491" t="s">
        <v>5848</v>
      </c>
      <c r="B491" t="s">
        <v>5592</v>
      </c>
      <c r="C491" t="s">
        <v>5091</v>
      </c>
      <c r="D491">
        <v>18.850000000000001</v>
      </c>
      <c r="E491" t="s">
        <v>5199</v>
      </c>
      <c r="F491" s="10" t="s">
        <v>6363</v>
      </c>
      <c r="G491" t="s">
        <v>74</v>
      </c>
    </row>
    <row r="492" spans="1:7" x14ac:dyDescent="0.35">
      <c r="A492" t="s">
        <v>5849</v>
      </c>
      <c r="B492" t="s">
        <v>5477</v>
      </c>
      <c r="C492" t="s">
        <v>5747</v>
      </c>
      <c r="D492">
        <v>18.829999999999998</v>
      </c>
      <c r="E492" t="s">
        <v>5199</v>
      </c>
      <c r="F492" s="10" t="s">
        <v>6362</v>
      </c>
      <c r="G492" t="s">
        <v>74</v>
      </c>
    </row>
    <row r="493" spans="1:7" x14ac:dyDescent="0.35">
      <c r="A493" t="s">
        <v>5850</v>
      </c>
      <c r="B493" t="s">
        <v>5234</v>
      </c>
      <c r="C493" t="s">
        <v>4676</v>
      </c>
      <c r="D493">
        <v>27.21</v>
      </c>
      <c r="E493" t="s">
        <v>5235</v>
      </c>
      <c r="F493" s="10" t="s">
        <v>6363</v>
      </c>
      <c r="G493" t="s">
        <v>71</v>
      </c>
    </row>
    <row r="494" spans="1:7" x14ac:dyDescent="0.35">
      <c r="A494" t="s">
        <v>5851</v>
      </c>
      <c r="B494" t="s">
        <v>5210</v>
      </c>
      <c r="C494" t="s">
        <v>5305</v>
      </c>
      <c r="D494">
        <v>37.49</v>
      </c>
      <c r="E494" t="s">
        <v>5196</v>
      </c>
      <c r="F494" s="10" t="s">
        <v>6363</v>
      </c>
      <c r="G494" t="s">
        <v>6366</v>
      </c>
    </row>
    <row r="495" spans="1:7" x14ac:dyDescent="0.35">
      <c r="A495" t="s">
        <v>5852</v>
      </c>
      <c r="B495" t="s">
        <v>5221</v>
      </c>
      <c r="C495" t="s">
        <v>4671</v>
      </c>
      <c r="D495">
        <v>21.1</v>
      </c>
      <c r="E495" t="s">
        <v>5199</v>
      </c>
      <c r="F495" s="10" t="s">
        <v>6362</v>
      </c>
      <c r="G495" t="s">
        <v>6365</v>
      </c>
    </row>
    <row r="496" spans="1:7" x14ac:dyDescent="0.35">
      <c r="A496" t="s">
        <v>5853</v>
      </c>
      <c r="B496" t="s">
        <v>5427</v>
      </c>
      <c r="C496" t="s">
        <v>5735</v>
      </c>
      <c r="D496">
        <v>30.65</v>
      </c>
      <c r="E496" t="s">
        <v>5199</v>
      </c>
      <c r="F496" s="10" t="s">
        <v>6362</v>
      </c>
      <c r="G496" t="s">
        <v>6365</v>
      </c>
    </row>
    <row r="497" spans="1:7" x14ac:dyDescent="0.35">
      <c r="A497" t="s">
        <v>5854</v>
      </c>
      <c r="B497" t="s">
        <v>5537</v>
      </c>
      <c r="C497" t="s">
        <v>4821</v>
      </c>
      <c r="D497">
        <v>22.89</v>
      </c>
      <c r="E497" t="s">
        <v>5198</v>
      </c>
      <c r="F497" s="10" t="s">
        <v>6362</v>
      </c>
      <c r="G497" t="s">
        <v>74</v>
      </c>
    </row>
    <row r="498" spans="1:7" x14ac:dyDescent="0.35">
      <c r="A498" t="s">
        <v>5855</v>
      </c>
      <c r="B498" t="s">
        <v>5589</v>
      </c>
      <c r="C498" t="s">
        <v>5256</v>
      </c>
      <c r="D498">
        <v>32.770000000000003</v>
      </c>
      <c r="E498" t="s">
        <v>5199</v>
      </c>
      <c r="F498" s="10" t="s">
        <v>6363</v>
      </c>
      <c r="G498" t="s">
        <v>71</v>
      </c>
    </row>
    <row r="499" spans="1:7" x14ac:dyDescent="0.35">
      <c r="A499" t="s">
        <v>5856</v>
      </c>
      <c r="B499" t="s">
        <v>5318</v>
      </c>
      <c r="C499" t="s">
        <v>5510</v>
      </c>
      <c r="D499">
        <v>14.16</v>
      </c>
      <c r="E499" t="s">
        <v>5196</v>
      </c>
      <c r="F499" s="10" t="s">
        <v>6362</v>
      </c>
      <c r="G499" t="s">
        <v>74</v>
      </c>
    </row>
    <row r="500" spans="1:7" x14ac:dyDescent="0.35">
      <c r="A500" t="s">
        <v>5857</v>
      </c>
      <c r="B500" t="s">
        <v>5247</v>
      </c>
      <c r="C500" t="s">
        <v>5472</v>
      </c>
      <c r="D500">
        <v>20.21</v>
      </c>
      <c r="E500" t="s">
        <v>5198</v>
      </c>
      <c r="F500" s="10" t="s">
        <v>6362</v>
      </c>
      <c r="G500" t="s">
        <v>71</v>
      </c>
    </row>
    <row r="501" spans="1:7" x14ac:dyDescent="0.35">
      <c r="A501" t="s">
        <v>5858</v>
      </c>
      <c r="B501" t="s">
        <v>5434</v>
      </c>
      <c r="C501" t="s">
        <v>5188</v>
      </c>
      <c r="D501">
        <v>27.19</v>
      </c>
      <c r="E501" t="s">
        <v>5197</v>
      </c>
      <c r="F501" s="10" t="s">
        <v>6363</v>
      </c>
      <c r="G501" t="s">
        <v>71</v>
      </c>
    </row>
    <row r="502" spans="1:7" x14ac:dyDescent="0.35">
      <c r="A502" t="s">
        <v>5859</v>
      </c>
      <c r="B502" t="s">
        <v>5321</v>
      </c>
      <c r="C502" t="s">
        <v>4700</v>
      </c>
      <c r="D502">
        <v>28.24</v>
      </c>
      <c r="E502" t="s">
        <v>5196</v>
      </c>
      <c r="F502" s="10" t="s">
        <v>6362</v>
      </c>
      <c r="G502" t="s">
        <v>71</v>
      </c>
    </row>
    <row r="503" spans="1:7" x14ac:dyDescent="0.35">
      <c r="A503" t="s">
        <v>5860</v>
      </c>
      <c r="B503" t="s">
        <v>5583</v>
      </c>
      <c r="C503" t="s">
        <v>5278</v>
      </c>
      <c r="D503">
        <v>37.29</v>
      </c>
      <c r="E503" t="s">
        <v>5197</v>
      </c>
      <c r="F503" s="10" t="s">
        <v>6363</v>
      </c>
      <c r="G503" t="s">
        <v>6366</v>
      </c>
    </row>
    <row r="504" spans="1:7" x14ac:dyDescent="0.35">
      <c r="A504" t="s">
        <v>5861</v>
      </c>
      <c r="B504" t="s">
        <v>5336</v>
      </c>
      <c r="C504" t="s">
        <v>5418</v>
      </c>
      <c r="D504">
        <v>23.87</v>
      </c>
      <c r="E504" t="s">
        <v>5199</v>
      </c>
      <c r="F504" s="10" t="s">
        <v>6363</v>
      </c>
      <c r="G504" t="s">
        <v>74</v>
      </c>
    </row>
    <row r="505" spans="1:7" x14ac:dyDescent="0.35">
      <c r="A505" t="s">
        <v>5862</v>
      </c>
      <c r="B505" t="s">
        <v>5609</v>
      </c>
      <c r="C505" t="s">
        <v>5353</v>
      </c>
      <c r="D505">
        <v>21.74</v>
      </c>
      <c r="E505" t="s">
        <v>5198</v>
      </c>
      <c r="F505" s="10" t="s">
        <v>6362</v>
      </c>
      <c r="G505" t="s">
        <v>71</v>
      </c>
    </row>
    <row r="506" spans="1:7" x14ac:dyDescent="0.35">
      <c r="A506" t="s">
        <v>5863</v>
      </c>
      <c r="B506" t="s">
        <v>5336</v>
      </c>
      <c r="C506" t="s">
        <v>4714</v>
      </c>
      <c r="D506">
        <v>23.01</v>
      </c>
      <c r="E506" t="s">
        <v>5235</v>
      </c>
      <c r="F506" s="10" t="s">
        <v>6363</v>
      </c>
      <c r="G506" t="s">
        <v>6365</v>
      </c>
    </row>
    <row r="507" spans="1:7" x14ac:dyDescent="0.35">
      <c r="A507" t="s">
        <v>5864</v>
      </c>
      <c r="B507" t="s">
        <v>5367</v>
      </c>
      <c r="C507" t="s">
        <v>4764</v>
      </c>
      <c r="D507">
        <v>21.02</v>
      </c>
      <c r="E507" t="s">
        <v>5235</v>
      </c>
      <c r="F507" s="10" t="s">
        <v>6362</v>
      </c>
      <c r="G507" t="s">
        <v>6365</v>
      </c>
    </row>
    <row r="508" spans="1:7" x14ac:dyDescent="0.35">
      <c r="A508" t="s">
        <v>5865</v>
      </c>
      <c r="B508" t="s">
        <v>5338</v>
      </c>
      <c r="C508" t="s">
        <v>5165</v>
      </c>
      <c r="D508">
        <v>10.96</v>
      </c>
      <c r="E508" t="s">
        <v>5198</v>
      </c>
      <c r="F508" s="10" t="s">
        <v>6363</v>
      </c>
      <c r="G508" t="s">
        <v>6365</v>
      </c>
    </row>
    <row r="509" spans="1:7" x14ac:dyDescent="0.35">
      <c r="A509" t="s">
        <v>5866</v>
      </c>
      <c r="B509" t="s">
        <v>5291</v>
      </c>
      <c r="C509" t="s">
        <v>5334</v>
      </c>
      <c r="D509">
        <v>22.84</v>
      </c>
      <c r="E509" t="s">
        <v>5196</v>
      </c>
      <c r="F509" s="10" t="s">
        <v>6362</v>
      </c>
      <c r="G509" t="s">
        <v>6365</v>
      </c>
    </row>
    <row r="510" spans="1:7" x14ac:dyDescent="0.35">
      <c r="A510" t="s">
        <v>5867</v>
      </c>
      <c r="B510" t="s">
        <v>5609</v>
      </c>
      <c r="C510" t="s">
        <v>5421</v>
      </c>
      <c r="D510">
        <v>30.31</v>
      </c>
      <c r="E510" t="s">
        <v>5198</v>
      </c>
      <c r="F510" s="10" t="s">
        <v>6363</v>
      </c>
      <c r="G510" t="s">
        <v>6365</v>
      </c>
    </row>
    <row r="511" spans="1:7" x14ac:dyDescent="0.35">
      <c r="A511" t="s">
        <v>5868</v>
      </c>
      <c r="B511" t="s">
        <v>5411</v>
      </c>
      <c r="C511" t="s">
        <v>5502</v>
      </c>
      <c r="D511">
        <v>34.700000000000003</v>
      </c>
      <c r="E511" t="s">
        <v>5197</v>
      </c>
      <c r="F511" s="10" t="s">
        <v>6363</v>
      </c>
      <c r="G511" t="s">
        <v>74</v>
      </c>
    </row>
    <row r="512" spans="1:7" x14ac:dyDescent="0.35">
      <c r="A512" t="s">
        <v>5869</v>
      </c>
      <c r="B512" t="s">
        <v>5267</v>
      </c>
      <c r="C512" t="s">
        <v>5324</v>
      </c>
      <c r="D512">
        <v>28.41</v>
      </c>
      <c r="E512" t="s">
        <v>5199</v>
      </c>
      <c r="F512" s="10" t="s">
        <v>6362</v>
      </c>
      <c r="G512" t="s">
        <v>74</v>
      </c>
    </row>
    <row r="513" spans="1:7" x14ac:dyDescent="0.35">
      <c r="A513" t="s">
        <v>5870</v>
      </c>
      <c r="B513" t="s">
        <v>5293</v>
      </c>
      <c r="C513" t="s">
        <v>5273</v>
      </c>
      <c r="D513">
        <v>11.76</v>
      </c>
      <c r="E513" t="s">
        <v>5235</v>
      </c>
      <c r="F513" s="10" t="s">
        <v>6363</v>
      </c>
      <c r="G513" t="s">
        <v>6365</v>
      </c>
    </row>
    <row r="514" spans="1:7" x14ac:dyDescent="0.35">
      <c r="A514" t="s">
        <v>5871</v>
      </c>
      <c r="B514" t="s">
        <v>5232</v>
      </c>
      <c r="C514" t="s">
        <v>5165</v>
      </c>
      <c r="D514">
        <v>12.3</v>
      </c>
      <c r="E514" t="s">
        <v>5199</v>
      </c>
      <c r="F514" s="10" t="s">
        <v>6363</v>
      </c>
      <c r="G514" t="s">
        <v>6365</v>
      </c>
    </row>
    <row r="515" spans="1:7" x14ac:dyDescent="0.35">
      <c r="A515" t="s">
        <v>5872</v>
      </c>
      <c r="B515" t="s">
        <v>5338</v>
      </c>
      <c r="C515" t="s">
        <v>4790</v>
      </c>
      <c r="D515">
        <v>32.35</v>
      </c>
      <c r="E515" t="s">
        <v>5235</v>
      </c>
      <c r="F515" s="10" t="s">
        <v>6362</v>
      </c>
      <c r="G515" t="s">
        <v>6365</v>
      </c>
    </row>
    <row r="516" spans="1:7" x14ac:dyDescent="0.35">
      <c r="A516" t="s">
        <v>5873</v>
      </c>
      <c r="B516" t="s">
        <v>5207</v>
      </c>
      <c r="C516" t="s">
        <v>5202</v>
      </c>
      <c r="D516">
        <v>12.03</v>
      </c>
      <c r="E516" t="s">
        <v>5199</v>
      </c>
      <c r="F516" s="10" t="s">
        <v>6363</v>
      </c>
      <c r="G516" t="s">
        <v>6365</v>
      </c>
    </row>
    <row r="517" spans="1:7" x14ac:dyDescent="0.35">
      <c r="A517" t="s">
        <v>5874</v>
      </c>
      <c r="B517" t="s">
        <v>5398</v>
      </c>
      <c r="C517" t="s">
        <v>5208</v>
      </c>
      <c r="D517">
        <v>24.25</v>
      </c>
      <c r="E517" t="s">
        <v>5196</v>
      </c>
      <c r="F517" s="10" t="s">
        <v>6363</v>
      </c>
      <c r="G517" t="s">
        <v>74</v>
      </c>
    </row>
    <row r="518" spans="1:7" x14ac:dyDescent="0.35">
      <c r="A518" t="s">
        <v>5875</v>
      </c>
      <c r="B518" t="s">
        <v>5204</v>
      </c>
      <c r="C518" t="s">
        <v>5362</v>
      </c>
      <c r="D518">
        <v>31.38</v>
      </c>
      <c r="E518" t="s">
        <v>5199</v>
      </c>
      <c r="F518" s="10" t="s">
        <v>6363</v>
      </c>
      <c r="G518" t="s">
        <v>6365</v>
      </c>
    </row>
    <row r="519" spans="1:7" x14ac:dyDescent="0.35">
      <c r="A519" t="s">
        <v>5876</v>
      </c>
      <c r="B519" t="s">
        <v>5318</v>
      </c>
      <c r="C519" t="s">
        <v>5460</v>
      </c>
      <c r="D519">
        <v>13.37</v>
      </c>
      <c r="E519" t="s">
        <v>5196</v>
      </c>
      <c r="F519" s="10" t="s">
        <v>6362</v>
      </c>
      <c r="G519" t="s">
        <v>74</v>
      </c>
    </row>
    <row r="520" spans="1:7" x14ac:dyDescent="0.35">
      <c r="A520" t="s">
        <v>5877</v>
      </c>
      <c r="B520" t="s">
        <v>5217</v>
      </c>
      <c r="C520" t="s">
        <v>5649</v>
      </c>
      <c r="D520">
        <v>31.5</v>
      </c>
      <c r="E520" t="s">
        <v>5197</v>
      </c>
      <c r="F520" s="10" t="s">
        <v>6362</v>
      </c>
      <c r="G520" t="s">
        <v>71</v>
      </c>
    </row>
    <row r="521" spans="1:7" x14ac:dyDescent="0.35">
      <c r="A521" t="s">
        <v>5878</v>
      </c>
      <c r="B521" t="s">
        <v>5291</v>
      </c>
      <c r="C521" t="s">
        <v>5222</v>
      </c>
      <c r="D521">
        <v>30.64</v>
      </c>
      <c r="E521" t="s">
        <v>5196</v>
      </c>
      <c r="F521" s="10" t="s">
        <v>6362</v>
      </c>
      <c r="G521" t="s">
        <v>6365</v>
      </c>
    </row>
    <row r="522" spans="1:7" x14ac:dyDescent="0.35">
      <c r="A522" t="s">
        <v>5879</v>
      </c>
      <c r="B522" t="s">
        <v>5592</v>
      </c>
      <c r="C522" t="s">
        <v>5268</v>
      </c>
      <c r="D522">
        <v>25.12</v>
      </c>
      <c r="E522" t="s">
        <v>5235</v>
      </c>
      <c r="F522" s="10" t="s">
        <v>6363</v>
      </c>
      <c r="G522" t="s">
        <v>74</v>
      </c>
    </row>
    <row r="523" spans="1:7" x14ac:dyDescent="0.35">
      <c r="A523" t="s">
        <v>5880</v>
      </c>
      <c r="B523" t="s">
        <v>5221</v>
      </c>
      <c r="C523" t="s">
        <v>5597</v>
      </c>
      <c r="D523">
        <v>20.43</v>
      </c>
      <c r="E523" t="s">
        <v>5235</v>
      </c>
      <c r="F523" s="10" t="s">
        <v>6362</v>
      </c>
      <c r="G523" t="s">
        <v>6365</v>
      </c>
    </row>
    <row r="524" spans="1:7" x14ac:dyDescent="0.35">
      <c r="A524" t="s">
        <v>5881</v>
      </c>
      <c r="B524" t="s">
        <v>5552</v>
      </c>
      <c r="C524" t="s">
        <v>4720</v>
      </c>
      <c r="D524">
        <v>34.43</v>
      </c>
      <c r="E524" t="s">
        <v>5235</v>
      </c>
      <c r="F524" s="10" t="s">
        <v>6363</v>
      </c>
      <c r="G524" t="s">
        <v>6365</v>
      </c>
    </row>
    <row r="525" spans="1:7" x14ac:dyDescent="0.35">
      <c r="A525" t="s">
        <v>5882</v>
      </c>
      <c r="B525" t="s">
        <v>5444</v>
      </c>
      <c r="C525" t="s">
        <v>4781</v>
      </c>
      <c r="D525">
        <v>30.08</v>
      </c>
      <c r="E525" t="s">
        <v>5198</v>
      </c>
      <c r="F525" s="10" t="s">
        <v>6362</v>
      </c>
      <c r="G525" t="s">
        <v>71</v>
      </c>
    </row>
    <row r="526" spans="1:7" x14ac:dyDescent="0.35">
      <c r="A526" t="s">
        <v>5883</v>
      </c>
      <c r="B526" t="s">
        <v>5609</v>
      </c>
      <c r="C526" t="s">
        <v>4720</v>
      </c>
      <c r="D526">
        <v>21</v>
      </c>
      <c r="E526" t="s">
        <v>5197</v>
      </c>
      <c r="F526" s="10" t="s">
        <v>6362</v>
      </c>
      <c r="G526" t="s">
        <v>74</v>
      </c>
    </row>
    <row r="527" spans="1:7" x14ac:dyDescent="0.35">
      <c r="A527" t="s">
        <v>5884</v>
      </c>
      <c r="B527" t="s">
        <v>5444</v>
      </c>
      <c r="C527" t="s">
        <v>5308</v>
      </c>
      <c r="D527">
        <v>25.06</v>
      </c>
      <c r="E527" t="s">
        <v>5235</v>
      </c>
      <c r="F527" s="10" t="s">
        <v>6362</v>
      </c>
      <c r="G527" t="s">
        <v>6365</v>
      </c>
    </row>
    <row r="528" spans="1:7" x14ac:dyDescent="0.35">
      <c r="A528" t="s">
        <v>5885</v>
      </c>
      <c r="B528" t="s">
        <v>5494</v>
      </c>
      <c r="C528" t="s">
        <v>5597</v>
      </c>
      <c r="D528">
        <v>24.3</v>
      </c>
      <c r="E528" t="s">
        <v>5197</v>
      </c>
      <c r="F528" s="10" t="s">
        <v>6362</v>
      </c>
      <c r="G528" t="s">
        <v>6365</v>
      </c>
    </row>
    <row r="529" spans="1:7" x14ac:dyDescent="0.35">
      <c r="A529" t="s">
        <v>5886</v>
      </c>
      <c r="B529" t="s">
        <v>5423</v>
      </c>
      <c r="C529" t="s">
        <v>5331</v>
      </c>
      <c r="D529">
        <v>20.63</v>
      </c>
      <c r="E529" t="s">
        <v>5197</v>
      </c>
      <c r="F529" s="10" t="s">
        <v>6362</v>
      </c>
      <c r="G529" t="s">
        <v>6365</v>
      </c>
    </row>
    <row r="530" spans="1:7" x14ac:dyDescent="0.35">
      <c r="A530" t="s">
        <v>5887</v>
      </c>
      <c r="B530" t="s">
        <v>5628</v>
      </c>
      <c r="C530" t="s">
        <v>5406</v>
      </c>
      <c r="D530">
        <v>30.26</v>
      </c>
      <c r="E530" t="s">
        <v>5197</v>
      </c>
      <c r="F530" s="10" t="s">
        <v>6363</v>
      </c>
      <c r="G530" t="s">
        <v>6365</v>
      </c>
    </row>
    <row r="531" spans="1:7" x14ac:dyDescent="0.35">
      <c r="A531" t="s">
        <v>5888</v>
      </c>
      <c r="B531" t="s">
        <v>5221</v>
      </c>
      <c r="C531" t="s">
        <v>5466</v>
      </c>
      <c r="D531">
        <v>12.37</v>
      </c>
      <c r="E531" t="s">
        <v>5235</v>
      </c>
      <c r="F531" s="10" t="s">
        <v>6363</v>
      </c>
      <c r="G531" t="s">
        <v>74</v>
      </c>
    </row>
    <row r="532" spans="1:7" x14ac:dyDescent="0.35">
      <c r="A532" t="s">
        <v>5889</v>
      </c>
      <c r="B532" t="s">
        <v>5291</v>
      </c>
      <c r="C532" t="s">
        <v>5205</v>
      </c>
      <c r="D532">
        <v>26.79</v>
      </c>
      <c r="E532" t="s">
        <v>5199</v>
      </c>
      <c r="F532" s="10" t="s">
        <v>6362</v>
      </c>
      <c r="G532" t="s">
        <v>74</v>
      </c>
    </row>
    <row r="533" spans="1:7" x14ac:dyDescent="0.35">
      <c r="A533" t="s">
        <v>5890</v>
      </c>
      <c r="B533" t="s">
        <v>5212</v>
      </c>
      <c r="C533" t="s">
        <v>4781</v>
      </c>
      <c r="D533">
        <v>15.54</v>
      </c>
      <c r="E533" t="s">
        <v>5196</v>
      </c>
      <c r="F533" s="10" t="s">
        <v>6362</v>
      </c>
      <c r="G533" t="s">
        <v>71</v>
      </c>
    </row>
    <row r="534" spans="1:7" x14ac:dyDescent="0.35">
      <c r="A534" t="s">
        <v>5891</v>
      </c>
      <c r="B534" t="s">
        <v>5276</v>
      </c>
      <c r="C534" t="s">
        <v>5270</v>
      </c>
      <c r="D534">
        <v>27.07</v>
      </c>
      <c r="E534" t="s">
        <v>5197</v>
      </c>
      <c r="F534" s="10" t="s">
        <v>6363</v>
      </c>
      <c r="G534" t="s">
        <v>6365</v>
      </c>
    </row>
    <row r="535" spans="1:7" x14ac:dyDescent="0.35">
      <c r="A535" t="s">
        <v>5892</v>
      </c>
      <c r="B535" t="s">
        <v>5592</v>
      </c>
      <c r="C535" t="s">
        <v>4856</v>
      </c>
      <c r="D535">
        <v>34.94</v>
      </c>
      <c r="E535" t="s">
        <v>5199</v>
      </c>
      <c r="F535" s="10" t="s">
        <v>6362</v>
      </c>
      <c r="G535" t="s">
        <v>71</v>
      </c>
    </row>
    <row r="536" spans="1:7" x14ac:dyDescent="0.35">
      <c r="A536" t="s">
        <v>5893</v>
      </c>
      <c r="B536" t="s">
        <v>5519</v>
      </c>
      <c r="C536" t="s">
        <v>5331</v>
      </c>
      <c r="D536">
        <v>10.26</v>
      </c>
      <c r="E536" t="s">
        <v>5197</v>
      </c>
      <c r="F536" s="10" t="s">
        <v>6363</v>
      </c>
      <c r="G536" t="s">
        <v>71</v>
      </c>
    </row>
    <row r="537" spans="1:7" x14ac:dyDescent="0.35">
      <c r="A537" t="s">
        <v>5894</v>
      </c>
      <c r="B537" t="s">
        <v>5488</v>
      </c>
      <c r="C537" t="s">
        <v>5225</v>
      </c>
      <c r="D537">
        <v>35.409999999999997</v>
      </c>
      <c r="E537" t="s">
        <v>5196</v>
      </c>
      <c r="F537" s="10" t="s">
        <v>6362</v>
      </c>
      <c r="G537" t="s">
        <v>6365</v>
      </c>
    </row>
    <row r="538" spans="1:7" x14ac:dyDescent="0.35">
      <c r="A538" t="s">
        <v>5895</v>
      </c>
      <c r="B538" t="s">
        <v>5323</v>
      </c>
      <c r="C538" t="s">
        <v>4676</v>
      </c>
      <c r="D538">
        <v>34.64</v>
      </c>
      <c r="E538" t="s">
        <v>5197</v>
      </c>
      <c r="F538" s="10" t="s">
        <v>6363</v>
      </c>
      <c r="G538" t="s">
        <v>6365</v>
      </c>
    </row>
    <row r="539" spans="1:7" x14ac:dyDescent="0.35">
      <c r="A539" t="s">
        <v>5896</v>
      </c>
      <c r="B539" t="s">
        <v>5474</v>
      </c>
      <c r="C539" t="s">
        <v>4697</v>
      </c>
      <c r="D539">
        <v>39.33</v>
      </c>
      <c r="E539" t="s">
        <v>5196</v>
      </c>
      <c r="F539" s="10" t="s">
        <v>6362</v>
      </c>
      <c r="G539" t="s">
        <v>74</v>
      </c>
    </row>
    <row r="540" spans="1:7" x14ac:dyDescent="0.35">
      <c r="A540" t="s">
        <v>5897</v>
      </c>
      <c r="B540" t="s">
        <v>5234</v>
      </c>
      <c r="C540" t="s">
        <v>5555</v>
      </c>
      <c r="D540">
        <v>33.93</v>
      </c>
      <c r="E540" t="s">
        <v>5199</v>
      </c>
      <c r="F540" s="10" t="s">
        <v>6362</v>
      </c>
      <c r="G540" t="s">
        <v>71</v>
      </c>
    </row>
    <row r="541" spans="1:7" x14ac:dyDescent="0.35">
      <c r="A541" t="s">
        <v>5898</v>
      </c>
      <c r="B541" t="s">
        <v>5494</v>
      </c>
      <c r="C541" t="s">
        <v>5453</v>
      </c>
      <c r="D541">
        <v>38.29</v>
      </c>
      <c r="E541" t="s">
        <v>5196</v>
      </c>
      <c r="F541" s="10" t="s">
        <v>6362</v>
      </c>
      <c r="G541" t="s">
        <v>74</v>
      </c>
    </row>
    <row r="542" spans="1:7" x14ac:dyDescent="0.35">
      <c r="A542" t="s">
        <v>5899</v>
      </c>
      <c r="B542" t="s">
        <v>5537</v>
      </c>
      <c r="C542" t="s">
        <v>4897</v>
      </c>
      <c r="D542">
        <v>35.020000000000003</v>
      </c>
      <c r="E542" t="s">
        <v>5196</v>
      </c>
      <c r="F542" s="10" t="s">
        <v>6362</v>
      </c>
      <c r="G542" t="s">
        <v>74</v>
      </c>
    </row>
    <row r="543" spans="1:7" x14ac:dyDescent="0.35">
      <c r="A543" t="s">
        <v>5900</v>
      </c>
      <c r="B543" t="s">
        <v>5304</v>
      </c>
      <c r="C543" t="s">
        <v>5316</v>
      </c>
      <c r="D543">
        <v>22.07</v>
      </c>
      <c r="E543" t="s">
        <v>5198</v>
      </c>
      <c r="F543" s="10" t="s">
        <v>6362</v>
      </c>
      <c r="G543" t="s">
        <v>6365</v>
      </c>
    </row>
    <row r="544" spans="1:7" x14ac:dyDescent="0.35">
      <c r="A544" t="s">
        <v>5901</v>
      </c>
      <c r="B544" t="s">
        <v>5237</v>
      </c>
      <c r="C544" t="s">
        <v>5359</v>
      </c>
      <c r="D544">
        <v>38.6</v>
      </c>
      <c r="E544" t="s">
        <v>5235</v>
      </c>
      <c r="F544" s="10" t="s">
        <v>6363</v>
      </c>
      <c r="G544" t="s">
        <v>6365</v>
      </c>
    </row>
    <row r="545" spans="1:7" x14ac:dyDescent="0.35">
      <c r="A545" t="s">
        <v>5902</v>
      </c>
      <c r="B545" t="s">
        <v>5318</v>
      </c>
      <c r="C545" t="s">
        <v>5319</v>
      </c>
      <c r="D545">
        <v>39.64</v>
      </c>
      <c r="E545" t="s">
        <v>5196</v>
      </c>
      <c r="F545" s="10" t="s">
        <v>6362</v>
      </c>
      <c r="G545" t="s">
        <v>6365</v>
      </c>
    </row>
    <row r="546" spans="1:7" x14ac:dyDescent="0.35">
      <c r="A546" t="s">
        <v>5903</v>
      </c>
      <c r="B546" t="s">
        <v>5385</v>
      </c>
      <c r="C546" t="s">
        <v>5296</v>
      </c>
      <c r="D546">
        <v>18.760000000000002</v>
      </c>
      <c r="E546" t="s">
        <v>5196</v>
      </c>
      <c r="F546" s="10" t="s">
        <v>6363</v>
      </c>
      <c r="G546" t="s">
        <v>6366</v>
      </c>
    </row>
    <row r="547" spans="1:7" x14ac:dyDescent="0.35">
      <c r="A547" t="s">
        <v>5904</v>
      </c>
      <c r="B547" t="s">
        <v>5423</v>
      </c>
      <c r="C547" t="s">
        <v>5555</v>
      </c>
      <c r="D547">
        <v>15.77</v>
      </c>
      <c r="E547" t="s">
        <v>5235</v>
      </c>
      <c r="F547" s="10" t="s">
        <v>6362</v>
      </c>
      <c r="G547" t="s">
        <v>6365</v>
      </c>
    </row>
    <row r="548" spans="1:7" x14ac:dyDescent="0.35">
      <c r="A548" t="s">
        <v>5905</v>
      </c>
      <c r="B548" t="s">
        <v>5515</v>
      </c>
      <c r="C548" t="s">
        <v>4671</v>
      </c>
      <c r="D548">
        <v>13.99</v>
      </c>
      <c r="E548" t="s">
        <v>5196</v>
      </c>
      <c r="F548" s="10" t="s">
        <v>6362</v>
      </c>
      <c r="G548" t="s">
        <v>74</v>
      </c>
    </row>
    <row r="549" spans="1:7" x14ac:dyDescent="0.35">
      <c r="A549" t="s">
        <v>5906</v>
      </c>
      <c r="B549" t="s">
        <v>5298</v>
      </c>
      <c r="C549" t="s">
        <v>5296</v>
      </c>
      <c r="D549">
        <v>15.83</v>
      </c>
      <c r="E549" t="s">
        <v>5197</v>
      </c>
      <c r="F549" s="10" t="s">
        <v>6363</v>
      </c>
      <c r="G549" t="s">
        <v>74</v>
      </c>
    </row>
    <row r="550" spans="1:7" x14ac:dyDescent="0.35">
      <c r="A550" t="s">
        <v>5907</v>
      </c>
      <c r="B550" t="s">
        <v>5504</v>
      </c>
      <c r="C550" t="s">
        <v>5453</v>
      </c>
      <c r="D550">
        <v>39.76</v>
      </c>
      <c r="E550" t="s">
        <v>5199</v>
      </c>
      <c r="F550" s="10" t="s">
        <v>6362</v>
      </c>
      <c r="G550" t="s">
        <v>74</v>
      </c>
    </row>
    <row r="551" spans="1:7" x14ac:dyDescent="0.35">
      <c r="A551" t="s">
        <v>5908</v>
      </c>
      <c r="B551" t="s">
        <v>5272</v>
      </c>
      <c r="C551" t="s">
        <v>5312</v>
      </c>
      <c r="D551">
        <v>23.75</v>
      </c>
      <c r="E551" t="s">
        <v>5198</v>
      </c>
      <c r="F551" s="10" t="s">
        <v>6363</v>
      </c>
      <c r="G551" t="s">
        <v>74</v>
      </c>
    </row>
    <row r="552" spans="1:7" x14ac:dyDescent="0.35">
      <c r="A552" t="s">
        <v>5909</v>
      </c>
      <c r="B552" t="s">
        <v>5515</v>
      </c>
      <c r="C552" t="s">
        <v>4707</v>
      </c>
      <c r="D552">
        <v>14.7</v>
      </c>
      <c r="E552" t="s">
        <v>5197</v>
      </c>
      <c r="F552" s="10" t="s">
        <v>6362</v>
      </c>
      <c r="G552" t="s">
        <v>71</v>
      </c>
    </row>
    <row r="553" spans="1:7" x14ac:dyDescent="0.35">
      <c r="A553" t="s">
        <v>5910</v>
      </c>
      <c r="B553" t="s">
        <v>5385</v>
      </c>
      <c r="C553" t="s">
        <v>5747</v>
      </c>
      <c r="D553">
        <v>24.74</v>
      </c>
      <c r="E553" t="s">
        <v>5196</v>
      </c>
      <c r="F553" s="10" t="s">
        <v>6363</v>
      </c>
      <c r="G553" t="s">
        <v>6365</v>
      </c>
    </row>
    <row r="554" spans="1:7" x14ac:dyDescent="0.35">
      <c r="A554" t="s">
        <v>5911</v>
      </c>
      <c r="B554" t="s">
        <v>5383</v>
      </c>
      <c r="C554" t="s">
        <v>5735</v>
      </c>
      <c r="D554">
        <v>28.75</v>
      </c>
      <c r="E554" t="s">
        <v>5235</v>
      </c>
      <c r="F554" s="10" t="s">
        <v>6362</v>
      </c>
      <c r="G554" t="s">
        <v>6365</v>
      </c>
    </row>
    <row r="555" spans="1:7" x14ac:dyDescent="0.35">
      <c r="A555" t="s">
        <v>5912</v>
      </c>
      <c r="B555" t="s">
        <v>5609</v>
      </c>
      <c r="C555" t="s">
        <v>5502</v>
      </c>
      <c r="D555">
        <v>27.66</v>
      </c>
      <c r="E555" t="s">
        <v>5196</v>
      </c>
      <c r="F555" s="10" t="s">
        <v>6362</v>
      </c>
      <c r="G555" t="s">
        <v>74</v>
      </c>
    </row>
    <row r="556" spans="1:7" x14ac:dyDescent="0.35">
      <c r="A556" t="s">
        <v>5913</v>
      </c>
      <c r="B556" t="s">
        <v>5260</v>
      </c>
      <c r="C556" t="s">
        <v>5248</v>
      </c>
      <c r="D556">
        <v>30.74</v>
      </c>
      <c r="E556" t="s">
        <v>5198</v>
      </c>
      <c r="F556" s="10" t="s">
        <v>6363</v>
      </c>
      <c r="G556" t="s">
        <v>6365</v>
      </c>
    </row>
    <row r="557" spans="1:7" x14ac:dyDescent="0.35">
      <c r="A557" t="s">
        <v>5914</v>
      </c>
      <c r="B557" t="s">
        <v>5494</v>
      </c>
      <c r="C557" t="s">
        <v>4897</v>
      </c>
      <c r="D557">
        <v>10.62</v>
      </c>
      <c r="E557" t="s">
        <v>5199</v>
      </c>
      <c r="F557" s="10" t="s">
        <v>6363</v>
      </c>
      <c r="G557" t="s">
        <v>6365</v>
      </c>
    </row>
    <row r="558" spans="1:7" x14ac:dyDescent="0.35">
      <c r="A558" t="s">
        <v>5915</v>
      </c>
      <c r="B558" t="s">
        <v>5405</v>
      </c>
      <c r="C558" t="s">
        <v>4697</v>
      </c>
      <c r="D558">
        <v>29.84</v>
      </c>
      <c r="E558" t="s">
        <v>5199</v>
      </c>
      <c r="F558" s="10" t="s">
        <v>6363</v>
      </c>
      <c r="G558" t="s">
        <v>6365</v>
      </c>
    </row>
    <row r="559" spans="1:7" x14ac:dyDescent="0.35">
      <c r="A559" t="s">
        <v>5916</v>
      </c>
      <c r="B559" t="s">
        <v>5583</v>
      </c>
      <c r="C559" t="s">
        <v>5634</v>
      </c>
      <c r="D559">
        <v>13.51</v>
      </c>
      <c r="E559" t="s">
        <v>5198</v>
      </c>
      <c r="F559" s="10" t="s">
        <v>6362</v>
      </c>
      <c r="G559" t="s">
        <v>6365</v>
      </c>
    </row>
    <row r="560" spans="1:7" x14ac:dyDescent="0.35">
      <c r="A560" t="s">
        <v>5917</v>
      </c>
      <c r="B560" t="s">
        <v>5291</v>
      </c>
      <c r="C560" t="s">
        <v>5319</v>
      </c>
      <c r="D560">
        <v>25.66</v>
      </c>
      <c r="E560" t="s">
        <v>5235</v>
      </c>
      <c r="F560" s="10" t="s">
        <v>6362</v>
      </c>
      <c r="G560" t="s">
        <v>74</v>
      </c>
    </row>
    <row r="561" spans="1:7" x14ac:dyDescent="0.35">
      <c r="A561" t="s">
        <v>5918</v>
      </c>
      <c r="B561" t="s">
        <v>5628</v>
      </c>
      <c r="C561" t="s">
        <v>5248</v>
      </c>
      <c r="D561">
        <v>10.62</v>
      </c>
      <c r="E561" t="s">
        <v>5198</v>
      </c>
      <c r="F561" s="10" t="s">
        <v>6362</v>
      </c>
      <c r="G561" t="s">
        <v>74</v>
      </c>
    </row>
    <row r="562" spans="1:7" x14ac:dyDescent="0.35">
      <c r="A562" t="s">
        <v>5919</v>
      </c>
      <c r="B562" t="s">
        <v>5440</v>
      </c>
      <c r="C562" t="s">
        <v>5362</v>
      </c>
      <c r="D562">
        <v>27.35</v>
      </c>
      <c r="E562" t="s">
        <v>5197</v>
      </c>
      <c r="F562" s="10" t="s">
        <v>6362</v>
      </c>
      <c r="G562" t="s">
        <v>71</v>
      </c>
    </row>
    <row r="563" spans="1:7" x14ac:dyDescent="0.35">
      <c r="A563" t="s">
        <v>5920</v>
      </c>
      <c r="B563" t="s">
        <v>5333</v>
      </c>
      <c r="C563" t="s">
        <v>5362</v>
      </c>
      <c r="D563">
        <v>13.17</v>
      </c>
      <c r="E563" t="s">
        <v>5196</v>
      </c>
      <c r="F563" s="10" t="s">
        <v>6363</v>
      </c>
      <c r="G563" t="s">
        <v>6365</v>
      </c>
    </row>
    <row r="564" spans="1:7" x14ac:dyDescent="0.35">
      <c r="A564" t="s">
        <v>5921</v>
      </c>
      <c r="B564" t="s">
        <v>5302</v>
      </c>
      <c r="C564" t="s">
        <v>5448</v>
      </c>
      <c r="D564">
        <v>35.14</v>
      </c>
      <c r="E564" t="s">
        <v>5196</v>
      </c>
      <c r="F564" s="10" t="s">
        <v>6362</v>
      </c>
      <c r="G564" t="s">
        <v>6365</v>
      </c>
    </row>
    <row r="565" spans="1:7" x14ac:dyDescent="0.35">
      <c r="A565" t="s">
        <v>5922</v>
      </c>
      <c r="B565" t="s">
        <v>5323</v>
      </c>
      <c r="C565" t="s">
        <v>5308</v>
      </c>
      <c r="D565">
        <v>36.08</v>
      </c>
      <c r="E565" t="s">
        <v>5198</v>
      </c>
      <c r="F565" s="10" t="s">
        <v>6363</v>
      </c>
      <c r="G565" t="s">
        <v>74</v>
      </c>
    </row>
    <row r="566" spans="1:7" x14ac:dyDescent="0.35">
      <c r="A566" t="s">
        <v>5923</v>
      </c>
      <c r="B566" t="s">
        <v>5455</v>
      </c>
      <c r="C566" t="s">
        <v>5649</v>
      </c>
      <c r="D566">
        <v>37.79</v>
      </c>
      <c r="E566" t="s">
        <v>5198</v>
      </c>
      <c r="F566" s="10" t="s">
        <v>6363</v>
      </c>
      <c r="G566" t="s">
        <v>6366</v>
      </c>
    </row>
    <row r="567" spans="1:7" x14ac:dyDescent="0.35">
      <c r="A567" t="s">
        <v>5924</v>
      </c>
      <c r="B567" t="s">
        <v>5589</v>
      </c>
      <c r="C567" t="s">
        <v>5202</v>
      </c>
      <c r="D567">
        <v>38.67</v>
      </c>
      <c r="E567" t="s">
        <v>5198</v>
      </c>
      <c r="F567" s="10" t="s">
        <v>6362</v>
      </c>
      <c r="G567" t="s">
        <v>6365</v>
      </c>
    </row>
    <row r="568" spans="1:7" x14ac:dyDescent="0.35">
      <c r="A568" t="s">
        <v>5925</v>
      </c>
      <c r="B568" t="s">
        <v>5698</v>
      </c>
      <c r="C568" t="s">
        <v>5453</v>
      </c>
      <c r="D568">
        <v>31.9</v>
      </c>
      <c r="E568" t="s">
        <v>5196</v>
      </c>
      <c r="F568" s="10" t="s">
        <v>6362</v>
      </c>
      <c r="G568" t="s">
        <v>6365</v>
      </c>
    </row>
    <row r="569" spans="1:7" x14ac:dyDescent="0.35">
      <c r="A569" t="s">
        <v>5926</v>
      </c>
      <c r="B569" t="s">
        <v>5250</v>
      </c>
      <c r="C569" t="s">
        <v>5472</v>
      </c>
      <c r="D569">
        <v>26.02</v>
      </c>
      <c r="E569" t="s">
        <v>5199</v>
      </c>
      <c r="F569" s="10" t="s">
        <v>6362</v>
      </c>
      <c r="G569" t="s">
        <v>6366</v>
      </c>
    </row>
    <row r="570" spans="1:7" x14ac:dyDescent="0.35">
      <c r="A570" t="s">
        <v>5927</v>
      </c>
      <c r="B570" t="s">
        <v>5401</v>
      </c>
      <c r="C570" t="s">
        <v>5208</v>
      </c>
      <c r="D570">
        <v>23.16</v>
      </c>
      <c r="E570" t="s">
        <v>5199</v>
      </c>
      <c r="F570" s="10" t="s">
        <v>6363</v>
      </c>
      <c r="G570" t="s">
        <v>74</v>
      </c>
    </row>
    <row r="571" spans="1:7" x14ac:dyDescent="0.35">
      <c r="A571" t="s">
        <v>5928</v>
      </c>
      <c r="B571" t="s">
        <v>5304</v>
      </c>
      <c r="C571" t="s">
        <v>5359</v>
      </c>
      <c r="D571">
        <v>20.18</v>
      </c>
      <c r="E571" t="s">
        <v>5199</v>
      </c>
      <c r="F571" s="10" t="s">
        <v>6363</v>
      </c>
      <c r="G571" t="s">
        <v>6365</v>
      </c>
    </row>
    <row r="572" spans="1:7" x14ac:dyDescent="0.35">
      <c r="A572" t="s">
        <v>5929</v>
      </c>
      <c r="B572" t="s">
        <v>5396</v>
      </c>
      <c r="C572" t="s">
        <v>5286</v>
      </c>
      <c r="D572">
        <v>26.27</v>
      </c>
      <c r="E572" t="s">
        <v>5196</v>
      </c>
      <c r="F572" s="10" t="s">
        <v>6362</v>
      </c>
      <c r="G572" t="s">
        <v>74</v>
      </c>
    </row>
    <row r="573" spans="1:7" x14ac:dyDescent="0.35">
      <c r="A573" t="s">
        <v>5930</v>
      </c>
      <c r="B573" t="s">
        <v>5328</v>
      </c>
      <c r="C573" t="s">
        <v>5758</v>
      </c>
      <c r="D573">
        <v>32.799999999999997</v>
      </c>
      <c r="E573" t="s">
        <v>5235</v>
      </c>
      <c r="F573" s="10" t="s">
        <v>6362</v>
      </c>
      <c r="G573" t="s">
        <v>6365</v>
      </c>
    </row>
    <row r="574" spans="1:7" x14ac:dyDescent="0.35">
      <c r="A574" t="s">
        <v>5931</v>
      </c>
      <c r="B574" t="s">
        <v>5483</v>
      </c>
      <c r="C574" t="s">
        <v>5286</v>
      </c>
      <c r="D574">
        <v>14.16</v>
      </c>
      <c r="E574" t="s">
        <v>5198</v>
      </c>
      <c r="F574" s="10" t="s">
        <v>6362</v>
      </c>
      <c r="G574" t="s">
        <v>6365</v>
      </c>
    </row>
    <row r="575" spans="1:7" x14ac:dyDescent="0.35">
      <c r="A575" t="s">
        <v>5932</v>
      </c>
      <c r="B575" t="s">
        <v>5267</v>
      </c>
      <c r="C575" t="s">
        <v>4790</v>
      </c>
      <c r="D575">
        <v>13.94</v>
      </c>
      <c r="E575" t="s">
        <v>5197</v>
      </c>
      <c r="F575" s="10" t="s">
        <v>6363</v>
      </c>
      <c r="G575" t="s">
        <v>6365</v>
      </c>
    </row>
    <row r="576" spans="1:7" x14ac:dyDescent="0.35">
      <c r="A576" t="s">
        <v>5933</v>
      </c>
      <c r="B576" t="s">
        <v>5423</v>
      </c>
      <c r="C576" t="s">
        <v>5463</v>
      </c>
      <c r="D576">
        <v>14.33</v>
      </c>
      <c r="E576" t="s">
        <v>5198</v>
      </c>
      <c r="F576" s="10" t="s">
        <v>6362</v>
      </c>
      <c r="G576" t="s">
        <v>6365</v>
      </c>
    </row>
    <row r="577" spans="1:7" x14ac:dyDescent="0.35">
      <c r="A577" t="s">
        <v>5934</v>
      </c>
      <c r="B577" t="s">
        <v>5224</v>
      </c>
      <c r="C577" t="s">
        <v>5499</v>
      </c>
      <c r="D577">
        <v>38.19</v>
      </c>
      <c r="E577" t="s">
        <v>5198</v>
      </c>
      <c r="F577" s="10" t="s">
        <v>6362</v>
      </c>
      <c r="G577" t="s">
        <v>6365</v>
      </c>
    </row>
    <row r="578" spans="1:7" x14ac:dyDescent="0.35">
      <c r="A578" t="s">
        <v>5935</v>
      </c>
      <c r="B578" t="s">
        <v>5288</v>
      </c>
      <c r="C578" t="s">
        <v>4707</v>
      </c>
      <c r="D578">
        <v>25.72</v>
      </c>
      <c r="E578" t="s">
        <v>5198</v>
      </c>
      <c r="F578" s="10" t="s">
        <v>6363</v>
      </c>
      <c r="G578" t="s">
        <v>74</v>
      </c>
    </row>
    <row r="579" spans="1:7" x14ac:dyDescent="0.35">
      <c r="A579" t="s">
        <v>5936</v>
      </c>
      <c r="B579" t="s">
        <v>5224</v>
      </c>
      <c r="C579" t="s">
        <v>5215</v>
      </c>
      <c r="D579">
        <v>27.13</v>
      </c>
      <c r="E579" t="s">
        <v>5197</v>
      </c>
      <c r="F579" s="10" t="s">
        <v>6362</v>
      </c>
      <c r="G579" t="s">
        <v>6365</v>
      </c>
    </row>
    <row r="580" spans="1:7" x14ac:dyDescent="0.35">
      <c r="A580" t="s">
        <v>5937</v>
      </c>
      <c r="B580" t="s">
        <v>5264</v>
      </c>
      <c r="C580" t="s">
        <v>5463</v>
      </c>
      <c r="D580">
        <v>39.19</v>
      </c>
      <c r="E580" t="s">
        <v>5235</v>
      </c>
      <c r="F580" s="10" t="s">
        <v>6363</v>
      </c>
      <c r="G580" t="s">
        <v>6365</v>
      </c>
    </row>
    <row r="581" spans="1:7" x14ac:dyDescent="0.35">
      <c r="A581" t="s">
        <v>5938</v>
      </c>
      <c r="B581" t="s">
        <v>5253</v>
      </c>
      <c r="C581" t="s">
        <v>4700</v>
      </c>
      <c r="D581">
        <v>21.09</v>
      </c>
      <c r="E581" t="s">
        <v>5198</v>
      </c>
      <c r="F581" s="10" t="s">
        <v>6362</v>
      </c>
      <c r="G581" t="s">
        <v>71</v>
      </c>
    </row>
    <row r="582" spans="1:7" x14ac:dyDescent="0.35">
      <c r="A582" t="s">
        <v>5939</v>
      </c>
      <c r="B582" t="s">
        <v>5232</v>
      </c>
      <c r="C582" t="s">
        <v>5340</v>
      </c>
      <c r="D582">
        <v>22.83</v>
      </c>
      <c r="E582" t="s">
        <v>5197</v>
      </c>
      <c r="F582" s="10" t="s">
        <v>6362</v>
      </c>
      <c r="G582" t="s">
        <v>74</v>
      </c>
    </row>
    <row r="583" spans="1:7" x14ac:dyDescent="0.35">
      <c r="A583" t="s">
        <v>5940</v>
      </c>
      <c r="B583" t="s">
        <v>5237</v>
      </c>
      <c r="C583" t="s">
        <v>5378</v>
      </c>
      <c r="D583">
        <v>14.06</v>
      </c>
      <c r="E583" t="s">
        <v>5196</v>
      </c>
      <c r="F583" s="10" t="s">
        <v>6362</v>
      </c>
      <c r="G583" t="s">
        <v>6365</v>
      </c>
    </row>
    <row r="584" spans="1:7" x14ac:dyDescent="0.35">
      <c r="A584" t="s">
        <v>5941</v>
      </c>
      <c r="B584" t="s">
        <v>5267</v>
      </c>
      <c r="C584" t="s">
        <v>5115</v>
      </c>
      <c r="D584">
        <v>21.4</v>
      </c>
      <c r="E584" t="s">
        <v>5199</v>
      </c>
      <c r="F584" s="10" t="s">
        <v>6362</v>
      </c>
      <c r="G584" t="s">
        <v>74</v>
      </c>
    </row>
    <row r="585" spans="1:7" x14ac:dyDescent="0.35">
      <c r="A585" t="s">
        <v>5942</v>
      </c>
      <c r="B585" t="s">
        <v>5224</v>
      </c>
      <c r="C585" t="s">
        <v>4676</v>
      </c>
      <c r="D585">
        <v>11.47</v>
      </c>
      <c r="E585" t="s">
        <v>5197</v>
      </c>
      <c r="F585" s="10" t="s">
        <v>6363</v>
      </c>
      <c r="G585" t="s">
        <v>6365</v>
      </c>
    </row>
    <row r="586" spans="1:7" x14ac:dyDescent="0.35">
      <c r="A586" t="s">
        <v>5943</v>
      </c>
      <c r="B586" t="s">
        <v>5390</v>
      </c>
      <c r="C586" t="s">
        <v>5634</v>
      </c>
      <c r="D586">
        <v>17.89</v>
      </c>
      <c r="E586" t="s">
        <v>5198</v>
      </c>
      <c r="F586" s="10" t="s">
        <v>6362</v>
      </c>
      <c r="G586" t="s">
        <v>6365</v>
      </c>
    </row>
    <row r="587" spans="1:7" x14ac:dyDescent="0.35">
      <c r="A587" t="s">
        <v>5944</v>
      </c>
      <c r="B587" t="s">
        <v>5444</v>
      </c>
      <c r="C587" t="s">
        <v>4714</v>
      </c>
      <c r="D587">
        <v>28.61</v>
      </c>
      <c r="E587" t="s">
        <v>5198</v>
      </c>
      <c r="F587" s="10" t="s">
        <v>6362</v>
      </c>
      <c r="G587" t="s">
        <v>6365</v>
      </c>
    </row>
    <row r="588" spans="1:7" x14ac:dyDescent="0.35">
      <c r="A588" t="s">
        <v>5945</v>
      </c>
      <c r="B588" t="s">
        <v>5219</v>
      </c>
      <c r="C588" t="s">
        <v>5497</v>
      </c>
      <c r="D588">
        <v>23.17</v>
      </c>
      <c r="E588" t="s">
        <v>5197</v>
      </c>
      <c r="F588" s="10" t="s">
        <v>6362</v>
      </c>
      <c r="G588" t="s">
        <v>74</v>
      </c>
    </row>
    <row r="589" spans="1:7" x14ac:dyDescent="0.35">
      <c r="A589" t="s">
        <v>5946</v>
      </c>
      <c r="B589" t="s">
        <v>5390</v>
      </c>
      <c r="C589" t="s">
        <v>5649</v>
      </c>
      <c r="D589">
        <v>17.46</v>
      </c>
      <c r="E589" t="s">
        <v>5198</v>
      </c>
      <c r="F589" s="10" t="s">
        <v>6362</v>
      </c>
      <c r="G589" t="s">
        <v>6365</v>
      </c>
    </row>
    <row r="590" spans="1:7" x14ac:dyDescent="0.35">
      <c r="A590" t="s">
        <v>5947</v>
      </c>
      <c r="B590" t="s">
        <v>5239</v>
      </c>
      <c r="C590" t="s">
        <v>5584</v>
      </c>
      <c r="D590">
        <v>28.7</v>
      </c>
      <c r="E590" t="s">
        <v>5196</v>
      </c>
      <c r="F590" s="10" t="s">
        <v>6363</v>
      </c>
      <c r="G590" t="s">
        <v>6365</v>
      </c>
    </row>
    <row r="591" spans="1:7" x14ac:dyDescent="0.35">
      <c r="A591" t="s">
        <v>5948</v>
      </c>
      <c r="B591" t="s">
        <v>5318</v>
      </c>
      <c r="C591" t="s">
        <v>5215</v>
      </c>
      <c r="D591">
        <v>12.96</v>
      </c>
      <c r="E591" t="s">
        <v>5196</v>
      </c>
      <c r="F591" s="10" t="s">
        <v>6363</v>
      </c>
      <c r="G591" t="s">
        <v>6365</v>
      </c>
    </row>
    <row r="592" spans="1:7" x14ac:dyDescent="0.35">
      <c r="A592" t="s">
        <v>5949</v>
      </c>
      <c r="B592" t="s">
        <v>5358</v>
      </c>
      <c r="C592" t="s">
        <v>5334</v>
      </c>
      <c r="D592">
        <v>16.010000000000002</v>
      </c>
      <c r="E592" t="s">
        <v>5199</v>
      </c>
      <c r="F592" s="10" t="s">
        <v>6362</v>
      </c>
      <c r="G592" t="s">
        <v>74</v>
      </c>
    </row>
    <row r="593" spans="1:7" x14ac:dyDescent="0.35">
      <c r="A593" t="s">
        <v>5950</v>
      </c>
      <c r="B593" t="s">
        <v>5583</v>
      </c>
      <c r="C593" t="s">
        <v>5319</v>
      </c>
      <c r="D593">
        <v>14.25</v>
      </c>
      <c r="E593" t="s">
        <v>5235</v>
      </c>
      <c r="F593" s="10" t="s">
        <v>6363</v>
      </c>
      <c r="G593" t="s">
        <v>6365</v>
      </c>
    </row>
    <row r="594" spans="1:7" x14ac:dyDescent="0.35">
      <c r="A594" t="s">
        <v>5951</v>
      </c>
      <c r="B594" t="s">
        <v>5224</v>
      </c>
      <c r="C594" t="s">
        <v>5502</v>
      </c>
      <c r="D594">
        <v>22.97</v>
      </c>
      <c r="E594" t="s">
        <v>5199</v>
      </c>
      <c r="F594" s="10" t="s">
        <v>6362</v>
      </c>
      <c r="G594" t="s">
        <v>6365</v>
      </c>
    </row>
    <row r="595" spans="1:7" x14ac:dyDescent="0.35">
      <c r="A595" t="s">
        <v>5952</v>
      </c>
      <c r="B595" t="s">
        <v>5272</v>
      </c>
      <c r="C595" t="s">
        <v>5208</v>
      </c>
      <c r="D595">
        <v>37.07</v>
      </c>
      <c r="E595" t="s">
        <v>5235</v>
      </c>
      <c r="F595" s="10" t="s">
        <v>6363</v>
      </c>
      <c r="G595" t="s">
        <v>6366</v>
      </c>
    </row>
    <row r="596" spans="1:7" x14ac:dyDescent="0.35">
      <c r="A596" t="s">
        <v>5953</v>
      </c>
      <c r="B596" t="s">
        <v>5345</v>
      </c>
      <c r="C596" t="s">
        <v>5510</v>
      </c>
      <c r="D596">
        <v>39.92</v>
      </c>
      <c r="E596" t="s">
        <v>5197</v>
      </c>
      <c r="F596" s="10" t="s">
        <v>6363</v>
      </c>
      <c r="G596" t="s">
        <v>71</v>
      </c>
    </row>
    <row r="597" spans="1:7" x14ac:dyDescent="0.35">
      <c r="A597" t="s">
        <v>5954</v>
      </c>
      <c r="B597" t="s">
        <v>5477</v>
      </c>
      <c r="C597" t="s">
        <v>5319</v>
      </c>
      <c r="D597">
        <v>33.619999999999997</v>
      </c>
      <c r="E597" t="s">
        <v>5199</v>
      </c>
      <c r="F597" s="10" t="s">
        <v>6363</v>
      </c>
      <c r="G597" t="s">
        <v>6366</v>
      </c>
    </row>
    <row r="598" spans="1:7" x14ac:dyDescent="0.35">
      <c r="A598" t="s">
        <v>5955</v>
      </c>
      <c r="B598" t="s">
        <v>5244</v>
      </c>
      <c r="C598" t="s">
        <v>5499</v>
      </c>
      <c r="D598">
        <v>21.49</v>
      </c>
      <c r="E598" t="s">
        <v>5196</v>
      </c>
      <c r="F598" s="10" t="s">
        <v>6362</v>
      </c>
      <c r="G598" t="s">
        <v>6365</v>
      </c>
    </row>
    <row r="599" spans="1:7" x14ac:dyDescent="0.35">
      <c r="A599" t="s">
        <v>5956</v>
      </c>
      <c r="B599" t="s">
        <v>5260</v>
      </c>
      <c r="C599" t="s">
        <v>5108</v>
      </c>
      <c r="D599">
        <v>37.36</v>
      </c>
      <c r="E599" t="s">
        <v>5235</v>
      </c>
      <c r="F599" s="10" t="s">
        <v>6363</v>
      </c>
      <c r="G599" t="s">
        <v>71</v>
      </c>
    </row>
    <row r="600" spans="1:7" x14ac:dyDescent="0.35">
      <c r="A600" t="s">
        <v>5957</v>
      </c>
      <c r="B600" t="s">
        <v>5247</v>
      </c>
      <c r="C600" t="s">
        <v>5245</v>
      </c>
      <c r="D600">
        <v>10.9</v>
      </c>
      <c r="E600" t="s">
        <v>5199</v>
      </c>
      <c r="F600" s="10" t="s">
        <v>6363</v>
      </c>
      <c r="G600" t="s">
        <v>71</v>
      </c>
    </row>
    <row r="601" spans="1:7" x14ac:dyDescent="0.35">
      <c r="A601" t="s">
        <v>5958</v>
      </c>
      <c r="B601" t="s">
        <v>5358</v>
      </c>
      <c r="C601" t="s">
        <v>5406</v>
      </c>
      <c r="D601">
        <v>19.36</v>
      </c>
      <c r="E601" t="s">
        <v>5235</v>
      </c>
      <c r="F601" s="10" t="s">
        <v>6363</v>
      </c>
      <c r="G601" t="s">
        <v>71</v>
      </c>
    </row>
    <row r="602" spans="1:7" x14ac:dyDescent="0.35">
      <c r="A602" t="s">
        <v>5959</v>
      </c>
      <c r="B602" t="s">
        <v>5221</v>
      </c>
      <c r="C602" t="s">
        <v>5324</v>
      </c>
      <c r="D602">
        <v>17.649999999999999</v>
      </c>
      <c r="E602" t="s">
        <v>5197</v>
      </c>
      <c r="F602" s="10" t="s">
        <v>6363</v>
      </c>
      <c r="G602" t="s">
        <v>6365</v>
      </c>
    </row>
    <row r="603" spans="1:7" x14ac:dyDescent="0.35">
      <c r="A603" t="s">
        <v>5960</v>
      </c>
      <c r="B603" t="s">
        <v>5224</v>
      </c>
      <c r="C603" t="s">
        <v>5312</v>
      </c>
      <c r="D603">
        <v>32.799999999999997</v>
      </c>
      <c r="E603" t="s">
        <v>5199</v>
      </c>
      <c r="F603" s="10" t="s">
        <v>6363</v>
      </c>
      <c r="G603" t="s">
        <v>71</v>
      </c>
    </row>
    <row r="604" spans="1:7" x14ac:dyDescent="0.35">
      <c r="A604" t="s">
        <v>5961</v>
      </c>
      <c r="B604" t="s">
        <v>5214</v>
      </c>
      <c r="C604" t="s">
        <v>5453</v>
      </c>
      <c r="D604">
        <v>18.78</v>
      </c>
      <c r="E604" t="s">
        <v>5198</v>
      </c>
      <c r="F604" s="10" t="s">
        <v>6363</v>
      </c>
      <c r="G604" t="s">
        <v>74</v>
      </c>
    </row>
    <row r="605" spans="1:7" x14ac:dyDescent="0.35">
      <c r="A605" t="s">
        <v>5962</v>
      </c>
      <c r="B605" t="s">
        <v>5494</v>
      </c>
      <c r="C605" t="s">
        <v>5308</v>
      </c>
      <c r="D605">
        <v>37.590000000000003</v>
      </c>
      <c r="E605" t="s">
        <v>5198</v>
      </c>
      <c r="F605" s="10" t="s">
        <v>6362</v>
      </c>
      <c r="G605" t="s">
        <v>6365</v>
      </c>
    </row>
    <row r="606" spans="1:7" x14ac:dyDescent="0.35">
      <c r="A606" t="s">
        <v>5963</v>
      </c>
      <c r="B606" t="s">
        <v>5398</v>
      </c>
      <c r="C606" t="s">
        <v>5448</v>
      </c>
      <c r="D606">
        <v>20.84</v>
      </c>
      <c r="E606" t="s">
        <v>5199</v>
      </c>
      <c r="F606" s="10" t="s">
        <v>6363</v>
      </c>
      <c r="G606" t="s">
        <v>74</v>
      </c>
    </row>
    <row r="607" spans="1:7" x14ac:dyDescent="0.35">
      <c r="A607" t="s">
        <v>5964</v>
      </c>
      <c r="B607" t="s">
        <v>5285</v>
      </c>
      <c r="C607" t="s">
        <v>5173</v>
      </c>
      <c r="D607">
        <v>22.43</v>
      </c>
      <c r="E607" t="s">
        <v>5235</v>
      </c>
      <c r="F607" s="10" t="s">
        <v>6362</v>
      </c>
      <c r="G607" t="s">
        <v>71</v>
      </c>
    </row>
    <row r="608" spans="1:7" x14ac:dyDescent="0.35">
      <c r="A608" t="s">
        <v>5965</v>
      </c>
      <c r="B608" t="s">
        <v>5328</v>
      </c>
      <c r="C608" t="s">
        <v>4781</v>
      </c>
      <c r="D608">
        <v>10.11</v>
      </c>
      <c r="E608" t="s">
        <v>5199</v>
      </c>
      <c r="F608" s="10" t="s">
        <v>6363</v>
      </c>
      <c r="G608" t="s">
        <v>6365</v>
      </c>
    </row>
    <row r="609" spans="1:7" x14ac:dyDescent="0.35">
      <c r="A609" t="s">
        <v>5966</v>
      </c>
      <c r="B609" t="s">
        <v>5504</v>
      </c>
      <c r="C609" t="s">
        <v>4896</v>
      </c>
      <c r="D609">
        <v>25.29</v>
      </c>
      <c r="E609" t="s">
        <v>5198</v>
      </c>
      <c r="F609" s="10" t="s">
        <v>6363</v>
      </c>
      <c r="G609" t="s">
        <v>6366</v>
      </c>
    </row>
    <row r="610" spans="1:7" x14ac:dyDescent="0.35">
      <c r="A610" t="s">
        <v>5967</v>
      </c>
      <c r="B610" t="s">
        <v>5237</v>
      </c>
      <c r="C610" t="s">
        <v>5466</v>
      </c>
      <c r="D610">
        <v>30.31</v>
      </c>
      <c r="E610" t="s">
        <v>5198</v>
      </c>
      <c r="F610" s="10" t="s">
        <v>6363</v>
      </c>
      <c r="G610" t="s">
        <v>74</v>
      </c>
    </row>
    <row r="611" spans="1:7" x14ac:dyDescent="0.35">
      <c r="A611" t="s">
        <v>5968</v>
      </c>
      <c r="B611" t="s">
        <v>5347</v>
      </c>
      <c r="C611" t="s">
        <v>5230</v>
      </c>
      <c r="D611">
        <v>14.53</v>
      </c>
      <c r="E611" t="s">
        <v>5196</v>
      </c>
      <c r="F611" s="10" t="s">
        <v>6362</v>
      </c>
      <c r="G611" t="s">
        <v>6366</v>
      </c>
    </row>
    <row r="612" spans="1:7" x14ac:dyDescent="0.35">
      <c r="A612" t="s">
        <v>5969</v>
      </c>
      <c r="B612" t="s">
        <v>5212</v>
      </c>
      <c r="C612" t="s">
        <v>5286</v>
      </c>
      <c r="D612">
        <v>32.25</v>
      </c>
      <c r="E612" t="s">
        <v>5197</v>
      </c>
      <c r="F612" s="10" t="s">
        <v>6363</v>
      </c>
      <c r="G612" t="s">
        <v>6365</v>
      </c>
    </row>
    <row r="613" spans="1:7" x14ac:dyDescent="0.35">
      <c r="A613" t="s">
        <v>5970</v>
      </c>
      <c r="B613" t="s">
        <v>5204</v>
      </c>
      <c r="C613" t="s">
        <v>5115</v>
      </c>
      <c r="D613">
        <v>16.489999999999998</v>
      </c>
      <c r="E613" t="s">
        <v>5199</v>
      </c>
      <c r="F613" s="10" t="s">
        <v>6362</v>
      </c>
      <c r="G613" t="s">
        <v>6365</v>
      </c>
    </row>
    <row r="614" spans="1:7" x14ac:dyDescent="0.35">
      <c r="A614" t="s">
        <v>5971</v>
      </c>
      <c r="B614" t="s">
        <v>5398</v>
      </c>
      <c r="C614" t="s">
        <v>4559</v>
      </c>
      <c r="D614">
        <v>22.3</v>
      </c>
      <c r="E614" t="s">
        <v>5198</v>
      </c>
      <c r="F614" s="10" t="s">
        <v>6362</v>
      </c>
      <c r="G614" t="s">
        <v>71</v>
      </c>
    </row>
    <row r="615" spans="1:7" x14ac:dyDescent="0.35">
      <c r="A615" t="s">
        <v>5972</v>
      </c>
      <c r="B615" t="s">
        <v>5515</v>
      </c>
      <c r="C615" t="s">
        <v>5414</v>
      </c>
      <c r="D615">
        <v>34.369999999999997</v>
      </c>
      <c r="E615" t="s">
        <v>5199</v>
      </c>
      <c r="F615" s="10" t="s">
        <v>6363</v>
      </c>
      <c r="G615" t="s">
        <v>71</v>
      </c>
    </row>
    <row r="616" spans="1:7" x14ac:dyDescent="0.35">
      <c r="A616" t="s">
        <v>5973</v>
      </c>
      <c r="B616" t="s">
        <v>5234</v>
      </c>
      <c r="C616" t="s">
        <v>5460</v>
      </c>
      <c r="D616">
        <v>15.71</v>
      </c>
      <c r="E616" t="s">
        <v>5196</v>
      </c>
      <c r="F616" s="10" t="s">
        <v>6363</v>
      </c>
      <c r="G616" t="s">
        <v>74</v>
      </c>
    </row>
    <row r="617" spans="1:7" x14ac:dyDescent="0.35">
      <c r="A617" t="s">
        <v>5974</v>
      </c>
      <c r="B617" t="s">
        <v>5345</v>
      </c>
      <c r="C617" t="s">
        <v>5240</v>
      </c>
      <c r="D617">
        <v>19.809999999999999</v>
      </c>
      <c r="E617" t="s">
        <v>5199</v>
      </c>
      <c r="F617" s="10" t="s">
        <v>6362</v>
      </c>
      <c r="G617" t="s">
        <v>6365</v>
      </c>
    </row>
    <row r="618" spans="1:7" x14ac:dyDescent="0.35">
      <c r="A618" t="s">
        <v>5975</v>
      </c>
      <c r="B618" t="s">
        <v>5260</v>
      </c>
      <c r="C618" t="s">
        <v>5228</v>
      </c>
      <c r="D618">
        <v>22.69</v>
      </c>
      <c r="E618" t="s">
        <v>5199</v>
      </c>
      <c r="F618" s="10" t="s">
        <v>6363</v>
      </c>
      <c r="G618" t="s">
        <v>6365</v>
      </c>
    </row>
    <row r="619" spans="1:7" x14ac:dyDescent="0.35">
      <c r="A619" t="s">
        <v>5976</v>
      </c>
      <c r="B619" t="s">
        <v>5694</v>
      </c>
      <c r="C619" t="s">
        <v>4856</v>
      </c>
      <c r="D619">
        <v>30.17</v>
      </c>
      <c r="E619" t="s">
        <v>5197</v>
      </c>
      <c r="F619" s="10" t="s">
        <v>6362</v>
      </c>
      <c r="G619" t="s">
        <v>74</v>
      </c>
    </row>
    <row r="620" spans="1:7" x14ac:dyDescent="0.35">
      <c r="A620" t="s">
        <v>5977</v>
      </c>
      <c r="B620" t="s">
        <v>5338</v>
      </c>
      <c r="C620" t="s">
        <v>5460</v>
      </c>
      <c r="D620">
        <v>31.01</v>
      </c>
      <c r="E620" t="s">
        <v>5199</v>
      </c>
      <c r="F620" s="10" t="s">
        <v>6363</v>
      </c>
      <c r="G620" t="s">
        <v>74</v>
      </c>
    </row>
    <row r="621" spans="1:7" x14ac:dyDescent="0.35">
      <c r="A621" t="s">
        <v>5978</v>
      </c>
      <c r="B621" t="s">
        <v>5494</v>
      </c>
      <c r="C621" t="s">
        <v>5460</v>
      </c>
      <c r="D621">
        <v>21.71</v>
      </c>
      <c r="E621" t="s">
        <v>5197</v>
      </c>
      <c r="F621" s="10" t="s">
        <v>6363</v>
      </c>
      <c r="G621" t="s">
        <v>6365</v>
      </c>
    </row>
    <row r="622" spans="1:7" x14ac:dyDescent="0.35">
      <c r="A622" t="s">
        <v>5979</v>
      </c>
      <c r="B622" t="s">
        <v>5214</v>
      </c>
      <c r="C622" t="s">
        <v>4764</v>
      </c>
      <c r="D622">
        <v>27.45</v>
      </c>
      <c r="E622" t="s">
        <v>5196</v>
      </c>
      <c r="F622" s="10" t="s">
        <v>6362</v>
      </c>
      <c r="G622" t="s">
        <v>71</v>
      </c>
    </row>
    <row r="623" spans="1:7" x14ac:dyDescent="0.35">
      <c r="A623" t="s">
        <v>5980</v>
      </c>
      <c r="B623" t="s">
        <v>5315</v>
      </c>
      <c r="C623" t="s">
        <v>5273</v>
      </c>
      <c r="D623">
        <v>30.04</v>
      </c>
      <c r="E623" t="s">
        <v>5196</v>
      </c>
      <c r="F623" s="10" t="s">
        <v>6363</v>
      </c>
      <c r="G623" t="s">
        <v>6365</v>
      </c>
    </row>
    <row r="624" spans="1:7" x14ac:dyDescent="0.35">
      <c r="A624" t="s">
        <v>5981</v>
      </c>
      <c r="B624" t="s">
        <v>5455</v>
      </c>
      <c r="C624" t="s">
        <v>5378</v>
      </c>
      <c r="D624">
        <v>29.66</v>
      </c>
      <c r="E624" t="s">
        <v>5235</v>
      </c>
      <c r="F624" s="10" t="s">
        <v>6363</v>
      </c>
      <c r="G624" t="s">
        <v>74</v>
      </c>
    </row>
    <row r="625" spans="1:7" x14ac:dyDescent="0.35">
      <c r="A625" t="s">
        <v>5982</v>
      </c>
      <c r="B625" t="s">
        <v>5609</v>
      </c>
      <c r="C625" t="s">
        <v>5230</v>
      </c>
      <c r="D625">
        <v>17</v>
      </c>
      <c r="E625" t="s">
        <v>5235</v>
      </c>
      <c r="F625" s="10" t="s">
        <v>6363</v>
      </c>
      <c r="G625" t="s">
        <v>71</v>
      </c>
    </row>
    <row r="626" spans="1:7" x14ac:dyDescent="0.35">
      <c r="A626" t="s">
        <v>5983</v>
      </c>
      <c r="B626" t="s">
        <v>5444</v>
      </c>
      <c r="C626" t="s">
        <v>5353</v>
      </c>
      <c r="D626">
        <v>26.05</v>
      </c>
      <c r="E626" t="s">
        <v>5197</v>
      </c>
      <c r="F626" s="10" t="s">
        <v>6362</v>
      </c>
      <c r="G626" t="s">
        <v>74</v>
      </c>
    </row>
    <row r="627" spans="1:7" x14ac:dyDescent="0.35">
      <c r="A627" t="s">
        <v>5984</v>
      </c>
      <c r="B627" t="s">
        <v>5250</v>
      </c>
      <c r="C627" t="s">
        <v>5409</v>
      </c>
      <c r="D627">
        <v>22.51</v>
      </c>
      <c r="E627" t="s">
        <v>5197</v>
      </c>
      <c r="F627" s="10" t="s">
        <v>6363</v>
      </c>
      <c r="G627" t="s">
        <v>6365</v>
      </c>
    </row>
    <row r="628" spans="1:7" x14ac:dyDescent="0.35">
      <c r="A628" t="s">
        <v>5985</v>
      </c>
      <c r="B628" t="s">
        <v>5219</v>
      </c>
      <c r="C628" t="s">
        <v>4671</v>
      </c>
      <c r="D628">
        <v>11.19</v>
      </c>
      <c r="E628" t="s">
        <v>5197</v>
      </c>
      <c r="F628" s="10" t="s">
        <v>6363</v>
      </c>
      <c r="G628" t="s">
        <v>6365</v>
      </c>
    </row>
    <row r="629" spans="1:7" x14ac:dyDescent="0.35">
      <c r="A629" t="s">
        <v>5986</v>
      </c>
      <c r="B629" t="s">
        <v>5227</v>
      </c>
      <c r="C629" t="s">
        <v>5505</v>
      </c>
      <c r="D629">
        <v>37.71</v>
      </c>
      <c r="E629" t="s">
        <v>5199</v>
      </c>
      <c r="F629" s="10" t="s">
        <v>6363</v>
      </c>
      <c r="G629" t="s">
        <v>71</v>
      </c>
    </row>
    <row r="630" spans="1:7" x14ac:dyDescent="0.35">
      <c r="A630" t="s">
        <v>5987</v>
      </c>
      <c r="B630" t="s">
        <v>5444</v>
      </c>
      <c r="C630" t="s">
        <v>4696</v>
      </c>
      <c r="D630">
        <v>30.98</v>
      </c>
      <c r="E630" t="s">
        <v>5197</v>
      </c>
      <c r="F630" s="10" t="s">
        <v>6363</v>
      </c>
      <c r="G630" t="s">
        <v>74</v>
      </c>
    </row>
    <row r="631" spans="1:7" x14ac:dyDescent="0.35">
      <c r="A631" t="s">
        <v>5988</v>
      </c>
      <c r="B631" t="s">
        <v>5347</v>
      </c>
      <c r="C631" t="s">
        <v>5273</v>
      </c>
      <c r="D631">
        <v>19.149999999999999</v>
      </c>
      <c r="E631" t="s">
        <v>5198</v>
      </c>
      <c r="F631" s="10" t="s">
        <v>6362</v>
      </c>
      <c r="G631" t="s">
        <v>74</v>
      </c>
    </row>
    <row r="632" spans="1:7" x14ac:dyDescent="0.35">
      <c r="A632" t="s">
        <v>5989</v>
      </c>
      <c r="B632" t="s">
        <v>5990</v>
      </c>
      <c r="C632" t="s">
        <v>5286</v>
      </c>
      <c r="D632">
        <v>11.66</v>
      </c>
      <c r="E632" t="s">
        <v>5196</v>
      </c>
      <c r="F632" s="10" t="s">
        <v>6363</v>
      </c>
      <c r="G632" t="s">
        <v>74</v>
      </c>
    </row>
    <row r="633" spans="1:7" x14ac:dyDescent="0.35">
      <c r="A633" t="s">
        <v>5991</v>
      </c>
      <c r="B633" t="s">
        <v>5302</v>
      </c>
      <c r="C633" t="s">
        <v>5510</v>
      </c>
      <c r="D633">
        <v>10.77</v>
      </c>
      <c r="E633" t="s">
        <v>5197</v>
      </c>
      <c r="F633" s="10" t="s">
        <v>6363</v>
      </c>
      <c r="G633" t="s">
        <v>74</v>
      </c>
    </row>
    <row r="634" spans="1:7" x14ac:dyDescent="0.35">
      <c r="A634" t="s">
        <v>5992</v>
      </c>
      <c r="B634" t="s">
        <v>5401</v>
      </c>
      <c r="C634" t="s">
        <v>4915</v>
      </c>
      <c r="D634">
        <v>15.42</v>
      </c>
      <c r="E634" t="s">
        <v>5196</v>
      </c>
      <c r="F634" s="10" t="s">
        <v>6363</v>
      </c>
      <c r="G634" t="s">
        <v>71</v>
      </c>
    </row>
    <row r="635" spans="1:7" x14ac:dyDescent="0.35">
      <c r="A635" t="s">
        <v>5993</v>
      </c>
      <c r="B635" t="s">
        <v>5318</v>
      </c>
      <c r="C635" t="s">
        <v>5409</v>
      </c>
      <c r="D635">
        <v>29.34</v>
      </c>
      <c r="E635" t="s">
        <v>5199</v>
      </c>
      <c r="F635" s="10" t="s">
        <v>6362</v>
      </c>
      <c r="G635" t="s">
        <v>6365</v>
      </c>
    </row>
    <row r="636" spans="1:7" x14ac:dyDescent="0.35">
      <c r="A636" t="s">
        <v>5994</v>
      </c>
      <c r="B636" t="s">
        <v>5212</v>
      </c>
      <c r="C636" t="s">
        <v>5268</v>
      </c>
      <c r="D636">
        <v>23.12</v>
      </c>
      <c r="E636" t="s">
        <v>5196</v>
      </c>
      <c r="F636" s="10" t="s">
        <v>6363</v>
      </c>
      <c r="G636" t="s">
        <v>6365</v>
      </c>
    </row>
    <row r="637" spans="1:7" x14ac:dyDescent="0.35">
      <c r="A637" t="s">
        <v>5995</v>
      </c>
      <c r="B637" t="s">
        <v>5210</v>
      </c>
      <c r="C637" t="s">
        <v>4559</v>
      </c>
      <c r="D637">
        <v>13.89</v>
      </c>
      <c r="E637" t="s">
        <v>5197</v>
      </c>
      <c r="F637" s="10" t="s">
        <v>6363</v>
      </c>
      <c r="G637" t="s">
        <v>6365</v>
      </c>
    </row>
    <row r="638" spans="1:7" x14ac:dyDescent="0.35">
      <c r="A638" t="s">
        <v>5996</v>
      </c>
      <c r="B638" t="s">
        <v>5488</v>
      </c>
      <c r="C638" t="s">
        <v>5245</v>
      </c>
      <c r="D638">
        <v>26.73</v>
      </c>
      <c r="E638" t="s">
        <v>5235</v>
      </c>
      <c r="F638" s="10" t="s">
        <v>6363</v>
      </c>
      <c r="G638" t="s">
        <v>6365</v>
      </c>
    </row>
    <row r="639" spans="1:7" x14ac:dyDescent="0.35">
      <c r="A639" t="s">
        <v>5997</v>
      </c>
      <c r="B639" t="s">
        <v>5398</v>
      </c>
      <c r="C639" t="s">
        <v>4785</v>
      </c>
      <c r="D639">
        <v>28.07</v>
      </c>
      <c r="E639" t="s">
        <v>5235</v>
      </c>
      <c r="F639" s="10" t="s">
        <v>6362</v>
      </c>
      <c r="G639" t="s">
        <v>74</v>
      </c>
    </row>
    <row r="640" spans="1:7" x14ac:dyDescent="0.35">
      <c r="A640" t="s">
        <v>5998</v>
      </c>
      <c r="B640" t="s">
        <v>5515</v>
      </c>
      <c r="C640" t="s">
        <v>5256</v>
      </c>
      <c r="D640">
        <v>14.94</v>
      </c>
      <c r="E640" t="s">
        <v>5197</v>
      </c>
      <c r="F640" s="10" t="s">
        <v>6363</v>
      </c>
      <c r="G640" t="s">
        <v>74</v>
      </c>
    </row>
    <row r="641" spans="1:7" x14ac:dyDescent="0.35">
      <c r="A641" t="s">
        <v>5999</v>
      </c>
      <c r="B641" t="s">
        <v>5405</v>
      </c>
      <c r="C641" t="s">
        <v>4720</v>
      </c>
      <c r="D641">
        <v>12.42</v>
      </c>
      <c r="E641" t="s">
        <v>5199</v>
      </c>
      <c r="F641" s="10" t="s">
        <v>6362</v>
      </c>
      <c r="G641" t="s">
        <v>6365</v>
      </c>
    </row>
    <row r="642" spans="1:7" x14ac:dyDescent="0.35">
      <c r="A642" t="s">
        <v>6000</v>
      </c>
      <c r="B642" t="s">
        <v>5283</v>
      </c>
      <c r="C642" t="s">
        <v>5165</v>
      </c>
      <c r="D642">
        <v>16.239999999999998</v>
      </c>
      <c r="E642" t="s">
        <v>5198</v>
      </c>
      <c r="F642" s="10" t="s">
        <v>6362</v>
      </c>
      <c r="G642" t="s">
        <v>71</v>
      </c>
    </row>
    <row r="643" spans="1:7" x14ac:dyDescent="0.35">
      <c r="A643" t="s">
        <v>6001</v>
      </c>
      <c r="B643" t="s">
        <v>5295</v>
      </c>
      <c r="C643" t="s">
        <v>5351</v>
      </c>
      <c r="D643">
        <v>27.14</v>
      </c>
      <c r="E643" t="s">
        <v>5196</v>
      </c>
      <c r="F643" s="10" t="s">
        <v>6362</v>
      </c>
      <c r="G643" t="s">
        <v>74</v>
      </c>
    </row>
    <row r="644" spans="1:7" x14ac:dyDescent="0.35">
      <c r="A644" t="s">
        <v>6002</v>
      </c>
      <c r="B644" t="s">
        <v>5583</v>
      </c>
      <c r="C644" t="s">
        <v>5406</v>
      </c>
      <c r="D644">
        <v>30.34</v>
      </c>
      <c r="E644" t="s">
        <v>5197</v>
      </c>
      <c r="F644" s="10" t="s">
        <v>6363</v>
      </c>
      <c r="G644" t="s">
        <v>6365</v>
      </c>
    </row>
    <row r="645" spans="1:7" x14ac:dyDescent="0.35">
      <c r="A645" t="s">
        <v>6003</v>
      </c>
      <c r="B645" t="s">
        <v>5405</v>
      </c>
      <c r="C645" t="s">
        <v>5308</v>
      </c>
      <c r="D645">
        <v>24.54</v>
      </c>
      <c r="E645" t="s">
        <v>5196</v>
      </c>
      <c r="F645" s="10" t="s">
        <v>6363</v>
      </c>
      <c r="G645" t="s">
        <v>71</v>
      </c>
    </row>
    <row r="646" spans="1:7" x14ac:dyDescent="0.35">
      <c r="A646" t="s">
        <v>6004</v>
      </c>
      <c r="B646" t="s">
        <v>5358</v>
      </c>
      <c r="C646" t="s">
        <v>5261</v>
      </c>
      <c r="D646">
        <v>20.95</v>
      </c>
      <c r="E646" t="s">
        <v>5196</v>
      </c>
      <c r="F646" s="10" t="s">
        <v>6362</v>
      </c>
      <c r="G646" t="s">
        <v>6365</v>
      </c>
    </row>
    <row r="647" spans="1:7" x14ac:dyDescent="0.35">
      <c r="A647" t="s">
        <v>6005</v>
      </c>
      <c r="B647" t="s">
        <v>5234</v>
      </c>
      <c r="C647" t="s">
        <v>5399</v>
      </c>
      <c r="D647">
        <v>16.2</v>
      </c>
      <c r="E647" t="s">
        <v>5197</v>
      </c>
      <c r="F647" s="10" t="s">
        <v>6362</v>
      </c>
      <c r="G647" t="s">
        <v>6366</v>
      </c>
    </row>
    <row r="648" spans="1:7" x14ac:dyDescent="0.35">
      <c r="A648" t="s">
        <v>6006</v>
      </c>
      <c r="B648" t="s">
        <v>5434</v>
      </c>
      <c r="C648" t="s">
        <v>4697</v>
      </c>
      <c r="D648">
        <v>32.25</v>
      </c>
      <c r="E648" t="s">
        <v>5235</v>
      </c>
      <c r="F648" s="10" t="s">
        <v>6363</v>
      </c>
      <c r="G648" t="s">
        <v>74</v>
      </c>
    </row>
    <row r="649" spans="1:7" x14ac:dyDescent="0.35">
      <c r="A649" t="s">
        <v>6007</v>
      </c>
      <c r="B649" t="s">
        <v>5304</v>
      </c>
      <c r="C649" t="s">
        <v>5334</v>
      </c>
      <c r="D649">
        <v>29.21</v>
      </c>
      <c r="E649" t="s">
        <v>5235</v>
      </c>
      <c r="F649" s="10" t="s">
        <v>6362</v>
      </c>
      <c r="G649" t="s">
        <v>6365</v>
      </c>
    </row>
    <row r="650" spans="1:7" x14ac:dyDescent="0.35">
      <c r="A650" t="s">
        <v>6008</v>
      </c>
      <c r="B650" t="s">
        <v>5698</v>
      </c>
      <c r="C650" t="s">
        <v>5502</v>
      </c>
      <c r="D650">
        <v>26.27</v>
      </c>
      <c r="E650" t="s">
        <v>5198</v>
      </c>
      <c r="F650" s="10" t="s">
        <v>6363</v>
      </c>
      <c r="G650" t="s">
        <v>74</v>
      </c>
    </row>
    <row r="651" spans="1:7" x14ac:dyDescent="0.35">
      <c r="A651" t="s">
        <v>6009</v>
      </c>
      <c r="B651" t="s">
        <v>5592</v>
      </c>
      <c r="C651" t="s">
        <v>5421</v>
      </c>
      <c r="D651">
        <v>33.840000000000003</v>
      </c>
      <c r="E651" t="s">
        <v>5198</v>
      </c>
      <c r="F651" s="10" t="s">
        <v>6362</v>
      </c>
      <c r="G651" t="s">
        <v>6365</v>
      </c>
    </row>
    <row r="652" spans="1:7" x14ac:dyDescent="0.35">
      <c r="A652" t="s">
        <v>6010</v>
      </c>
      <c r="B652" t="s">
        <v>5295</v>
      </c>
      <c r="C652" t="s">
        <v>5453</v>
      </c>
      <c r="D652">
        <v>20.58</v>
      </c>
      <c r="E652" t="s">
        <v>5199</v>
      </c>
      <c r="F652" s="10" t="s">
        <v>6362</v>
      </c>
      <c r="G652" t="s">
        <v>6365</v>
      </c>
    </row>
    <row r="653" spans="1:7" x14ac:dyDescent="0.35">
      <c r="A653" t="s">
        <v>6011</v>
      </c>
      <c r="B653" t="s">
        <v>5217</v>
      </c>
      <c r="C653" t="s">
        <v>5222</v>
      </c>
      <c r="D653">
        <v>29.64</v>
      </c>
      <c r="E653" t="s">
        <v>5197</v>
      </c>
      <c r="F653" s="10" t="s">
        <v>6363</v>
      </c>
      <c r="G653" t="s">
        <v>74</v>
      </c>
    </row>
    <row r="654" spans="1:7" x14ac:dyDescent="0.35">
      <c r="A654" t="s">
        <v>6012</v>
      </c>
      <c r="B654" t="s">
        <v>5221</v>
      </c>
      <c r="C654" t="s">
        <v>5334</v>
      </c>
      <c r="D654">
        <v>31.7</v>
      </c>
      <c r="E654" t="s">
        <v>5235</v>
      </c>
      <c r="F654" s="10" t="s">
        <v>6363</v>
      </c>
      <c r="G654" t="s">
        <v>6365</v>
      </c>
    </row>
    <row r="655" spans="1:7" x14ac:dyDescent="0.35">
      <c r="A655" t="s">
        <v>6013</v>
      </c>
      <c r="B655" t="s">
        <v>5214</v>
      </c>
      <c r="C655" t="s">
        <v>5409</v>
      </c>
      <c r="D655">
        <v>22.61</v>
      </c>
      <c r="E655" t="s">
        <v>5198</v>
      </c>
      <c r="F655" s="10" t="s">
        <v>6363</v>
      </c>
      <c r="G655" t="s">
        <v>71</v>
      </c>
    </row>
    <row r="656" spans="1:7" x14ac:dyDescent="0.35">
      <c r="A656" t="s">
        <v>6014</v>
      </c>
      <c r="B656" t="s">
        <v>5234</v>
      </c>
      <c r="C656" t="s">
        <v>5251</v>
      </c>
      <c r="D656">
        <v>32.97</v>
      </c>
      <c r="E656" t="s">
        <v>5235</v>
      </c>
      <c r="F656" s="10" t="s">
        <v>6363</v>
      </c>
      <c r="G656" t="s">
        <v>6365</v>
      </c>
    </row>
    <row r="657" spans="1:7" x14ac:dyDescent="0.35">
      <c r="A657" t="s">
        <v>6015</v>
      </c>
      <c r="B657" t="s">
        <v>5221</v>
      </c>
      <c r="C657" t="s">
        <v>5054</v>
      </c>
      <c r="D657">
        <v>29.09</v>
      </c>
      <c r="E657" t="s">
        <v>5196</v>
      </c>
      <c r="F657" s="10" t="s">
        <v>6362</v>
      </c>
      <c r="G657" t="s">
        <v>6365</v>
      </c>
    </row>
    <row r="658" spans="1:7" x14ac:dyDescent="0.35">
      <c r="A658" t="s">
        <v>6016</v>
      </c>
      <c r="B658" t="s">
        <v>5300</v>
      </c>
      <c r="C658" t="s">
        <v>5248</v>
      </c>
      <c r="D658">
        <v>33.4</v>
      </c>
      <c r="E658" t="s">
        <v>5235</v>
      </c>
      <c r="F658" s="10" t="s">
        <v>6363</v>
      </c>
      <c r="G658" t="s">
        <v>71</v>
      </c>
    </row>
    <row r="659" spans="1:7" x14ac:dyDescent="0.35">
      <c r="A659" t="s">
        <v>6017</v>
      </c>
      <c r="B659" t="s">
        <v>5295</v>
      </c>
      <c r="C659" t="s">
        <v>5011</v>
      </c>
      <c r="D659">
        <v>36.71</v>
      </c>
      <c r="E659" t="s">
        <v>5199</v>
      </c>
      <c r="F659" s="10" t="s">
        <v>6363</v>
      </c>
      <c r="G659" t="s">
        <v>6365</v>
      </c>
    </row>
    <row r="660" spans="1:7" x14ac:dyDescent="0.35">
      <c r="A660" t="s">
        <v>6018</v>
      </c>
      <c r="B660" t="s">
        <v>5440</v>
      </c>
      <c r="C660" t="s">
        <v>5365</v>
      </c>
      <c r="D660">
        <v>14.01</v>
      </c>
      <c r="E660" t="s">
        <v>5197</v>
      </c>
      <c r="F660" s="10" t="s">
        <v>6362</v>
      </c>
      <c r="G660" t="s">
        <v>6365</v>
      </c>
    </row>
    <row r="661" spans="1:7" x14ac:dyDescent="0.35">
      <c r="A661" t="s">
        <v>6019</v>
      </c>
      <c r="B661" t="s">
        <v>5345</v>
      </c>
      <c r="C661" t="s">
        <v>5353</v>
      </c>
      <c r="D661">
        <v>23.75</v>
      </c>
      <c r="E661" t="s">
        <v>5199</v>
      </c>
      <c r="F661" s="10" t="s">
        <v>6363</v>
      </c>
      <c r="G661" t="s">
        <v>6365</v>
      </c>
    </row>
    <row r="662" spans="1:7" x14ac:dyDescent="0.35">
      <c r="A662" t="s">
        <v>6020</v>
      </c>
      <c r="B662" t="s">
        <v>5338</v>
      </c>
      <c r="C662" t="s">
        <v>4856</v>
      </c>
      <c r="D662">
        <v>23.44</v>
      </c>
      <c r="E662" t="s">
        <v>5198</v>
      </c>
      <c r="F662" s="10" t="s">
        <v>6363</v>
      </c>
      <c r="G662" t="s">
        <v>6365</v>
      </c>
    </row>
    <row r="663" spans="1:7" x14ac:dyDescent="0.35">
      <c r="A663" t="s">
        <v>6021</v>
      </c>
      <c r="B663" t="s">
        <v>5405</v>
      </c>
      <c r="C663" t="s">
        <v>4785</v>
      </c>
      <c r="D663">
        <v>22.86</v>
      </c>
      <c r="E663" t="s">
        <v>5196</v>
      </c>
      <c r="F663" s="10" t="s">
        <v>6362</v>
      </c>
      <c r="G663" t="s">
        <v>6366</v>
      </c>
    </row>
    <row r="664" spans="1:7" x14ac:dyDescent="0.35">
      <c r="A664" t="s">
        <v>6022</v>
      </c>
      <c r="B664" t="s">
        <v>5300</v>
      </c>
      <c r="C664" t="s">
        <v>5359</v>
      </c>
      <c r="D664">
        <v>24.51</v>
      </c>
      <c r="E664" t="s">
        <v>5198</v>
      </c>
      <c r="F664" s="10" t="s">
        <v>6363</v>
      </c>
      <c r="G664" t="s">
        <v>74</v>
      </c>
    </row>
    <row r="665" spans="1:7" x14ac:dyDescent="0.35">
      <c r="A665" t="s">
        <v>6023</v>
      </c>
      <c r="B665" t="s">
        <v>5237</v>
      </c>
      <c r="C665" t="s">
        <v>5421</v>
      </c>
      <c r="D665">
        <v>35.33</v>
      </c>
      <c r="E665" t="s">
        <v>5199</v>
      </c>
      <c r="F665" s="10" t="s">
        <v>6363</v>
      </c>
      <c r="G665" t="s">
        <v>71</v>
      </c>
    </row>
    <row r="666" spans="1:7" x14ac:dyDescent="0.35">
      <c r="A666" t="s">
        <v>6024</v>
      </c>
      <c r="B666" t="s">
        <v>5295</v>
      </c>
      <c r="C666" t="s">
        <v>5634</v>
      </c>
      <c r="D666">
        <v>35.46</v>
      </c>
      <c r="E666" t="s">
        <v>5235</v>
      </c>
      <c r="F666" s="10" t="s">
        <v>6362</v>
      </c>
      <c r="G666" t="s">
        <v>74</v>
      </c>
    </row>
    <row r="667" spans="1:7" x14ac:dyDescent="0.35">
      <c r="A667" t="s">
        <v>6025</v>
      </c>
      <c r="B667" t="s">
        <v>5307</v>
      </c>
      <c r="C667" t="s">
        <v>5584</v>
      </c>
      <c r="D667">
        <v>11.05</v>
      </c>
      <c r="E667" t="s">
        <v>5235</v>
      </c>
      <c r="F667" s="10" t="s">
        <v>6363</v>
      </c>
      <c r="G667" t="s">
        <v>71</v>
      </c>
    </row>
    <row r="668" spans="1:7" x14ac:dyDescent="0.35">
      <c r="A668" t="s">
        <v>6026</v>
      </c>
      <c r="B668" t="s">
        <v>5401</v>
      </c>
      <c r="C668" t="s">
        <v>5248</v>
      </c>
      <c r="D668">
        <v>28.4</v>
      </c>
      <c r="E668" t="s">
        <v>5197</v>
      </c>
      <c r="F668" s="10" t="s">
        <v>6363</v>
      </c>
      <c r="G668" t="s">
        <v>6365</v>
      </c>
    </row>
    <row r="669" spans="1:7" x14ac:dyDescent="0.35">
      <c r="A669" t="s">
        <v>6027</v>
      </c>
      <c r="B669" t="s">
        <v>5242</v>
      </c>
      <c r="C669" t="s">
        <v>4700</v>
      </c>
      <c r="D669">
        <v>27.32</v>
      </c>
      <c r="E669" t="s">
        <v>5235</v>
      </c>
      <c r="F669" s="10" t="s">
        <v>6362</v>
      </c>
      <c r="G669" t="s">
        <v>74</v>
      </c>
    </row>
    <row r="670" spans="1:7" x14ac:dyDescent="0.35">
      <c r="A670" t="s">
        <v>6028</v>
      </c>
      <c r="B670" t="s">
        <v>5227</v>
      </c>
      <c r="C670" t="s">
        <v>4915</v>
      </c>
      <c r="D670">
        <v>38.729999999999997</v>
      </c>
      <c r="E670" t="s">
        <v>5235</v>
      </c>
      <c r="F670" s="10" t="s">
        <v>6363</v>
      </c>
      <c r="G670" t="s">
        <v>71</v>
      </c>
    </row>
    <row r="671" spans="1:7" x14ac:dyDescent="0.35">
      <c r="A671" t="s">
        <v>6029</v>
      </c>
      <c r="B671" t="s">
        <v>5224</v>
      </c>
      <c r="C671" t="s">
        <v>5502</v>
      </c>
      <c r="D671">
        <v>31.56</v>
      </c>
      <c r="E671" t="s">
        <v>5198</v>
      </c>
      <c r="F671" s="10" t="s">
        <v>6363</v>
      </c>
      <c r="G671" t="s">
        <v>71</v>
      </c>
    </row>
    <row r="672" spans="1:7" x14ac:dyDescent="0.35">
      <c r="A672" t="s">
        <v>6030</v>
      </c>
      <c r="B672" t="s">
        <v>5609</v>
      </c>
      <c r="C672" t="s">
        <v>5054</v>
      </c>
      <c r="D672">
        <v>36.08</v>
      </c>
      <c r="E672" t="s">
        <v>5198</v>
      </c>
      <c r="F672" s="10" t="s">
        <v>6362</v>
      </c>
      <c r="G672" t="s">
        <v>6365</v>
      </c>
    </row>
    <row r="673" spans="1:7" x14ac:dyDescent="0.35">
      <c r="A673" t="s">
        <v>6031</v>
      </c>
      <c r="B673" t="s">
        <v>5300</v>
      </c>
      <c r="C673" t="s">
        <v>5331</v>
      </c>
      <c r="D673">
        <v>19.45</v>
      </c>
      <c r="E673" t="s">
        <v>5196</v>
      </c>
      <c r="F673" s="10" t="s">
        <v>6363</v>
      </c>
      <c r="G673" t="s">
        <v>6365</v>
      </c>
    </row>
    <row r="674" spans="1:7" x14ac:dyDescent="0.35">
      <c r="A674" t="s">
        <v>6032</v>
      </c>
      <c r="B674" t="s">
        <v>5583</v>
      </c>
      <c r="C674" t="s">
        <v>5091</v>
      </c>
      <c r="D674">
        <v>24.78</v>
      </c>
      <c r="E674" t="s">
        <v>5199</v>
      </c>
      <c r="F674" s="10" t="s">
        <v>6363</v>
      </c>
      <c r="G674" t="s">
        <v>6365</v>
      </c>
    </row>
    <row r="675" spans="1:7" x14ac:dyDescent="0.35">
      <c r="A675" t="s">
        <v>6033</v>
      </c>
      <c r="B675" t="s">
        <v>5990</v>
      </c>
      <c r="C675" t="s">
        <v>5463</v>
      </c>
      <c r="D675">
        <v>11.31</v>
      </c>
      <c r="E675" t="s">
        <v>5198</v>
      </c>
      <c r="F675" s="10" t="s">
        <v>6363</v>
      </c>
      <c r="G675" t="s">
        <v>71</v>
      </c>
    </row>
    <row r="676" spans="1:7" x14ac:dyDescent="0.35">
      <c r="A676" t="s">
        <v>6034</v>
      </c>
      <c r="B676" t="s">
        <v>5321</v>
      </c>
      <c r="C676" t="s">
        <v>5388</v>
      </c>
      <c r="D676">
        <v>18.91</v>
      </c>
      <c r="E676" t="s">
        <v>5196</v>
      </c>
      <c r="F676" s="10" t="s">
        <v>6362</v>
      </c>
      <c r="G676" t="s">
        <v>71</v>
      </c>
    </row>
    <row r="677" spans="1:7" x14ac:dyDescent="0.35">
      <c r="A677" t="s">
        <v>6035</v>
      </c>
      <c r="B677" t="s">
        <v>5434</v>
      </c>
      <c r="C677" t="s">
        <v>5388</v>
      </c>
      <c r="D677">
        <v>13.97</v>
      </c>
      <c r="E677" t="s">
        <v>5198</v>
      </c>
      <c r="F677" s="10" t="s">
        <v>6362</v>
      </c>
      <c r="G677" t="s">
        <v>74</v>
      </c>
    </row>
    <row r="678" spans="1:7" x14ac:dyDescent="0.35">
      <c r="A678" t="s">
        <v>6036</v>
      </c>
      <c r="B678" t="s">
        <v>5455</v>
      </c>
      <c r="C678" t="s">
        <v>5254</v>
      </c>
      <c r="D678">
        <v>32.01</v>
      </c>
      <c r="E678" t="s">
        <v>5197</v>
      </c>
      <c r="F678" s="10" t="s">
        <v>6363</v>
      </c>
      <c r="G678" t="s">
        <v>6365</v>
      </c>
    </row>
    <row r="679" spans="1:7" x14ac:dyDescent="0.35">
      <c r="A679" t="s">
        <v>6037</v>
      </c>
      <c r="B679" t="s">
        <v>5523</v>
      </c>
      <c r="C679" t="s">
        <v>5054</v>
      </c>
      <c r="D679">
        <v>16.670000000000002</v>
      </c>
      <c r="E679" t="s">
        <v>5235</v>
      </c>
      <c r="F679" s="10" t="s">
        <v>6362</v>
      </c>
      <c r="G679" t="s">
        <v>71</v>
      </c>
    </row>
    <row r="680" spans="1:7" x14ac:dyDescent="0.35">
      <c r="A680" t="s">
        <v>6038</v>
      </c>
      <c r="B680" t="s">
        <v>5217</v>
      </c>
      <c r="C680" t="s">
        <v>5406</v>
      </c>
      <c r="D680">
        <v>27.44</v>
      </c>
      <c r="E680" t="s">
        <v>5197</v>
      </c>
      <c r="F680" s="10" t="s">
        <v>6363</v>
      </c>
      <c r="G680" t="s">
        <v>6365</v>
      </c>
    </row>
    <row r="681" spans="1:7" x14ac:dyDescent="0.35">
      <c r="A681" t="s">
        <v>6039</v>
      </c>
      <c r="B681" t="s">
        <v>5628</v>
      </c>
      <c r="C681" t="s">
        <v>5375</v>
      </c>
      <c r="D681">
        <v>37.619999999999997</v>
      </c>
      <c r="E681" t="s">
        <v>5198</v>
      </c>
      <c r="F681" s="10" t="s">
        <v>6363</v>
      </c>
      <c r="G681" t="s">
        <v>71</v>
      </c>
    </row>
    <row r="682" spans="1:7" x14ac:dyDescent="0.35">
      <c r="A682" t="s">
        <v>6040</v>
      </c>
      <c r="B682" t="s">
        <v>5589</v>
      </c>
      <c r="C682" t="s">
        <v>5584</v>
      </c>
      <c r="D682">
        <v>14.73</v>
      </c>
      <c r="E682" t="s">
        <v>5197</v>
      </c>
      <c r="F682" s="10" t="s">
        <v>6363</v>
      </c>
      <c r="G682" t="s">
        <v>6365</v>
      </c>
    </row>
    <row r="683" spans="1:7" x14ac:dyDescent="0.35">
      <c r="A683" t="s">
        <v>6041</v>
      </c>
      <c r="B683" t="s">
        <v>5338</v>
      </c>
      <c r="C683" t="s">
        <v>5312</v>
      </c>
      <c r="D683">
        <v>23.37</v>
      </c>
      <c r="E683" t="s">
        <v>5198</v>
      </c>
      <c r="F683" s="10" t="s">
        <v>6363</v>
      </c>
      <c r="G683" t="s">
        <v>6365</v>
      </c>
    </row>
    <row r="684" spans="1:7" x14ac:dyDescent="0.35">
      <c r="A684" t="s">
        <v>6042</v>
      </c>
      <c r="B684" t="s">
        <v>5364</v>
      </c>
      <c r="C684" t="s">
        <v>5380</v>
      </c>
      <c r="D684">
        <v>26.28</v>
      </c>
      <c r="E684" t="s">
        <v>5197</v>
      </c>
      <c r="F684" s="10" t="s">
        <v>6362</v>
      </c>
      <c r="G684" t="s">
        <v>6365</v>
      </c>
    </row>
    <row r="685" spans="1:7" x14ac:dyDescent="0.35">
      <c r="A685" t="s">
        <v>6043</v>
      </c>
      <c r="B685" t="s">
        <v>5523</v>
      </c>
      <c r="C685" t="s">
        <v>4707</v>
      </c>
      <c r="D685">
        <v>10.210000000000001</v>
      </c>
      <c r="E685" t="s">
        <v>5198</v>
      </c>
      <c r="F685" s="10" t="s">
        <v>6362</v>
      </c>
      <c r="G685" t="s">
        <v>6365</v>
      </c>
    </row>
    <row r="686" spans="1:7" x14ac:dyDescent="0.35">
      <c r="A686" t="s">
        <v>6044</v>
      </c>
      <c r="B686" t="s">
        <v>5210</v>
      </c>
      <c r="C686" t="s">
        <v>5270</v>
      </c>
      <c r="D686">
        <v>24.08</v>
      </c>
      <c r="E686" t="s">
        <v>5199</v>
      </c>
      <c r="F686" s="10" t="s">
        <v>6363</v>
      </c>
      <c r="G686" t="s">
        <v>6365</v>
      </c>
    </row>
    <row r="687" spans="1:7" x14ac:dyDescent="0.35">
      <c r="A687" t="s">
        <v>6045</v>
      </c>
      <c r="B687" t="s">
        <v>5253</v>
      </c>
      <c r="C687" t="s">
        <v>5421</v>
      </c>
      <c r="D687">
        <v>32.56</v>
      </c>
      <c r="E687" t="s">
        <v>5196</v>
      </c>
      <c r="F687" s="10" t="s">
        <v>6362</v>
      </c>
      <c r="G687" t="s">
        <v>74</v>
      </c>
    </row>
    <row r="688" spans="1:7" x14ac:dyDescent="0.35">
      <c r="A688" t="s">
        <v>6046</v>
      </c>
      <c r="B688" t="s">
        <v>5523</v>
      </c>
      <c r="C688" t="s">
        <v>5463</v>
      </c>
      <c r="D688">
        <v>22.4</v>
      </c>
      <c r="E688" t="s">
        <v>5235</v>
      </c>
      <c r="F688" s="10" t="s">
        <v>6362</v>
      </c>
      <c r="G688" t="s">
        <v>71</v>
      </c>
    </row>
    <row r="689" spans="1:7" x14ac:dyDescent="0.35">
      <c r="A689" t="s">
        <v>6047</v>
      </c>
      <c r="B689" t="s">
        <v>5212</v>
      </c>
      <c r="C689" t="s">
        <v>5421</v>
      </c>
      <c r="D689">
        <v>31.85</v>
      </c>
      <c r="E689" t="s">
        <v>5235</v>
      </c>
      <c r="F689" s="10" t="s">
        <v>6362</v>
      </c>
      <c r="G689" t="s">
        <v>6365</v>
      </c>
    </row>
    <row r="690" spans="1:7" x14ac:dyDescent="0.35">
      <c r="A690" t="s">
        <v>6048</v>
      </c>
      <c r="B690" t="s">
        <v>5411</v>
      </c>
      <c r="C690" t="s">
        <v>4897</v>
      </c>
      <c r="D690">
        <v>28.62</v>
      </c>
      <c r="E690" t="s">
        <v>5197</v>
      </c>
      <c r="F690" s="10" t="s">
        <v>6363</v>
      </c>
      <c r="G690" t="s">
        <v>71</v>
      </c>
    </row>
    <row r="691" spans="1:7" x14ac:dyDescent="0.35">
      <c r="A691" t="s">
        <v>6049</v>
      </c>
      <c r="B691" t="s">
        <v>5247</v>
      </c>
      <c r="C691" t="s">
        <v>5248</v>
      </c>
      <c r="D691">
        <v>12.59</v>
      </c>
      <c r="E691" t="s">
        <v>5198</v>
      </c>
      <c r="F691" s="10" t="s">
        <v>6363</v>
      </c>
      <c r="G691" t="s">
        <v>6365</v>
      </c>
    </row>
    <row r="692" spans="1:7" x14ac:dyDescent="0.35">
      <c r="A692" t="s">
        <v>6050</v>
      </c>
      <c r="B692" t="s">
        <v>5336</v>
      </c>
      <c r="C692" t="s">
        <v>4790</v>
      </c>
      <c r="D692">
        <v>29.97</v>
      </c>
      <c r="E692" t="s">
        <v>5199</v>
      </c>
      <c r="F692" s="10" t="s">
        <v>6363</v>
      </c>
      <c r="G692" t="s">
        <v>6365</v>
      </c>
    </row>
    <row r="693" spans="1:7" x14ac:dyDescent="0.35">
      <c r="A693" t="s">
        <v>6051</v>
      </c>
      <c r="B693" t="s">
        <v>5398</v>
      </c>
      <c r="C693" t="s">
        <v>4856</v>
      </c>
      <c r="D693">
        <v>10.78</v>
      </c>
      <c r="E693" t="s">
        <v>5196</v>
      </c>
      <c r="F693" s="10" t="s">
        <v>6363</v>
      </c>
      <c r="G693" t="s">
        <v>6365</v>
      </c>
    </row>
    <row r="694" spans="1:7" x14ac:dyDescent="0.35">
      <c r="A694" t="s">
        <v>6052</v>
      </c>
      <c r="B694" t="s">
        <v>5423</v>
      </c>
      <c r="C694" t="s">
        <v>4896</v>
      </c>
      <c r="D694">
        <v>26.88</v>
      </c>
      <c r="E694" t="s">
        <v>5235</v>
      </c>
      <c r="F694" s="10" t="s">
        <v>6362</v>
      </c>
      <c r="G694" t="s">
        <v>6365</v>
      </c>
    </row>
    <row r="695" spans="1:7" x14ac:dyDescent="0.35">
      <c r="A695" t="s">
        <v>6053</v>
      </c>
      <c r="B695" t="s">
        <v>5232</v>
      </c>
      <c r="C695" t="s">
        <v>5649</v>
      </c>
      <c r="D695">
        <v>22.24</v>
      </c>
      <c r="E695" t="s">
        <v>5199</v>
      </c>
      <c r="F695" s="10" t="s">
        <v>6363</v>
      </c>
      <c r="G695" t="s">
        <v>71</v>
      </c>
    </row>
    <row r="696" spans="1:7" x14ac:dyDescent="0.35">
      <c r="A696" t="s">
        <v>6054</v>
      </c>
      <c r="B696" t="s">
        <v>5326</v>
      </c>
      <c r="C696" t="s">
        <v>5472</v>
      </c>
      <c r="D696">
        <v>20.75</v>
      </c>
      <c r="E696" t="s">
        <v>5197</v>
      </c>
      <c r="F696" s="10" t="s">
        <v>6362</v>
      </c>
      <c r="G696" t="s">
        <v>71</v>
      </c>
    </row>
    <row r="697" spans="1:7" x14ac:dyDescent="0.35">
      <c r="A697" t="s">
        <v>6055</v>
      </c>
      <c r="B697" t="s">
        <v>5413</v>
      </c>
      <c r="C697" t="s">
        <v>5188</v>
      </c>
      <c r="D697">
        <v>25.77</v>
      </c>
      <c r="E697" t="s">
        <v>5196</v>
      </c>
      <c r="F697" s="10" t="s">
        <v>6363</v>
      </c>
      <c r="G697" t="s">
        <v>71</v>
      </c>
    </row>
    <row r="698" spans="1:7" x14ac:dyDescent="0.35">
      <c r="A698" t="s">
        <v>6056</v>
      </c>
      <c r="B698" t="s">
        <v>5321</v>
      </c>
      <c r="C698" t="s">
        <v>5173</v>
      </c>
      <c r="D698">
        <v>36.630000000000003</v>
      </c>
      <c r="E698" t="s">
        <v>5196</v>
      </c>
      <c r="F698" s="10" t="s">
        <v>6363</v>
      </c>
      <c r="G698" t="s">
        <v>6365</v>
      </c>
    </row>
    <row r="699" spans="1:7" x14ac:dyDescent="0.35">
      <c r="A699" t="s">
        <v>6057</v>
      </c>
      <c r="B699" t="s">
        <v>5247</v>
      </c>
      <c r="C699" t="s">
        <v>5378</v>
      </c>
      <c r="D699">
        <v>23.59</v>
      </c>
      <c r="E699" t="s">
        <v>5235</v>
      </c>
      <c r="F699" s="10" t="s">
        <v>6362</v>
      </c>
      <c r="G699" t="s">
        <v>71</v>
      </c>
    </row>
    <row r="700" spans="1:7" x14ac:dyDescent="0.35">
      <c r="A700" t="s">
        <v>6058</v>
      </c>
      <c r="B700" t="s">
        <v>5583</v>
      </c>
      <c r="C700" t="s">
        <v>5414</v>
      </c>
      <c r="D700">
        <v>36.93</v>
      </c>
      <c r="E700" t="s">
        <v>5198</v>
      </c>
      <c r="F700" s="10" t="s">
        <v>6363</v>
      </c>
      <c r="G700" t="s">
        <v>6365</v>
      </c>
    </row>
    <row r="701" spans="1:7" x14ac:dyDescent="0.35">
      <c r="A701" t="s">
        <v>6059</v>
      </c>
      <c r="B701" t="s">
        <v>5224</v>
      </c>
      <c r="C701" t="s">
        <v>4804</v>
      </c>
      <c r="D701">
        <v>26.73</v>
      </c>
      <c r="E701" t="s">
        <v>5235</v>
      </c>
      <c r="F701" s="10" t="s">
        <v>6363</v>
      </c>
      <c r="G701" t="s">
        <v>74</v>
      </c>
    </row>
    <row r="702" spans="1:7" x14ac:dyDescent="0.35">
      <c r="A702" t="s">
        <v>6060</v>
      </c>
      <c r="B702" t="s">
        <v>5247</v>
      </c>
      <c r="C702" t="s">
        <v>5208</v>
      </c>
      <c r="D702">
        <v>27.95</v>
      </c>
      <c r="E702" t="s">
        <v>5197</v>
      </c>
      <c r="F702" s="10" t="s">
        <v>6362</v>
      </c>
      <c r="G702" t="s">
        <v>6365</v>
      </c>
    </row>
    <row r="703" spans="1:7" x14ac:dyDescent="0.35">
      <c r="A703" t="s">
        <v>6061</v>
      </c>
      <c r="B703" t="s">
        <v>5258</v>
      </c>
      <c r="C703" t="s">
        <v>5228</v>
      </c>
      <c r="D703">
        <v>29.72</v>
      </c>
      <c r="E703" t="s">
        <v>5197</v>
      </c>
      <c r="F703" s="10" t="s">
        <v>6362</v>
      </c>
      <c r="G703" t="s">
        <v>6365</v>
      </c>
    </row>
    <row r="704" spans="1:7" x14ac:dyDescent="0.35">
      <c r="A704" t="s">
        <v>6062</v>
      </c>
      <c r="B704" t="s">
        <v>5250</v>
      </c>
      <c r="C704" t="s">
        <v>5230</v>
      </c>
      <c r="D704">
        <v>32.07</v>
      </c>
      <c r="E704" t="s">
        <v>5199</v>
      </c>
      <c r="F704" s="10" t="s">
        <v>6362</v>
      </c>
      <c r="G704" t="s">
        <v>6365</v>
      </c>
    </row>
    <row r="705" spans="1:7" x14ac:dyDescent="0.35">
      <c r="A705" t="s">
        <v>6063</v>
      </c>
      <c r="B705" t="s">
        <v>5307</v>
      </c>
      <c r="C705" t="s">
        <v>5011</v>
      </c>
      <c r="D705">
        <v>30.59</v>
      </c>
      <c r="E705" t="s">
        <v>5198</v>
      </c>
      <c r="F705" s="10" t="s">
        <v>6362</v>
      </c>
      <c r="G705" t="s">
        <v>71</v>
      </c>
    </row>
    <row r="706" spans="1:7" x14ac:dyDescent="0.35">
      <c r="A706" t="s">
        <v>6064</v>
      </c>
      <c r="B706" t="s">
        <v>5295</v>
      </c>
      <c r="C706" t="s">
        <v>5584</v>
      </c>
      <c r="D706">
        <v>36.04</v>
      </c>
      <c r="E706" t="s">
        <v>5235</v>
      </c>
      <c r="F706" s="10" t="s">
        <v>6362</v>
      </c>
      <c r="G706" t="s">
        <v>6365</v>
      </c>
    </row>
    <row r="707" spans="1:7" x14ac:dyDescent="0.35">
      <c r="A707" t="s">
        <v>6065</v>
      </c>
      <c r="B707" t="s">
        <v>5217</v>
      </c>
      <c r="C707" t="s">
        <v>5091</v>
      </c>
      <c r="D707">
        <v>19.309999999999999</v>
      </c>
      <c r="E707" t="s">
        <v>5199</v>
      </c>
      <c r="F707" s="10" t="s">
        <v>6363</v>
      </c>
      <c r="G707" t="s">
        <v>74</v>
      </c>
    </row>
    <row r="708" spans="1:7" x14ac:dyDescent="0.35">
      <c r="A708" t="s">
        <v>6066</v>
      </c>
      <c r="B708" t="s">
        <v>5427</v>
      </c>
      <c r="C708" t="s">
        <v>4773</v>
      </c>
      <c r="D708">
        <v>19.989999999999998</v>
      </c>
      <c r="E708" t="s">
        <v>5197</v>
      </c>
      <c r="F708" s="10" t="s">
        <v>6362</v>
      </c>
      <c r="G708" t="s">
        <v>74</v>
      </c>
    </row>
    <row r="709" spans="1:7" x14ac:dyDescent="0.35">
      <c r="A709" t="s">
        <v>6067</v>
      </c>
      <c r="B709" t="s">
        <v>5444</v>
      </c>
      <c r="C709" t="s">
        <v>4697</v>
      </c>
      <c r="D709">
        <v>25.89</v>
      </c>
      <c r="E709" t="s">
        <v>5199</v>
      </c>
      <c r="F709" s="10" t="s">
        <v>6363</v>
      </c>
      <c r="G709" t="s">
        <v>74</v>
      </c>
    </row>
    <row r="710" spans="1:7" x14ac:dyDescent="0.35">
      <c r="A710" t="s">
        <v>6068</v>
      </c>
      <c r="B710" t="s">
        <v>5338</v>
      </c>
      <c r="C710" t="s">
        <v>5286</v>
      </c>
      <c r="D710">
        <v>20.29</v>
      </c>
      <c r="E710" t="s">
        <v>5196</v>
      </c>
      <c r="F710" s="10" t="s">
        <v>6363</v>
      </c>
      <c r="G710" t="s">
        <v>71</v>
      </c>
    </row>
    <row r="711" spans="1:7" x14ac:dyDescent="0.35">
      <c r="A711" t="s">
        <v>6069</v>
      </c>
      <c r="B711" t="s">
        <v>5455</v>
      </c>
      <c r="C711" t="s">
        <v>5584</v>
      </c>
      <c r="D711">
        <v>31.96</v>
      </c>
      <c r="E711" t="s">
        <v>5199</v>
      </c>
      <c r="F711" s="10" t="s">
        <v>6362</v>
      </c>
      <c r="G711" t="s">
        <v>74</v>
      </c>
    </row>
    <row r="712" spans="1:7" x14ac:dyDescent="0.35">
      <c r="A712" t="s">
        <v>6070</v>
      </c>
      <c r="B712" t="s">
        <v>5276</v>
      </c>
      <c r="C712" t="s">
        <v>5421</v>
      </c>
      <c r="D712">
        <v>14.79</v>
      </c>
      <c r="E712" t="s">
        <v>5198</v>
      </c>
      <c r="F712" s="10" t="s">
        <v>6363</v>
      </c>
      <c r="G712" t="s">
        <v>74</v>
      </c>
    </row>
    <row r="713" spans="1:7" x14ac:dyDescent="0.35">
      <c r="A713" t="s">
        <v>6071</v>
      </c>
      <c r="B713" t="s">
        <v>5300</v>
      </c>
      <c r="C713" t="s">
        <v>5225</v>
      </c>
      <c r="D713">
        <v>27.73</v>
      </c>
      <c r="E713" t="s">
        <v>5196</v>
      </c>
      <c r="F713" s="10" t="s">
        <v>6363</v>
      </c>
      <c r="G713" t="s">
        <v>74</v>
      </c>
    </row>
    <row r="714" spans="1:7" x14ac:dyDescent="0.35">
      <c r="A714" t="s">
        <v>6072</v>
      </c>
      <c r="B714" t="s">
        <v>5494</v>
      </c>
      <c r="C714" t="s">
        <v>5165</v>
      </c>
      <c r="D714">
        <v>21.34</v>
      </c>
      <c r="E714" t="s">
        <v>5197</v>
      </c>
      <c r="F714" s="10" t="s">
        <v>6362</v>
      </c>
      <c r="G714" t="s">
        <v>6365</v>
      </c>
    </row>
    <row r="715" spans="1:7" x14ac:dyDescent="0.35">
      <c r="A715" t="s">
        <v>6073</v>
      </c>
      <c r="B715" t="s">
        <v>5283</v>
      </c>
      <c r="C715" t="s">
        <v>5418</v>
      </c>
      <c r="D715">
        <v>29.76</v>
      </c>
      <c r="E715" t="s">
        <v>5235</v>
      </c>
      <c r="F715" s="10" t="s">
        <v>6363</v>
      </c>
      <c r="G715" t="s">
        <v>74</v>
      </c>
    </row>
    <row r="716" spans="1:7" x14ac:dyDescent="0.35">
      <c r="A716" t="s">
        <v>6074</v>
      </c>
      <c r="B716" t="s">
        <v>5210</v>
      </c>
      <c r="C716" t="s">
        <v>5634</v>
      </c>
      <c r="D716">
        <v>29.15</v>
      </c>
      <c r="E716" t="s">
        <v>5235</v>
      </c>
      <c r="F716" s="10" t="s">
        <v>6363</v>
      </c>
      <c r="G716" t="s">
        <v>6365</v>
      </c>
    </row>
    <row r="717" spans="1:7" x14ac:dyDescent="0.35">
      <c r="A717" t="s">
        <v>6075</v>
      </c>
      <c r="B717" t="s">
        <v>5345</v>
      </c>
      <c r="C717" t="s">
        <v>5251</v>
      </c>
      <c r="D717">
        <v>35.93</v>
      </c>
      <c r="E717" t="s">
        <v>5199</v>
      </c>
      <c r="F717" s="10" t="s">
        <v>6362</v>
      </c>
      <c r="G717" t="s">
        <v>6365</v>
      </c>
    </row>
    <row r="718" spans="1:7" x14ac:dyDescent="0.35">
      <c r="A718" t="s">
        <v>6076</v>
      </c>
      <c r="B718" t="s">
        <v>5304</v>
      </c>
      <c r="C718" t="s">
        <v>5312</v>
      </c>
      <c r="D718">
        <v>26.22</v>
      </c>
      <c r="E718" t="s">
        <v>5235</v>
      </c>
      <c r="F718" s="10" t="s">
        <v>6362</v>
      </c>
      <c r="G718" t="s">
        <v>6365</v>
      </c>
    </row>
    <row r="719" spans="1:7" x14ac:dyDescent="0.35">
      <c r="A719" t="s">
        <v>6077</v>
      </c>
      <c r="B719" t="s">
        <v>5244</v>
      </c>
      <c r="C719" t="s">
        <v>4804</v>
      </c>
      <c r="D719">
        <v>23.23</v>
      </c>
      <c r="E719" t="s">
        <v>5197</v>
      </c>
      <c r="F719" s="10" t="s">
        <v>6362</v>
      </c>
      <c r="G719" t="s">
        <v>6365</v>
      </c>
    </row>
    <row r="720" spans="1:7" x14ac:dyDescent="0.35">
      <c r="A720" t="s">
        <v>6078</v>
      </c>
      <c r="B720" t="s">
        <v>5239</v>
      </c>
      <c r="C720" t="s">
        <v>4821</v>
      </c>
      <c r="D720">
        <v>29.64</v>
      </c>
      <c r="E720" t="s">
        <v>5197</v>
      </c>
      <c r="F720" s="10" t="s">
        <v>6363</v>
      </c>
      <c r="G720" t="s">
        <v>74</v>
      </c>
    </row>
    <row r="721" spans="1:7" x14ac:dyDescent="0.35">
      <c r="A721" t="s">
        <v>6079</v>
      </c>
      <c r="B721" t="s">
        <v>5221</v>
      </c>
      <c r="C721" t="s">
        <v>5418</v>
      </c>
      <c r="D721">
        <v>18.96</v>
      </c>
      <c r="E721" t="s">
        <v>5196</v>
      </c>
      <c r="F721" s="10" t="s">
        <v>6363</v>
      </c>
      <c r="G721" t="s">
        <v>74</v>
      </c>
    </row>
    <row r="722" spans="1:7" x14ac:dyDescent="0.35">
      <c r="A722" t="s">
        <v>6080</v>
      </c>
      <c r="B722" t="s">
        <v>5227</v>
      </c>
      <c r="C722" t="s">
        <v>5597</v>
      </c>
      <c r="D722">
        <v>10.01</v>
      </c>
      <c r="E722" t="s">
        <v>5198</v>
      </c>
      <c r="F722" s="10" t="s">
        <v>6363</v>
      </c>
      <c r="G722" t="s">
        <v>71</v>
      </c>
    </row>
    <row r="723" spans="1:7" x14ac:dyDescent="0.35">
      <c r="A723" t="s">
        <v>6081</v>
      </c>
      <c r="B723" t="s">
        <v>5214</v>
      </c>
      <c r="C723" t="s">
        <v>5505</v>
      </c>
      <c r="D723">
        <v>11.88</v>
      </c>
      <c r="E723" t="s">
        <v>5198</v>
      </c>
      <c r="F723" s="10" t="s">
        <v>6363</v>
      </c>
      <c r="G723" t="s">
        <v>6365</v>
      </c>
    </row>
    <row r="724" spans="1:7" x14ac:dyDescent="0.35">
      <c r="A724" t="s">
        <v>6082</v>
      </c>
      <c r="B724" t="s">
        <v>5628</v>
      </c>
      <c r="C724" t="s">
        <v>5331</v>
      </c>
      <c r="D724">
        <v>33.33</v>
      </c>
      <c r="E724" t="s">
        <v>5198</v>
      </c>
      <c r="F724" s="10" t="s">
        <v>6362</v>
      </c>
      <c r="G724" t="s">
        <v>71</v>
      </c>
    </row>
    <row r="725" spans="1:7" x14ac:dyDescent="0.35">
      <c r="A725" t="s">
        <v>6083</v>
      </c>
      <c r="B725" t="s">
        <v>5698</v>
      </c>
      <c r="C725" t="s">
        <v>5202</v>
      </c>
      <c r="D725">
        <v>20.22</v>
      </c>
      <c r="E725" t="s">
        <v>5197</v>
      </c>
      <c r="F725" s="10" t="s">
        <v>6363</v>
      </c>
      <c r="G725" t="s">
        <v>74</v>
      </c>
    </row>
    <row r="726" spans="1:7" x14ac:dyDescent="0.35">
      <c r="A726" t="s">
        <v>6084</v>
      </c>
      <c r="B726" t="s">
        <v>5283</v>
      </c>
      <c r="C726" t="s">
        <v>5215</v>
      </c>
      <c r="D726">
        <v>36.25</v>
      </c>
      <c r="E726" t="s">
        <v>5197</v>
      </c>
      <c r="F726" s="10" t="s">
        <v>6363</v>
      </c>
      <c r="G726" t="s">
        <v>6366</v>
      </c>
    </row>
    <row r="727" spans="1:7" x14ac:dyDescent="0.35">
      <c r="A727" t="s">
        <v>6085</v>
      </c>
      <c r="B727" t="s">
        <v>5390</v>
      </c>
      <c r="C727" t="s">
        <v>5312</v>
      </c>
      <c r="D727">
        <v>13.61</v>
      </c>
      <c r="E727" t="s">
        <v>5196</v>
      </c>
      <c r="F727" s="10" t="s">
        <v>6363</v>
      </c>
      <c r="G727" t="s">
        <v>6365</v>
      </c>
    </row>
    <row r="728" spans="1:7" x14ac:dyDescent="0.35">
      <c r="A728" t="s">
        <v>6086</v>
      </c>
      <c r="B728" t="s">
        <v>5217</v>
      </c>
      <c r="C728" t="s">
        <v>5409</v>
      </c>
      <c r="D728">
        <v>24.69</v>
      </c>
      <c r="E728" t="s">
        <v>5235</v>
      </c>
      <c r="F728" s="10" t="s">
        <v>6362</v>
      </c>
      <c r="G728" t="s">
        <v>6365</v>
      </c>
    </row>
    <row r="729" spans="1:7" x14ac:dyDescent="0.35">
      <c r="A729" t="s">
        <v>6087</v>
      </c>
      <c r="B729" t="s">
        <v>5474</v>
      </c>
      <c r="C729" t="s">
        <v>5091</v>
      </c>
      <c r="D729">
        <v>20.45</v>
      </c>
      <c r="E729" t="s">
        <v>5235</v>
      </c>
      <c r="F729" s="10" t="s">
        <v>6362</v>
      </c>
      <c r="G729" t="s">
        <v>6365</v>
      </c>
    </row>
    <row r="730" spans="1:7" x14ac:dyDescent="0.35">
      <c r="A730" t="s">
        <v>6088</v>
      </c>
      <c r="B730" t="s">
        <v>5523</v>
      </c>
      <c r="C730" t="s">
        <v>5054</v>
      </c>
      <c r="D730">
        <v>27.01</v>
      </c>
      <c r="E730" t="s">
        <v>5235</v>
      </c>
      <c r="F730" s="10" t="s">
        <v>6362</v>
      </c>
      <c r="G730" t="s">
        <v>6365</v>
      </c>
    </row>
    <row r="731" spans="1:7" x14ac:dyDescent="0.35">
      <c r="A731" t="s">
        <v>6089</v>
      </c>
      <c r="B731" t="s">
        <v>5396</v>
      </c>
      <c r="C731" t="s">
        <v>5378</v>
      </c>
      <c r="D731">
        <v>36.93</v>
      </c>
      <c r="E731" t="s">
        <v>5196</v>
      </c>
      <c r="F731" s="10" t="s">
        <v>6362</v>
      </c>
      <c r="G731" t="s">
        <v>6365</v>
      </c>
    </row>
    <row r="732" spans="1:7" x14ac:dyDescent="0.35">
      <c r="A732" t="s">
        <v>6090</v>
      </c>
      <c r="B732" t="s">
        <v>5474</v>
      </c>
      <c r="C732" t="s">
        <v>4764</v>
      </c>
      <c r="D732">
        <v>14.74</v>
      </c>
      <c r="E732" t="s">
        <v>5198</v>
      </c>
      <c r="F732" s="10" t="s">
        <v>6362</v>
      </c>
      <c r="G732" t="s">
        <v>74</v>
      </c>
    </row>
    <row r="733" spans="1:7" x14ac:dyDescent="0.35">
      <c r="A733" t="s">
        <v>6091</v>
      </c>
      <c r="B733" t="s">
        <v>5253</v>
      </c>
      <c r="C733" t="s">
        <v>5516</v>
      </c>
      <c r="D733">
        <v>33.56</v>
      </c>
      <c r="E733" t="s">
        <v>5235</v>
      </c>
      <c r="F733" s="10" t="s">
        <v>6363</v>
      </c>
      <c r="G733" t="s">
        <v>74</v>
      </c>
    </row>
    <row r="734" spans="1:7" x14ac:dyDescent="0.35">
      <c r="A734" t="s">
        <v>6092</v>
      </c>
      <c r="B734" t="s">
        <v>5390</v>
      </c>
      <c r="C734" t="s">
        <v>5451</v>
      </c>
      <c r="D734">
        <v>25.84</v>
      </c>
      <c r="E734" t="s">
        <v>5196</v>
      </c>
      <c r="F734" s="10" t="s">
        <v>6362</v>
      </c>
      <c r="G734" t="s">
        <v>74</v>
      </c>
    </row>
    <row r="735" spans="1:7" x14ac:dyDescent="0.35">
      <c r="A735" t="s">
        <v>6093</v>
      </c>
      <c r="B735" t="s">
        <v>5295</v>
      </c>
      <c r="C735" t="s">
        <v>5316</v>
      </c>
      <c r="D735">
        <v>35.799999999999997</v>
      </c>
      <c r="E735" t="s">
        <v>5196</v>
      </c>
      <c r="F735" s="10" t="s">
        <v>6363</v>
      </c>
      <c r="G735" t="s">
        <v>6365</v>
      </c>
    </row>
    <row r="736" spans="1:7" x14ac:dyDescent="0.35">
      <c r="A736" t="s">
        <v>6094</v>
      </c>
      <c r="B736" t="s">
        <v>5455</v>
      </c>
      <c r="C736" t="s">
        <v>5351</v>
      </c>
      <c r="D736">
        <v>37.979999999999997</v>
      </c>
      <c r="E736" t="s">
        <v>5197</v>
      </c>
      <c r="F736" s="10" t="s">
        <v>6363</v>
      </c>
      <c r="G736" t="s">
        <v>74</v>
      </c>
    </row>
    <row r="737" spans="1:7" x14ac:dyDescent="0.35">
      <c r="A737" t="s">
        <v>6095</v>
      </c>
      <c r="B737" t="s">
        <v>5219</v>
      </c>
      <c r="C737" t="s">
        <v>5286</v>
      </c>
      <c r="D737">
        <v>22.25</v>
      </c>
      <c r="E737" t="s">
        <v>5196</v>
      </c>
      <c r="F737" s="10" t="s">
        <v>6362</v>
      </c>
      <c r="G737" t="s">
        <v>74</v>
      </c>
    </row>
    <row r="738" spans="1:7" x14ac:dyDescent="0.35">
      <c r="A738" t="s">
        <v>6096</v>
      </c>
      <c r="B738" t="s">
        <v>5311</v>
      </c>
      <c r="C738" t="s">
        <v>5222</v>
      </c>
      <c r="D738">
        <v>35.01</v>
      </c>
      <c r="E738" t="s">
        <v>5197</v>
      </c>
      <c r="F738" s="10" t="s">
        <v>6363</v>
      </c>
      <c r="G738" t="s">
        <v>6365</v>
      </c>
    </row>
    <row r="739" spans="1:7" x14ac:dyDescent="0.35">
      <c r="A739" t="s">
        <v>6097</v>
      </c>
      <c r="B739" t="s">
        <v>5212</v>
      </c>
      <c r="C739" t="s">
        <v>5359</v>
      </c>
      <c r="D739">
        <v>25.65</v>
      </c>
      <c r="E739" t="s">
        <v>5196</v>
      </c>
      <c r="F739" s="10" t="s">
        <v>6363</v>
      </c>
      <c r="G739" t="s">
        <v>74</v>
      </c>
    </row>
    <row r="740" spans="1:7" x14ac:dyDescent="0.35">
      <c r="A740" t="s">
        <v>6098</v>
      </c>
      <c r="B740" t="s">
        <v>5444</v>
      </c>
      <c r="C740" t="s">
        <v>5108</v>
      </c>
      <c r="D740">
        <v>17.739999999999998</v>
      </c>
      <c r="E740" t="s">
        <v>5196</v>
      </c>
      <c r="F740" s="10" t="s">
        <v>6363</v>
      </c>
      <c r="G740" t="s">
        <v>74</v>
      </c>
    </row>
    <row r="741" spans="1:7" x14ac:dyDescent="0.35">
      <c r="A741" t="s">
        <v>6099</v>
      </c>
      <c r="B741" t="s">
        <v>5537</v>
      </c>
      <c r="C741" t="s">
        <v>5305</v>
      </c>
      <c r="D741">
        <v>24.38</v>
      </c>
      <c r="E741" t="s">
        <v>5199</v>
      </c>
      <c r="F741" s="10" t="s">
        <v>6363</v>
      </c>
      <c r="G741" t="s">
        <v>71</v>
      </c>
    </row>
    <row r="742" spans="1:7" x14ac:dyDescent="0.35">
      <c r="A742" t="s">
        <v>6100</v>
      </c>
      <c r="B742" t="s">
        <v>5367</v>
      </c>
      <c r="C742" t="s">
        <v>5353</v>
      </c>
      <c r="D742">
        <v>32.92</v>
      </c>
      <c r="E742" t="s">
        <v>5198</v>
      </c>
      <c r="F742" s="10" t="s">
        <v>6363</v>
      </c>
      <c r="G742" t="s">
        <v>74</v>
      </c>
    </row>
    <row r="743" spans="1:7" x14ac:dyDescent="0.35">
      <c r="A743" t="s">
        <v>6101</v>
      </c>
      <c r="B743" t="s">
        <v>5990</v>
      </c>
      <c r="C743" t="s">
        <v>5228</v>
      </c>
      <c r="D743">
        <v>21.75</v>
      </c>
      <c r="E743" t="s">
        <v>5235</v>
      </c>
      <c r="F743" s="10" t="s">
        <v>6363</v>
      </c>
      <c r="G743" t="s">
        <v>6365</v>
      </c>
    </row>
    <row r="744" spans="1:7" x14ac:dyDescent="0.35">
      <c r="A744" t="s">
        <v>6102</v>
      </c>
      <c r="B744" t="s">
        <v>5345</v>
      </c>
      <c r="C744" t="s">
        <v>5108</v>
      </c>
      <c r="D744">
        <v>29.88</v>
      </c>
      <c r="E744" t="s">
        <v>5235</v>
      </c>
      <c r="F744" s="10" t="s">
        <v>6363</v>
      </c>
      <c r="G744" t="s">
        <v>71</v>
      </c>
    </row>
    <row r="745" spans="1:7" x14ac:dyDescent="0.35">
      <c r="A745" t="s">
        <v>6103</v>
      </c>
      <c r="B745" t="s">
        <v>5628</v>
      </c>
      <c r="C745" t="s">
        <v>5215</v>
      </c>
      <c r="D745">
        <v>19.79</v>
      </c>
      <c r="E745" t="s">
        <v>5235</v>
      </c>
      <c r="F745" s="10" t="s">
        <v>6363</v>
      </c>
      <c r="G745" t="s">
        <v>74</v>
      </c>
    </row>
    <row r="746" spans="1:7" x14ac:dyDescent="0.35">
      <c r="A746" t="s">
        <v>6104</v>
      </c>
      <c r="B746" t="s">
        <v>5232</v>
      </c>
      <c r="C746" t="s">
        <v>5340</v>
      </c>
      <c r="D746">
        <v>22.5</v>
      </c>
      <c r="E746" t="s">
        <v>5196</v>
      </c>
      <c r="F746" s="10" t="s">
        <v>6362</v>
      </c>
      <c r="G746" t="s">
        <v>6365</v>
      </c>
    </row>
    <row r="747" spans="1:7" x14ac:dyDescent="0.35">
      <c r="A747" t="s">
        <v>6105</v>
      </c>
      <c r="B747" t="s">
        <v>5315</v>
      </c>
      <c r="C747" t="s">
        <v>5225</v>
      </c>
      <c r="D747">
        <v>28.88</v>
      </c>
      <c r="E747" t="s">
        <v>5196</v>
      </c>
      <c r="F747" s="10" t="s">
        <v>6362</v>
      </c>
      <c r="G747" t="s">
        <v>6365</v>
      </c>
    </row>
    <row r="748" spans="1:7" x14ac:dyDescent="0.35">
      <c r="A748" t="s">
        <v>6106</v>
      </c>
      <c r="B748" t="s">
        <v>5315</v>
      </c>
      <c r="C748" t="s">
        <v>4559</v>
      </c>
      <c r="D748">
        <v>38.49</v>
      </c>
      <c r="E748" t="s">
        <v>5235</v>
      </c>
      <c r="F748" s="10" t="s">
        <v>6363</v>
      </c>
      <c r="G748" t="s">
        <v>74</v>
      </c>
    </row>
    <row r="749" spans="1:7" x14ac:dyDescent="0.35">
      <c r="A749" t="s">
        <v>6107</v>
      </c>
      <c r="B749" t="s">
        <v>5239</v>
      </c>
      <c r="C749" t="s">
        <v>5208</v>
      </c>
      <c r="D749">
        <v>23.16</v>
      </c>
      <c r="E749" t="s">
        <v>5199</v>
      </c>
      <c r="F749" s="10" t="s">
        <v>6362</v>
      </c>
      <c r="G749" t="s">
        <v>6366</v>
      </c>
    </row>
    <row r="750" spans="1:7" x14ac:dyDescent="0.35">
      <c r="A750" t="s">
        <v>6108</v>
      </c>
      <c r="B750" t="s">
        <v>5488</v>
      </c>
      <c r="C750" t="s">
        <v>5649</v>
      </c>
      <c r="D750">
        <v>28.29</v>
      </c>
      <c r="E750" t="s">
        <v>5199</v>
      </c>
      <c r="F750" s="10" t="s">
        <v>6363</v>
      </c>
      <c r="G750" t="s">
        <v>6365</v>
      </c>
    </row>
    <row r="751" spans="1:7" x14ac:dyDescent="0.35">
      <c r="A751" t="s">
        <v>6109</v>
      </c>
      <c r="B751" t="s">
        <v>5480</v>
      </c>
      <c r="C751" t="s">
        <v>4720</v>
      </c>
      <c r="D751">
        <v>35.06</v>
      </c>
      <c r="E751" t="s">
        <v>5197</v>
      </c>
      <c r="F751" s="10" t="s">
        <v>6363</v>
      </c>
      <c r="G751" t="s">
        <v>71</v>
      </c>
    </row>
    <row r="752" spans="1:7" x14ac:dyDescent="0.35">
      <c r="A752" t="s">
        <v>6110</v>
      </c>
      <c r="B752" t="s">
        <v>5321</v>
      </c>
      <c r="C752" t="s">
        <v>5230</v>
      </c>
      <c r="D752">
        <v>27.29</v>
      </c>
      <c r="E752" t="s">
        <v>5235</v>
      </c>
      <c r="F752" s="10" t="s">
        <v>6363</v>
      </c>
      <c r="G752" t="s">
        <v>6365</v>
      </c>
    </row>
    <row r="753" spans="1:7" x14ac:dyDescent="0.35">
      <c r="A753" t="s">
        <v>6111</v>
      </c>
      <c r="B753" t="s">
        <v>5480</v>
      </c>
      <c r="C753" t="s">
        <v>5365</v>
      </c>
      <c r="D753">
        <v>24.18</v>
      </c>
      <c r="E753" t="s">
        <v>5199</v>
      </c>
      <c r="F753" s="10" t="s">
        <v>6362</v>
      </c>
      <c r="G753" t="s">
        <v>6365</v>
      </c>
    </row>
    <row r="754" spans="1:7" x14ac:dyDescent="0.35">
      <c r="A754" t="s">
        <v>6112</v>
      </c>
      <c r="B754" t="s">
        <v>5204</v>
      </c>
      <c r="C754" t="s">
        <v>5499</v>
      </c>
      <c r="D754">
        <v>14.24</v>
      </c>
      <c r="E754" t="s">
        <v>5197</v>
      </c>
      <c r="F754" s="10" t="s">
        <v>6362</v>
      </c>
      <c r="G754" t="s">
        <v>6365</v>
      </c>
    </row>
    <row r="755" spans="1:7" x14ac:dyDescent="0.35">
      <c r="A755" t="s">
        <v>6113</v>
      </c>
      <c r="B755" t="s">
        <v>5318</v>
      </c>
      <c r="C755" t="s">
        <v>5735</v>
      </c>
      <c r="D755">
        <v>28.49</v>
      </c>
      <c r="E755" t="s">
        <v>5198</v>
      </c>
      <c r="F755" s="10" t="s">
        <v>6363</v>
      </c>
      <c r="G755" t="s">
        <v>6365</v>
      </c>
    </row>
    <row r="756" spans="1:7" x14ac:dyDescent="0.35">
      <c r="A756" t="s">
        <v>6114</v>
      </c>
      <c r="B756" t="s">
        <v>5214</v>
      </c>
      <c r="C756" t="s">
        <v>5418</v>
      </c>
      <c r="D756">
        <v>38</v>
      </c>
      <c r="E756" t="s">
        <v>5196</v>
      </c>
      <c r="F756" s="10" t="s">
        <v>6362</v>
      </c>
      <c r="G756" t="s">
        <v>74</v>
      </c>
    </row>
    <row r="757" spans="1:7" x14ac:dyDescent="0.35">
      <c r="A757" t="s">
        <v>6115</v>
      </c>
      <c r="B757" t="s">
        <v>5364</v>
      </c>
      <c r="C757" t="s">
        <v>5108</v>
      </c>
      <c r="D757">
        <v>38.17</v>
      </c>
      <c r="E757" t="s">
        <v>5198</v>
      </c>
      <c r="F757" s="10" t="s">
        <v>6363</v>
      </c>
      <c r="G757" t="s">
        <v>74</v>
      </c>
    </row>
    <row r="758" spans="1:7" x14ac:dyDescent="0.35">
      <c r="A758" t="s">
        <v>6116</v>
      </c>
      <c r="B758" t="s">
        <v>5523</v>
      </c>
      <c r="C758" t="s">
        <v>5165</v>
      </c>
      <c r="D758">
        <v>18.41</v>
      </c>
      <c r="E758" t="s">
        <v>5235</v>
      </c>
      <c r="F758" s="10" t="s">
        <v>6362</v>
      </c>
      <c r="G758" t="s">
        <v>6365</v>
      </c>
    </row>
    <row r="759" spans="1:7" x14ac:dyDescent="0.35">
      <c r="A759" t="s">
        <v>6117</v>
      </c>
      <c r="B759" t="s">
        <v>5477</v>
      </c>
      <c r="C759" t="s">
        <v>5735</v>
      </c>
      <c r="D759">
        <v>37.479999999999997</v>
      </c>
      <c r="E759" t="s">
        <v>5197</v>
      </c>
      <c r="F759" s="10" t="s">
        <v>6363</v>
      </c>
      <c r="G759" t="s">
        <v>6366</v>
      </c>
    </row>
    <row r="760" spans="1:7" x14ac:dyDescent="0.35">
      <c r="A760" t="s">
        <v>6118</v>
      </c>
      <c r="B760" t="s">
        <v>5232</v>
      </c>
      <c r="C760" t="s">
        <v>5418</v>
      </c>
      <c r="D760">
        <v>23.23</v>
      </c>
      <c r="E760" t="s">
        <v>5197</v>
      </c>
      <c r="F760" s="10" t="s">
        <v>6363</v>
      </c>
      <c r="G760" t="s">
        <v>71</v>
      </c>
    </row>
    <row r="761" spans="1:7" x14ac:dyDescent="0.35">
      <c r="A761" t="s">
        <v>6119</v>
      </c>
      <c r="B761" t="s">
        <v>5293</v>
      </c>
      <c r="C761" t="s">
        <v>5414</v>
      </c>
      <c r="D761">
        <v>28.94</v>
      </c>
      <c r="E761" t="s">
        <v>5199</v>
      </c>
      <c r="F761" s="10" t="s">
        <v>6363</v>
      </c>
      <c r="G761" t="s">
        <v>74</v>
      </c>
    </row>
    <row r="762" spans="1:7" x14ac:dyDescent="0.35">
      <c r="A762" t="s">
        <v>6120</v>
      </c>
      <c r="B762" t="s">
        <v>5272</v>
      </c>
      <c r="C762" t="s">
        <v>5286</v>
      </c>
      <c r="D762">
        <v>17.66</v>
      </c>
      <c r="E762" t="s">
        <v>5199</v>
      </c>
      <c r="F762" s="10" t="s">
        <v>6363</v>
      </c>
      <c r="G762" t="s">
        <v>6365</v>
      </c>
    </row>
    <row r="763" spans="1:7" x14ac:dyDescent="0.35">
      <c r="A763" t="s">
        <v>6121</v>
      </c>
      <c r="B763" t="s">
        <v>5396</v>
      </c>
      <c r="C763" t="s">
        <v>5091</v>
      </c>
      <c r="D763">
        <v>16.72</v>
      </c>
      <c r="E763" t="s">
        <v>5197</v>
      </c>
      <c r="F763" s="10" t="s">
        <v>6363</v>
      </c>
      <c r="G763" t="s">
        <v>71</v>
      </c>
    </row>
    <row r="764" spans="1:7" x14ac:dyDescent="0.35">
      <c r="A764" t="s">
        <v>6122</v>
      </c>
      <c r="B764" t="s">
        <v>5302</v>
      </c>
      <c r="C764" t="s">
        <v>5362</v>
      </c>
      <c r="D764">
        <v>35.43</v>
      </c>
      <c r="E764" t="s">
        <v>5235</v>
      </c>
      <c r="F764" s="10" t="s">
        <v>6363</v>
      </c>
      <c r="G764" t="s">
        <v>71</v>
      </c>
    </row>
    <row r="765" spans="1:7" x14ac:dyDescent="0.35">
      <c r="A765" t="s">
        <v>6123</v>
      </c>
      <c r="B765" t="s">
        <v>5519</v>
      </c>
      <c r="C765" t="s">
        <v>5054</v>
      </c>
      <c r="D765">
        <v>16.61</v>
      </c>
      <c r="E765" t="s">
        <v>5198</v>
      </c>
      <c r="F765" s="10" t="s">
        <v>6362</v>
      </c>
      <c r="G765" t="s">
        <v>6365</v>
      </c>
    </row>
    <row r="766" spans="1:7" x14ac:dyDescent="0.35">
      <c r="A766" t="s">
        <v>6124</v>
      </c>
      <c r="B766" t="s">
        <v>5411</v>
      </c>
      <c r="C766" t="s">
        <v>4785</v>
      </c>
      <c r="D766">
        <v>35.409999999999997</v>
      </c>
      <c r="E766" t="s">
        <v>5199</v>
      </c>
      <c r="F766" s="10" t="s">
        <v>6362</v>
      </c>
      <c r="G766" t="s">
        <v>74</v>
      </c>
    </row>
    <row r="767" spans="1:7" x14ac:dyDescent="0.35">
      <c r="A767" t="s">
        <v>6125</v>
      </c>
      <c r="B767" t="s">
        <v>5474</v>
      </c>
      <c r="C767" t="s">
        <v>5334</v>
      </c>
      <c r="D767">
        <v>38.380000000000003</v>
      </c>
      <c r="E767" t="s">
        <v>5197</v>
      </c>
      <c r="F767" s="10" t="s">
        <v>6363</v>
      </c>
      <c r="G767" t="s">
        <v>6365</v>
      </c>
    </row>
    <row r="768" spans="1:7" x14ac:dyDescent="0.35">
      <c r="A768" t="s">
        <v>6126</v>
      </c>
      <c r="B768" t="s">
        <v>5298</v>
      </c>
      <c r="C768" t="s">
        <v>5296</v>
      </c>
      <c r="D768">
        <v>17.91</v>
      </c>
      <c r="E768" t="s">
        <v>5197</v>
      </c>
      <c r="F768" s="10" t="s">
        <v>6362</v>
      </c>
      <c r="G768" t="s">
        <v>6365</v>
      </c>
    </row>
    <row r="769" spans="1:7" x14ac:dyDescent="0.35">
      <c r="A769" t="s">
        <v>6127</v>
      </c>
      <c r="B769" t="s">
        <v>5396</v>
      </c>
      <c r="C769" t="s">
        <v>5308</v>
      </c>
      <c r="D769">
        <v>12.55</v>
      </c>
      <c r="E769" t="s">
        <v>5235</v>
      </c>
      <c r="F769" s="10" t="s">
        <v>6362</v>
      </c>
      <c r="G769" t="s">
        <v>6365</v>
      </c>
    </row>
    <row r="770" spans="1:7" x14ac:dyDescent="0.35">
      <c r="A770" t="s">
        <v>6128</v>
      </c>
      <c r="B770" t="s">
        <v>5288</v>
      </c>
      <c r="C770" t="s">
        <v>5399</v>
      </c>
      <c r="D770">
        <v>27.17</v>
      </c>
      <c r="E770" t="s">
        <v>5235</v>
      </c>
      <c r="F770" s="10" t="s">
        <v>6362</v>
      </c>
      <c r="G770" t="s">
        <v>71</v>
      </c>
    </row>
    <row r="771" spans="1:7" x14ac:dyDescent="0.35">
      <c r="A771" t="s">
        <v>6129</v>
      </c>
      <c r="B771" t="s">
        <v>5336</v>
      </c>
      <c r="C771" t="s">
        <v>5399</v>
      </c>
      <c r="D771">
        <v>18.3</v>
      </c>
      <c r="E771" t="s">
        <v>5235</v>
      </c>
      <c r="F771" s="10" t="s">
        <v>6362</v>
      </c>
      <c r="G771" t="s">
        <v>6365</v>
      </c>
    </row>
    <row r="772" spans="1:7" x14ac:dyDescent="0.35">
      <c r="A772" t="s">
        <v>6130</v>
      </c>
      <c r="B772" t="s">
        <v>5224</v>
      </c>
      <c r="C772" t="s">
        <v>5510</v>
      </c>
      <c r="D772">
        <v>32.590000000000003</v>
      </c>
      <c r="E772" t="s">
        <v>5199</v>
      </c>
      <c r="F772" s="10" t="s">
        <v>6363</v>
      </c>
      <c r="G772" t="s">
        <v>6365</v>
      </c>
    </row>
    <row r="773" spans="1:7" x14ac:dyDescent="0.35">
      <c r="A773" t="s">
        <v>6131</v>
      </c>
      <c r="B773" t="s">
        <v>5295</v>
      </c>
      <c r="C773" t="s">
        <v>5406</v>
      </c>
      <c r="D773">
        <v>21.75</v>
      </c>
      <c r="E773" t="s">
        <v>5235</v>
      </c>
      <c r="F773" s="10" t="s">
        <v>6362</v>
      </c>
      <c r="G773" t="s">
        <v>6365</v>
      </c>
    </row>
    <row r="774" spans="1:7" x14ac:dyDescent="0.35">
      <c r="A774" t="s">
        <v>6132</v>
      </c>
      <c r="B774" t="s">
        <v>5488</v>
      </c>
      <c r="C774" t="s">
        <v>4896</v>
      </c>
      <c r="D774">
        <v>32.299999999999997</v>
      </c>
      <c r="E774" t="s">
        <v>5197</v>
      </c>
      <c r="F774" s="10" t="s">
        <v>6362</v>
      </c>
      <c r="G774" t="s">
        <v>71</v>
      </c>
    </row>
    <row r="775" spans="1:7" x14ac:dyDescent="0.35">
      <c r="A775" t="s">
        <v>6133</v>
      </c>
      <c r="B775" t="s">
        <v>5281</v>
      </c>
      <c r="C775" t="s">
        <v>5215</v>
      </c>
      <c r="D775">
        <v>29.47</v>
      </c>
      <c r="E775" t="s">
        <v>5197</v>
      </c>
      <c r="F775" s="10" t="s">
        <v>6362</v>
      </c>
      <c r="G775" t="s">
        <v>71</v>
      </c>
    </row>
    <row r="776" spans="1:7" x14ac:dyDescent="0.35">
      <c r="A776" t="s">
        <v>6134</v>
      </c>
      <c r="B776" t="s">
        <v>5250</v>
      </c>
      <c r="C776" t="s">
        <v>5747</v>
      </c>
      <c r="D776">
        <v>31.83</v>
      </c>
      <c r="E776" t="s">
        <v>5197</v>
      </c>
      <c r="F776" s="10" t="s">
        <v>6362</v>
      </c>
      <c r="G776" t="s">
        <v>71</v>
      </c>
    </row>
    <row r="777" spans="1:7" x14ac:dyDescent="0.35">
      <c r="A777" t="s">
        <v>6135</v>
      </c>
      <c r="B777" t="s">
        <v>5267</v>
      </c>
      <c r="C777" t="s">
        <v>5228</v>
      </c>
      <c r="D777">
        <v>39.520000000000003</v>
      </c>
      <c r="E777" t="s">
        <v>5197</v>
      </c>
      <c r="F777" s="10" t="s">
        <v>6363</v>
      </c>
      <c r="G777" t="s">
        <v>6365</v>
      </c>
    </row>
    <row r="778" spans="1:7" x14ac:dyDescent="0.35">
      <c r="A778" t="s">
        <v>6136</v>
      </c>
      <c r="B778" t="s">
        <v>5580</v>
      </c>
      <c r="C778" t="s">
        <v>5208</v>
      </c>
      <c r="D778">
        <v>37.65</v>
      </c>
      <c r="E778" t="s">
        <v>5198</v>
      </c>
      <c r="F778" s="10" t="s">
        <v>6363</v>
      </c>
      <c r="G778" t="s">
        <v>6365</v>
      </c>
    </row>
    <row r="779" spans="1:7" x14ac:dyDescent="0.35">
      <c r="A779" t="s">
        <v>6137</v>
      </c>
      <c r="B779" t="s">
        <v>5364</v>
      </c>
      <c r="C779" t="s">
        <v>4773</v>
      </c>
      <c r="D779">
        <v>32.72</v>
      </c>
      <c r="E779" t="s">
        <v>5235</v>
      </c>
      <c r="F779" s="10" t="s">
        <v>6362</v>
      </c>
      <c r="G779" t="s">
        <v>74</v>
      </c>
    </row>
    <row r="780" spans="1:7" x14ac:dyDescent="0.35">
      <c r="A780" t="s">
        <v>6138</v>
      </c>
      <c r="B780" t="s">
        <v>5204</v>
      </c>
      <c r="C780" t="s">
        <v>5270</v>
      </c>
      <c r="D780">
        <v>25.82</v>
      </c>
      <c r="E780" t="s">
        <v>5196</v>
      </c>
      <c r="F780" s="10" t="s">
        <v>6362</v>
      </c>
      <c r="G780" t="s">
        <v>6365</v>
      </c>
    </row>
    <row r="781" spans="1:7" x14ac:dyDescent="0.35">
      <c r="A781" t="s">
        <v>6139</v>
      </c>
      <c r="B781" t="s">
        <v>5311</v>
      </c>
      <c r="C781" t="s">
        <v>5584</v>
      </c>
      <c r="D781">
        <v>23.61</v>
      </c>
      <c r="E781" t="s">
        <v>5196</v>
      </c>
      <c r="F781" s="10" t="s">
        <v>6362</v>
      </c>
      <c r="G781" t="s">
        <v>71</v>
      </c>
    </row>
    <row r="782" spans="1:7" x14ac:dyDescent="0.35">
      <c r="A782" t="s">
        <v>6140</v>
      </c>
      <c r="B782" t="s">
        <v>5227</v>
      </c>
      <c r="C782" t="s">
        <v>5256</v>
      </c>
      <c r="D782">
        <v>11.96</v>
      </c>
      <c r="E782" t="s">
        <v>5196</v>
      </c>
      <c r="F782" s="10" t="s">
        <v>6363</v>
      </c>
      <c r="G782" t="s">
        <v>6365</v>
      </c>
    </row>
    <row r="783" spans="1:7" x14ac:dyDescent="0.35">
      <c r="A783" t="s">
        <v>6141</v>
      </c>
      <c r="B783" t="s">
        <v>5385</v>
      </c>
      <c r="C783" t="s">
        <v>5225</v>
      </c>
      <c r="D783">
        <v>18.84</v>
      </c>
      <c r="E783" t="s">
        <v>5197</v>
      </c>
      <c r="F783" s="10" t="s">
        <v>6362</v>
      </c>
      <c r="G783" t="s">
        <v>71</v>
      </c>
    </row>
    <row r="784" spans="1:7" x14ac:dyDescent="0.35">
      <c r="A784" t="s">
        <v>6142</v>
      </c>
      <c r="B784" t="s">
        <v>5383</v>
      </c>
      <c r="C784" t="s">
        <v>5222</v>
      </c>
      <c r="D784">
        <v>28.77</v>
      </c>
      <c r="E784" t="s">
        <v>5199</v>
      </c>
      <c r="F784" s="10" t="s">
        <v>6362</v>
      </c>
      <c r="G784" t="s">
        <v>71</v>
      </c>
    </row>
    <row r="785" spans="1:7" x14ac:dyDescent="0.35">
      <c r="A785" t="s">
        <v>6143</v>
      </c>
      <c r="B785" t="s">
        <v>5385</v>
      </c>
      <c r="C785" t="s">
        <v>5115</v>
      </c>
      <c r="D785">
        <v>24.73</v>
      </c>
      <c r="E785" t="s">
        <v>5196</v>
      </c>
      <c r="F785" s="10" t="s">
        <v>6363</v>
      </c>
      <c r="G785" t="s">
        <v>71</v>
      </c>
    </row>
    <row r="786" spans="1:7" x14ac:dyDescent="0.35">
      <c r="A786" t="s">
        <v>6144</v>
      </c>
      <c r="B786" t="s">
        <v>5398</v>
      </c>
      <c r="C786" t="s">
        <v>4697</v>
      </c>
      <c r="D786">
        <v>22.24</v>
      </c>
      <c r="E786" t="s">
        <v>5197</v>
      </c>
      <c r="F786" s="10" t="s">
        <v>6362</v>
      </c>
      <c r="G786" t="s">
        <v>6366</v>
      </c>
    </row>
    <row r="787" spans="1:7" x14ac:dyDescent="0.35">
      <c r="A787" t="s">
        <v>6145</v>
      </c>
      <c r="B787" t="s">
        <v>5609</v>
      </c>
      <c r="C787" t="s">
        <v>4697</v>
      </c>
      <c r="D787">
        <v>24.16</v>
      </c>
      <c r="E787" t="s">
        <v>5197</v>
      </c>
      <c r="F787" s="10" t="s">
        <v>6363</v>
      </c>
      <c r="G787" t="s">
        <v>6365</v>
      </c>
    </row>
    <row r="788" spans="1:7" x14ac:dyDescent="0.35">
      <c r="A788" t="s">
        <v>6146</v>
      </c>
      <c r="B788" t="s">
        <v>5367</v>
      </c>
      <c r="C788" t="s">
        <v>5388</v>
      </c>
      <c r="D788">
        <v>19.489999999999998</v>
      </c>
      <c r="E788" t="s">
        <v>5199</v>
      </c>
      <c r="F788" s="10" t="s">
        <v>6362</v>
      </c>
      <c r="G788" t="s">
        <v>71</v>
      </c>
    </row>
    <row r="789" spans="1:7" x14ac:dyDescent="0.35">
      <c r="A789" t="s">
        <v>6147</v>
      </c>
      <c r="B789" t="s">
        <v>5385</v>
      </c>
      <c r="C789" t="s">
        <v>5316</v>
      </c>
      <c r="D789">
        <v>27.19</v>
      </c>
      <c r="E789" t="s">
        <v>5235</v>
      </c>
      <c r="F789" s="10" t="s">
        <v>6363</v>
      </c>
      <c r="G789" t="s">
        <v>74</v>
      </c>
    </row>
    <row r="790" spans="1:7" x14ac:dyDescent="0.35">
      <c r="A790" t="s">
        <v>6148</v>
      </c>
      <c r="B790" t="s">
        <v>5219</v>
      </c>
      <c r="C790" t="s">
        <v>5453</v>
      </c>
      <c r="D790">
        <v>26.56</v>
      </c>
      <c r="E790" t="s">
        <v>5196</v>
      </c>
      <c r="F790" s="10" t="s">
        <v>6362</v>
      </c>
      <c r="G790" t="s">
        <v>6365</v>
      </c>
    </row>
    <row r="791" spans="1:7" x14ac:dyDescent="0.35">
      <c r="A791" t="s">
        <v>6149</v>
      </c>
      <c r="B791" t="s">
        <v>5298</v>
      </c>
      <c r="C791" t="s">
        <v>5011</v>
      </c>
      <c r="D791">
        <v>37.29</v>
      </c>
      <c r="E791" t="s">
        <v>5196</v>
      </c>
      <c r="F791" s="10" t="s">
        <v>6362</v>
      </c>
      <c r="G791" t="s">
        <v>6365</v>
      </c>
    </row>
    <row r="792" spans="1:7" x14ac:dyDescent="0.35">
      <c r="A792" t="s">
        <v>6150</v>
      </c>
      <c r="B792" t="s">
        <v>5413</v>
      </c>
      <c r="C792" t="s">
        <v>5331</v>
      </c>
      <c r="D792">
        <v>20.190000000000001</v>
      </c>
      <c r="E792" t="s">
        <v>5196</v>
      </c>
      <c r="F792" s="10" t="s">
        <v>6363</v>
      </c>
      <c r="G792" t="s">
        <v>6365</v>
      </c>
    </row>
    <row r="793" spans="1:7" x14ac:dyDescent="0.35">
      <c r="A793" t="s">
        <v>6151</v>
      </c>
      <c r="B793" t="s">
        <v>5291</v>
      </c>
      <c r="C793" t="s">
        <v>5324</v>
      </c>
      <c r="D793">
        <v>18.829999999999998</v>
      </c>
      <c r="E793" t="s">
        <v>5196</v>
      </c>
      <c r="F793" s="10" t="s">
        <v>6363</v>
      </c>
      <c r="G793" t="s">
        <v>74</v>
      </c>
    </row>
    <row r="794" spans="1:7" x14ac:dyDescent="0.35">
      <c r="A794" t="s">
        <v>6152</v>
      </c>
      <c r="B794" t="s">
        <v>5405</v>
      </c>
      <c r="C794" t="s">
        <v>5380</v>
      </c>
      <c r="D794">
        <v>26.54</v>
      </c>
      <c r="E794" t="s">
        <v>5198</v>
      </c>
      <c r="F794" s="10" t="s">
        <v>6362</v>
      </c>
      <c r="G794" t="s">
        <v>6366</v>
      </c>
    </row>
    <row r="795" spans="1:7" x14ac:dyDescent="0.35">
      <c r="A795" t="s">
        <v>6153</v>
      </c>
      <c r="B795" t="s">
        <v>5434</v>
      </c>
      <c r="C795" t="s">
        <v>5331</v>
      </c>
      <c r="D795">
        <v>15.18</v>
      </c>
      <c r="E795" t="s">
        <v>5198</v>
      </c>
      <c r="F795" s="10" t="s">
        <v>6362</v>
      </c>
      <c r="G795" t="s">
        <v>71</v>
      </c>
    </row>
    <row r="796" spans="1:7" x14ac:dyDescent="0.35">
      <c r="A796" t="s">
        <v>6154</v>
      </c>
      <c r="B796" t="s">
        <v>5201</v>
      </c>
      <c r="C796" t="s">
        <v>5165</v>
      </c>
      <c r="D796">
        <v>19.149999999999999</v>
      </c>
      <c r="E796" t="s">
        <v>5235</v>
      </c>
      <c r="F796" s="10" t="s">
        <v>6362</v>
      </c>
      <c r="G796" t="s">
        <v>6365</v>
      </c>
    </row>
    <row r="797" spans="1:7" x14ac:dyDescent="0.35">
      <c r="A797" t="s">
        <v>6155</v>
      </c>
      <c r="B797" t="s">
        <v>5504</v>
      </c>
      <c r="C797" t="s">
        <v>5460</v>
      </c>
      <c r="D797">
        <v>30.63</v>
      </c>
      <c r="E797" t="s">
        <v>5196</v>
      </c>
      <c r="F797" s="10" t="s">
        <v>6363</v>
      </c>
      <c r="G797" t="s">
        <v>6365</v>
      </c>
    </row>
    <row r="798" spans="1:7" x14ac:dyDescent="0.35">
      <c r="A798" t="s">
        <v>6156</v>
      </c>
      <c r="B798" t="s">
        <v>5326</v>
      </c>
      <c r="C798" t="s">
        <v>5634</v>
      </c>
      <c r="D798">
        <v>36.97</v>
      </c>
      <c r="E798" t="s">
        <v>5199</v>
      </c>
      <c r="F798" s="10" t="s">
        <v>6363</v>
      </c>
      <c r="G798" t="s">
        <v>74</v>
      </c>
    </row>
    <row r="799" spans="1:7" x14ac:dyDescent="0.35">
      <c r="A799" t="s">
        <v>6157</v>
      </c>
      <c r="B799" t="s">
        <v>5401</v>
      </c>
      <c r="C799" t="s">
        <v>5319</v>
      </c>
      <c r="D799">
        <v>35.89</v>
      </c>
      <c r="E799" t="s">
        <v>5235</v>
      </c>
      <c r="F799" s="10" t="s">
        <v>6363</v>
      </c>
      <c r="G799" t="s">
        <v>6365</v>
      </c>
    </row>
    <row r="800" spans="1:7" x14ac:dyDescent="0.35">
      <c r="A800" t="s">
        <v>6158</v>
      </c>
      <c r="B800" t="s">
        <v>5494</v>
      </c>
      <c r="C800" t="s">
        <v>5586</v>
      </c>
      <c r="D800">
        <v>27.82</v>
      </c>
      <c r="E800" t="s">
        <v>5196</v>
      </c>
      <c r="F800" s="10" t="s">
        <v>6363</v>
      </c>
      <c r="G800" t="s">
        <v>6365</v>
      </c>
    </row>
    <row r="801" spans="1:7" x14ac:dyDescent="0.35">
      <c r="A801" t="s">
        <v>6159</v>
      </c>
      <c r="B801" t="s">
        <v>5221</v>
      </c>
      <c r="C801" t="s">
        <v>4705</v>
      </c>
      <c r="D801">
        <v>37.520000000000003</v>
      </c>
      <c r="E801" t="s">
        <v>5199</v>
      </c>
      <c r="F801" s="10" t="s">
        <v>6363</v>
      </c>
      <c r="G801" t="s">
        <v>71</v>
      </c>
    </row>
    <row r="802" spans="1:7" x14ac:dyDescent="0.35">
      <c r="A802" t="s">
        <v>6160</v>
      </c>
      <c r="B802" t="s">
        <v>5609</v>
      </c>
      <c r="C802" t="s">
        <v>5245</v>
      </c>
      <c r="D802">
        <v>21.27</v>
      </c>
      <c r="E802" t="s">
        <v>5235</v>
      </c>
      <c r="F802" s="10" t="s">
        <v>6362</v>
      </c>
      <c r="G802" t="s">
        <v>6365</v>
      </c>
    </row>
    <row r="803" spans="1:7" x14ac:dyDescent="0.35">
      <c r="A803" t="s">
        <v>6161</v>
      </c>
      <c r="B803" t="s">
        <v>5440</v>
      </c>
      <c r="C803" t="s">
        <v>5353</v>
      </c>
      <c r="D803">
        <v>22.48</v>
      </c>
      <c r="E803" t="s">
        <v>5196</v>
      </c>
      <c r="F803" s="10" t="s">
        <v>6362</v>
      </c>
      <c r="G803" t="s">
        <v>71</v>
      </c>
    </row>
    <row r="804" spans="1:7" x14ac:dyDescent="0.35">
      <c r="A804" t="s">
        <v>6162</v>
      </c>
      <c r="B804" t="s">
        <v>5592</v>
      </c>
      <c r="C804" t="s">
        <v>5091</v>
      </c>
      <c r="D804">
        <v>26.2</v>
      </c>
      <c r="E804" t="s">
        <v>5199</v>
      </c>
      <c r="F804" s="10" t="s">
        <v>6363</v>
      </c>
      <c r="G804" t="s">
        <v>74</v>
      </c>
    </row>
    <row r="805" spans="1:7" x14ac:dyDescent="0.35">
      <c r="A805" t="s">
        <v>6163</v>
      </c>
      <c r="B805" t="s">
        <v>5217</v>
      </c>
      <c r="C805" t="s">
        <v>5359</v>
      </c>
      <c r="D805">
        <v>33.380000000000003</v>
      </c>
      <c r="E805" t="s">
        <v>5196</v>
      </c>
      <c r="F805" s="10" t="s">
        <v>6363</v>
      </c>
      <c r="G805" t="s">
        <v>74</v>
      </c>
    </row>
    <row r="806" spans="1:7" x14ac:dyDescent="0.35">
      <c r="A806" t="s">
        <v>6164</v>
      </c>
      <c r="B806" t="s">
        <v>5333</v>
      </c>
      <c r="C806" t="s">
        <v>5205</v>
      </c>
      <c r="D806">
        <v>26.77</v>
      </c>
      <c r="E806" t="s">
        <v>5197</v>
      </c>
      <c r="F806" s="10" t="s">
        <v>6363</v>
      </c>
      <c r="G806" t="s">
        <v>6365</v>
      </c>
    </row>
    <row r="807" spans="1:7" x14ac:dyDescent="0.35">
      <c r="A807" t="s">
        <v>6165</v>
      </c>
      <c r="B807" t="s">
        <v>5592</v>
      </c>
      <c r="C807" t="s">
        <v>5497</v>
      </c>
      <c r="D807">
        <v>24.29</v>
      </c>
      <c r="E807" t="s">
        <v>5197</v>
      </c>
      <c r="F807" s="10" t="s">
        <v>6363</v>
      </c>
      <c r="G807" t="s">
        <v>71</v>
      </c>
    </row>
    <row r="808" spans="1:7" x14ac:dyDescent="0.35">
      <c r="A808" t="s">
        <v>6166</v>
      </c>
      <c r="B808" t="s">
        <v>5307</v>
      </c>
      <c r="C808" t="s">
        <v>5406</v>
      </c>
      <c r="D808">
        <v>17.5</v>
      </c>
      <c r="E808" t="s">
        <v>5235</v>
      </c>
      <c r="F808" s="10" t="s">
        <v>6363</v>
      </c>
      <c r="G808" t="s">
        <v>74</v>
      </c>
    </row>
    <row r="809" spans="1:7" x14ac:dyDescent="0.35">
      <c r="A809" t="s">
        <v>6167</v>
      </c>
      <c r="B809" t="s">
        <v>5237</v>
      </c>
      <c r="C809" t="s">
        <v>4705</v>
      </c>
      <c r="D809">
        <v>36.74</v>
      </c>
      <c r="E809" t="s">
        <v>5235</v>
      </c>
      <c r="F809" s="10" t="s">
        <v>6363</v>
      </c>
      <c r="G809" t="s">
        <v>6365</v>
      </c>
    </row>
    <row r="810" spans="1:7" x14ac:dyDescent="0.35">
      <c r="A810" t="s">
        <v>6168</v>
      </c>
      <c r="B810" t="s">
        <v>5281</v>
      </c>
      <c r="C810" t="s">
        <v>5011</v>
      </c>
      <c r="D810">
        <v>28.34</v>
      </c>
      <c r="E810" t="s">
        <v>5196</v>
      </c>
      <c r="F810" s="10" t="s">
        <v>6363</v>
      </c>
      <c r="G810" t="s">
        <v>6365</v>
      </c>
    </row>
    <row r="811" spans="1:7" x14ac:dyDescent="0.35">
      <c r="A811" t="s">
        <v>6169</v>
      </c>
      <c r="B811" t="s">
        <v>5224</v>
      </c>
      <c r="C811" t="s">
        <v>5173</v>
      </c>
      <c r="D811">
        <v>10.69</v>
      </c>
      <c r="E811" t="s">
        <v>5197</v>
      </c>
      <c r="F811" s="10" t="s">
        <v>6362</v>
      </c>
      <c r="G811" t="s">
        <v>71</v>
      </c>
    </row>
    <row r="812" spans="1:7" x14ac:dyDescent="0.35">
      <c r="A812" t="s">
        <v>6170</v>
      </c>
      <c r="B812" t="s">
        <v>5628</v>
      </c>
      <c r="C812" t="s">
        <v>5586</v>
      </c>
      <c r="D812">
        <v>28.35</v>
      </c>
      <c r="E812" t="s">
        <v>5235</v>
      </c>
      <c r="F812" s="10" t="s">
        <v>6362</v>
      </c>
      <c r="G812" t="s">
        <v>71</v>
      </c>
    </row>
    <row r="813" spans="1:7" x14ac:dyDescent="0.35">
      <c r="A813" t="s">
        <v>6171</v>
      </c>
      <c r="B813" t="s">
        <v>5396</v>
      </c>
      <c r="C813" t="s">
        <v>5399</v>
      </c>
      <c r="D813">
        <v>25.99</v>
      </c>
      <c r="E813" t="s">
        <v>5198</v>
      </c>
      <c r="F813" s="10" t="s">
        <v>6362</v>
      </c>
      <c r="G813" t="s">
        <v>6365</v>
      </c>
    </row>
    <row r="814" spans="1:7" x14ac:dyDescent="0.35">
      <c r="A814" t="s">
        <v>6172</v>
      </c>
      <c r="B814" t="s">
        <v>5201</v>
      </c>
      <c r="C814" t="s">
        <v>5091</v>
      </c>
      <c r="D814">
        <v>20.37</v>
      </c>
      <c r="E814" t="s">
        <v>5197</v>
      </c>
      <c r="F814" s="10" t="s">
        <v>6362</v>
      </c>
      <c r="G814" t="s">
        <v>74</v>
      </c>
    </row>
    <row r="815" spans="1:7" x14ac:dyDescent="0.35">
      <c r="A815" t="s">
        <v>6173</v>
      </c>
      <c r="B815" t="s">
        <v>5515</v>
      </c>
      <c r="C815" t="s">
        <v>5173</v>
      </c>
      <c r="D815">
        <v>12.33</v>
      </c>
      <c r="E815" t="s">
        <v>5196</v>
      </c>
      <c r="F815" s="10" t="s">
        <v>6363</v>
      </c>
      <c r="G815" t="s">
        <v>74</v>
      </c>
    </row>
    <row r="816" spans="1:7" x14ac:dyDescent="0.35">
      <c r="A816" t="s">
        <v>6174</v>
      </c>
      <c r="B816" t="s">
        <v>5434</v>
      </c>
      <c r="C816" t="s">
        <v>5497</v>
      </c>
      <c r="D816">
        <v>16.010000000000002</v>
      </c>
      <c r="E816" t="s">
        <v>5235</v>
      </c>
      <c r="F816" s="10" t="s">
        <v>6363</v>
      </c>
      <c r="G816" t="s">
        <v>71</v>
      </c>
    </row>
    <row r="817" spans="1:7" x14ac:dyDescent="0.35">
      <c r="A817" t="s">
        <v>6175</v>
      </c>
      <c r="B817" t="s">
        <v>5427</v>
      </c>
      <c r="C817" t="s">
        <v>5735</v>
      </c>
      <c r="D817">
        <v>25.95</v>
      </c>
      <c r="E817" t="s">
        <v>5197</v>
      </c>
      <c r="F817" s="10" t="s">
        <v>6363</v>
      </c>
      <c r="G817" t="s">
        <v>6365</v>
      </c>
    </row>
    <row r="818" spans="1:7" x14ac:dyDescent="0.35">
      <c r="A818" t="s">
        <v>6176</v>
      </c>
      <c r="B818" t="s">
        <v>5385</v>
      </c>
      <c r="C818" t="s">
        <v>4856</v>
      </c>
      <c r="D818">
        <v>24.07</v>
      </c>
      <c r="E818" t="s">
        <v>5235</v>
      </c>
      <c r="F818" s="10" t="s">
        <v>6363</v>
      </c>
      <c r="G818" t="s">
        <v>6365</v>
      </c>
    </row>
    <row r="819" spans="1:7" x14ac:dyDescent="0.35">
      <c r="A819" t="s">
        <v>6177</v>
      </c>
      <c r="B819" t="s">
        <v>5283</v>
      </c>
      <c r="C819" t="s">
        <v>5466</v>
      </c>
      <c r="D819">
        <v>34.79</v>
      </c>
      <c r="E819" t="s">
        <v>5198</v>
      </c>
      <c r="F819" s="10" t="s">
        <v>6363</v>
      </c>
      <c r="G819" t="s">
        <v>71</v>
      </c>
    </row>
    <row r="820" spans="1:7" x14ac:dyDescent="0.35">
      <c r="A820" t="s">
        <v>6178</v>
      </c>
      <c r="B820" t="s">
        <v>5323</v>
      </c>
      <c r="C820" t="s">
        <v>5308</v>
      </c>
      <c r="D820">
        <v>27.76</v>
      </c>
      <c r="E820" t="s">
        <v>5197</v>
      </c>
      <c r="F820" s="10" t="s">
        <v>6362</v>
      </c>
      <c r="G820" t="s">
        <v>74</v>
      </c>
    </row>
    <row r="821" spans="1:7" x14ac:dyDescent="0.35">
      <c r="A821" t="s">
        <v>6179</v>
      </c>
      <c r="B821" t="s">
        <v>5242</v>
      </c>
      <c r="C821" t="s">
        <v>4676</v>
      </c>
      <c r="D821">
        <v>14.81</v>
      </c>
      <c r="E821" t="s">
        <v>5199</v>
      </c>
      <c r="F821" s="10" t="s">
        <v>6362</v>
      </c>
      <c r="G821" t="s">
        <v>6365</v>
      </c>
    </row>
    <row r="822" spans="1:7" x14ac:dyDescent="0.35">
      <c r="A822" t="s">
        <v>6180</v>
      </c>
      <c r="B822" t="s">
        <v>5515</v>
      </c>
      <c r="C822" t="s">
        <v>5222</v>
      </c>
      <c r="D822">
        <v>13.66</v>
      </c>
      <c r="E822" t="s">
        <v>5197</v>
      </c>
      <c r="F822" s="10" t="s">
        <v>6362</v>
      </c>
      <c r="G822" t="s">
        <v>6365</v>
      </c>
    </row>
    <row r="823" spans="1:7" x14ac:dyDescent="0.35">
      <c r="A823" t="s">
        <v>6181</v>
      </c>
      <c r="B823" t="s">
        <v>5285</v>
      </c>
      <c r="C823" t="s">
        <v>5399</v>
      </c>
      <c r="D823">
        <v>25.4</v>
      </c>
      <c r="E823" t="s">
        <v>5197</v>
      </c>
      <c r="F823" s="10" t="s">
        <v>6362</v>
      </c>
      <c r="G823" t="s">
        <v>71</v>
      </c>
    </row>
    <row r="824" spans="1:7" x14ac:dyDescent="0.35">
      <c r="A824" t="s">
        <v>6182</v>
      </c>
      <c r="B824" t="s">
        <v>5427</v>
      </c>
      <c r="C824" t="s">
        <v>5351</v>
      </c>
      <c r="D824">
        <v>11.19</v>
      </c>
      <c r="E824" t="s">
        <v>5196</v>
      </c>
      <c r="F824" s="10" t="s">
        <v>6362</v>
      </c>
      <c r="G824" t="s">
        <v>6365</v>
      </c>
    </row>
    <row r="825" spans="1:7" x14ac:dyDescent="0.35">
      <c r="A825" t="s">
        <v>6183</v>
      </c>
      <c r="B825" t="s">
        <v>5323</v>
      </c>
      <c r="C825" t="s">
        <v>5173</v>
      </c>
      <c r="D825">
        <v>36.450000000000003</v>
      </c>
      <c r="E825" t="s">
        <v>5198</v>
      </c>
      <c r="F825" s="10" t="s">
        <v>6362</v>
      </c>
      <c r="G825" t="s">
        <v>74</v>
      </c>
    </row>
    <row r="826" spans="1:7" x14ac:dyDescent="0.35">
      <c r="A826" t="s">
        <v>6184</v>
      </c>
      <c r="B826" t="s">
        <v>5258</v>
      </c>
      <c r="C826" t="s">
        <v>4676</v>
      </c>
      <c r="D826">
        <v>31.86</v>
      </c>
      <c r="E826" t="s">
        <v>5196</v>
      </c>
      <c r="F826" s="10" t="s">
        <v>6362</v>
      </c>
      <c r="G826" t="s">
        <v>6365</v>
      </c>
    </row>
    <row r="827" spans="1:7" x14ac:dyDescent="0.35">
      <c r="A827" t="s">
        <v>6185</v>
      </c>
      <c r="B827" t="s">
        <v>5592</v>
      </c>
      <c r="C827" t="s">
        <v>5378</v>
      </c>
      <c r="D827">
        <v>14.55</v>
      </c>
      <c r="E827" t="s">
        <v>5235</v>
      </c>
      <c r="F827" s="10" t="s">
        <v>6362</v>
      </c>
      <c r="G827" t="s">
        <v>6365</v>
      </c>
    </row>
    <row r="828" spans="1:7" x14ac:dyDescent="0.35">
      <c r="A828" t="s">
        <v>6186</v>
      </c>
      <c r="B828" t="s">
        <v>5537</v>
      </c>
      <c r="C828" t="s">
        <v>5208</v>
      </c>
      <c r="D828">
        <v>29.69</v>
      </c>
      <c r="E828" t="s">
        <v>5198</v>
      </c>
      <c r="F828" s="10" t="s">
        <v>6363</v>
      </c>
      <c r="G828" t="s">
        <v>6365</v>
      </c>
    </row>
    <row r="829" spans="1:7" x14ac:dyDescent="0.35">
      <c r="A829" t="s">
        <v>6187</v>
      </c>
      <c r="B829" t="s">
        <v>5239</v>
      </c>
      <c r="C829" t="s">
        <v>4781</v>
      </c>
      <c r="D829">
        <v>10.48</v>
      </c>
      <c r="E829" t="s">
        <v>5198</v>
      </c>
      <c r="F829" s="10" t="s">
        <v>6363</v>
      </c>
      <c r="G829" t="s">
        <v>74</v>
      </c>
    </row>
    <row r="830" spans="1:7" x14ac:dyDescent="0.35">
      <c r="A830" t="s">
        <v>6188</v>
      </c>
      <c r="B830" t="s">
        <v>5207</v>
      </c>
      <c r="C830" t="s">
        <v>5478</v>
      </c>
      <c r="D830">
        <v>36.200000000000003</v>
      </c>
      <c r="E830" t="s">
        <v>5197</v>
      </c>
      <c r="F830" s="10" t="s">
        <v>6362</v>
      </c>
      <c r="G830" t="s">
        <v>6365</v>
      </c>
    </row>
    <row r="831" spans="1:7" x14ac:dyDescent="0.35">
      <c r="A831" t="s">
        <v>6189</v>
      </c>
      <c r="B831" t="s">
        <v>5212</v>
      </c>
      <c r="C831" t="s">
        <v>5225</v>
      </c>
      <c r="D831">
        <v>20.66</v>
      </c>
      <c r="E831" t="s">
        <v>5199</v>
      </c>
      <c r="F831" s="10" t="s">
        <v>6362</v>
      </c>
      <c r="G831" t="s">
        <v>71</v>
      </c>
    </row>
    <row r="832" spans="1:7" x14ac:dyDescent="0.35">
      <c r="A832" t="s">
        <v>6190</v>
      </c>
      <c r="B832" t="s">
        <v>5385</v>
      </c>
      <c r="C832" t="s">
        <v>5584</v>
      </c>
      <c r="D832">
        <v>36.76</v>
      </c>
      <c r="E832" t="s">
        <v>5199</v>
      </c>
      <c r="F832" s="10" t="s">
        <v>6362</v>
      </c>
      <c r="G832" t="s">
        <v>6365</v>
      </c>
    </row>
    <row r="833" spans="1:7" x14ac:dyDescent="0.35">
      <c r="A833" t="s">
        <v>6191</v>
      </c>
      <c r="B833" t="s">
        <v>5488</v>
      </c>
      <c r="C833" t="s">
        <v>5418</v>
      </c>
      <c r="D833">
        <v>16.46</v>
      </c>
      <c r="E833" t="s">
        <v>5235</v>
      </c>
      <c r="F833" s="10" t="s">
        <v>6363</v>
      </c>
      <c r="G833" t="s">
        <v>74</v>
      </c>
    </row>
    <row r="834" spans="1:7" x14ac:dyDescent="0.35">
      <c r="A834" t="s">
        <v>6192</v>
      </c>
      <c r="B834" t="s">
        <v>5474</v>
      </c>
      <c r="C834" t="s">
        <v>5268</v>
      </c>
      <c r="D834">
        <v>29.51</v>
      </c>
      <c r="E834" t="s">
        <v>5235</v>
      </c>
      <c r="F834" s="10" t="s">
        <v>6363</v>
      </c>
      <c r="G834" t="s">
        <v>71</v>
      </c>
    </row>
    <row r="835" spans="1:7" x14ac:dyDescent="0.35">
      <c r="A835" t="s">
        <v>6193</v>
      </c>
      <c r="B835" t="s">
        <v>5321</v>
      </c>
      <c r="C835" t="s">
        <v>5375</v>
      </c>
      <c r="D835">
        <v>35.82</v>
      </c>
      <c r="E835" t="s">
        <v>5199</v>
      </c>
      <c r="F835" s="10" t="s">
        <v>6363</v>
      </c>
      <c r="G835" t="s">
        <v>6365</v>
      </c>
    </row>
    <row r="836" spans="1:7" x14ac:dyDescent="0.35">
      <c r="A836" t="s">
        <v>6194</v>
      </c>
      <c r="B836" t="s">
        <v>5258</v>
      </c>
      <c r="C836" t="s">
        <v>5334</v>
      </c>
      <c r="D836">
        <v>32.53</v>
      </c>
      <c r="E836" t="s">
        <v>5197</v>
      </c>
      <c r="F836" s="10" t="s">
        <v>6362</v>
      </c>
      <c r="G836" t="s">
        <v>6366</v>
      </c>
    </row>
    <row r="837" spans="1:7" x14ac:dyDescent="0.35">
      <c r="A837" t="s">
        <v>6195</v>
      </c>
      <c r="B837" t="s">
        <v>5204</v>
      </c>
      <c r="C837" t="s">
        <v>5188</v>
      </c>
      <c r="D837">
        <v>26.68</v>
      </c>
      <c r="E837" t="s">
        <v>5235</v>
      </c>
      <c r="F837" s="10" t="s">
        <v>6363</v>
      </c>
      <c r="G837" t="s">
        <v>6365</v>
      </c>
    </row>
    <row r="838" spans="1:7" x14ac:dyDescent="0.35">
      <c r="A838" t="s">
        <v>6196</v>
      </c>
      <c r="B838" t="s">
        <v>5537</v>
      </c>
      <c r="C838" t="s">
        <v>5365</v>
      </c>
      <c r="D838">
        <v>33.82</v>
      </c>
      <c r="E838" t="s">
        <v>5196</v>
      </c>
      <c r="F838" s="10" t="s">
        <v>6362</v>
      </c>
      <c r="G838" t="s">
        <v>74</v>
      </c>
    </row>
    <row r="839" spans="1:7" x14ac:dyDescent="0.35">
      <c r="A839" t="s">
        <v>6197</v>
      </c>
      <c r="B839" t="s">
        <v>5459</v>
      </c>
      <c r="C839" t="s">
        <v>5222</v>
      </c>
      <c r="D839">
        <v>33.17</v>
      </c>
      <c r="E839" t="s">
        <v>5199</v>
      </c>
      <c r="F839" s="10" t="s">
        <v>6363</v>
      </c>
      <c r="G839" t="s">
        <v>6365</v>
      </c>
    </row>
    <row r="840" spans="1:7" x14ac:dyDescent="0.35">
      <c r="A840" t="s">
        <v>6198</v>
      </c>
      <c r="B840" t="s">
        <v>5483</v>
      </c>
      <c r="C840" t="s">
        <v>5286</v>
      </c>
      <c r="D840">
        <v>19.920000000000002</v>
      </c>
      <c r="E840" t="s">
        <v>5197</v>
      </c>
      <c r="F840" s="10" t="s">
        <v>6363</v>
      </c>
      <c r="G840" t="s">
        <v>6365</v>
      </c>
    </row>
    <row r="841" spans="1:7" x14ac:dyDescent="0.35">
      <c r="A841" t="s">
        <v>6199</v>
      </c>
      <c r="B841" t="s">
        <v>5628</v>
      </c>
      <c r="C841" t="s">
        <v>5478</v>
      </c>
      <c r="D841">
        <v>33.97</v>
      </c>
      <c r="E841" t="s">
        <v>5197</v>
      </c>
      <c r="F841" s="10" t="s">
        <v>6362</v>
      </c>
      <c r="G841" t="s">
        <v>74</v>
      </c>
    </row>
    <row r="842" spans="1:7" x14ac:dyDescent="0.35">
      <c r="A842" t="s">
        <v>6200</v>
      </c>
      <c r="B842" t="s">
        <v>5315</v>
      </c>
      <c r="C842" t="s">
        <v>4671</v>
      </c>
      <c r="D842">
        <v>24.92</v>
      </c>
      <c r="E842" t="s">
        <v>5197</v>
      </c>
      <c r="F842" s="10" t="s">
        <v>6362</v>
      </c>
      <c r="G842" t="s">
        <v>74</v>
      </c>
    </row>
    <row r="843" spans="1:7" x14ac:dyDescent="0.35">
      <c r="A843" t="s">
        <v>6201</v>
      </c>
      <c r="B843" t="s">
        <v>5227</v>
      </c>
      <c r="C843" t="s">
        <v>5308</v>
      </c>
      <c r="D843">
        <v>29.92</v>
      </c>
      <c r="E843" t="s">
        <v>5196</v>
      </c>
      <c r="F843" s="10" t="s">
        <v>6362</v>
      </c>
      <c r="G843" t="s">
        <v>71</v>
      </c>
    </row>
    <row r="844" spans="1:7" x14ac:dyDescent="0.35">
      <c r="A844" t="s">
        <v>6202</v>
      </c>
      <c r="B844" t="s">
        <v>5258</v>
      </c>
      <c r="C844" t="s">
        <v>4705</v>
      </c>
      <c r="D844">
        <v>19.62</v>
      </c>
      <c r="E844" t="s">
        <v>5199</v>
      </c>
      <c r="F844" s="10" t="s">
        <v>6362</v>
      </c>
      <c r="G844" t="s">
        <v>6365</v>
      </c>
    </row>
    <row r="845" spans="1:7" x14ac:dyDescent="0.35">
      <c r="A845" t="s">
        <v>6203</v>
      </c>
      <c r="B845" t="s">
        <v>5298</v>
      </c>
      <c r="C845" t="s">
        <v>5251</v>
      </c>
      <c r="D845">
        <v>34.93</v>
      </c>
      <c r="E845" t="s">
        <v>5196</v>
      </c>
      <c r="F845" s="10" t="s">
        <v>6362</v>
      </c>
      <c r="G845" t="s">
        <v>71</v>
      </c>
    </row>
    <row r="846" spans="1:7" x14ac:dyDescent="0.35">
      <c r="A846" t="s">
        <v>6204</v>
      </c>
      <c r="B846" t="s">
        <v>5347</v>
      </c>
      <c r="C846" t="s">
        <v>5254</v>
      </c>
      <c r="D846">
        <v>38.08</v>
      </c>
      <c r="E846" t="s">
        <v>5235</v>
      </c>
      <c r="F846" s="10" t="s">
        <v>6363</v>
      </c>
      <c r="G846" t="s">
        <v>6365</v>
      </c>
    </row>
    <row r="847" spans="1:7" x14ac:dyDescent="0.35">
      <c r="A847" t="s">
        <v>6205</v>
      </c>
      <c r="B847" t="s">
        <v>5519</v>
      </c>
      <c r="C847" t="s">
        <v>5316</v>
      </c>
      <c r="D847">
        <v>16.64</v>
      </c>
      <c r="E847" t="s">
        <v>5199</v>
      </c>
      <c r="F847" s="10" t="s">
        <v>6362</v>
      </c>
      <c r="G847" t="s">
        <v>6365</v>
      </c>
    </row>
    <row r="848" spans="1:7" x14ac:dyDescent="0.35">
      <c r="A848" t="s">
        <v>6206</v>
      </c>
      <c r="B848" t="s">
        <v>5239</v>
      </c>
      <c r="C848" t="s">
        <v>5478</v>
      </c>
      <c r="D848">
        <v>37.74</v>
      </c>
      <c r="E848" t="s">
        <v>5198</v>
      </c>
      <c r="F848" s="10" t="s">
        <v>6363</v>
      </c>
      <c r="G848" t="s">
        <v>74</v>
      </c>
    </row>
    <row r="849" spans="1:7" x14ac:dyDescent="0.35">
      <c r="A849" t="s">
        <v>6207</v>
      </c>
      <c r="B849" t="s">
        <v>5237</v>
      </c>
      <c r="C849" t="s">
        <v>5414</v>
      </c>
      <c r="D849">
        <v>10.99</v>
      </c>
      <c r="E849" t="s">
        <v>5196</v>
      </c>
      <c r="F849" s="10" t="s">
        <v>6363</v>
      </c>
      <c r="G849" t="s">
        <v>6365</v>
      </c>
    </row>
    <row r="850" spans="1:7" x14ac:dyDescent="0.35">
      <c r="A850" t="s">
        <v>6208</v>
      </c>
      <c r="B850" t="s">
        <v>5307</v>
      </c>
      <c r="C850" t="s">
        <v>5365</v>
      </c>
      <c r="D850">
        <v>26.72</v>
      </c>
      <c r="E850" t="s">
        <v>5196</v>
      </c>
      <c r="F850" s="10" t="s">
        <v>6362</v>
      </c>
      <c r="G850" t="s">
        <v>6366</v>
      </c>
    </row>
    <row r="851" spans="1:7" x14ac:dyDescent="0.35">
      <c r="A851" t="s">
        <v>6209</v>
      </c>
      <c r="B851" t="s">
        <v>5328</v>
      </c>
      <c r="C851" t="s">
        <v>4559</v>
      </c>
      <c r="D851">
        <v>22.88</v>
      </c>
      <c r="E851" t="s">
        <v>5196</v>
      </c>
      <c r="F851" s="10" t="s">
        <v>6363</v>
      </c>
      <c r="G851" t="s">
        <v>74</v>
      </c>
    </row>
    <row r="852" spans="1:7" x14ac:dyDescent="0.35">
      <c r="A852" t="s">
        <v>6210</v>
      </c>
      <c r="B852" t="s">
        <v>5434</v>
      </c>
      <c r="C852" t="s">
        <v>5351</v>
      </c>
      <c r="D852">
        <v>33.14</v>
      </c>
      <c r="E852" t="s">
        <v>5199</v>
      </c>
      <c r="F852" s="10" t="s">
        <v>6363</v>
      </c>
      <c r="G852" t="s">
        <v>6365</v>
      </c>
    </row>
    <row r="853" spans="1:7" x14ac:dyDescent="0.35">
      <c r="A853" t="s">
        <v>6211</v>
      </c>
      <c r="B853" t="s">
        <v>5212</v>
      </c>
      <c r="C853" t="s">
        <v>4707</v>
      </c>
      <c r="D853">
        <v>32.07</v>
      </c>
      <c r="E853" t="s">
        <v>5197</v>
      </c>
      <c r="F853" s="10" t="s">
        <v>6362</v>
      </c>
      <c r="G853" t="s">
        <v>6365</v>
      </c>
    </row>
    <row r="854" spans="1:7" x14ac:dyDescent="0.35">
      <c r="A854" t="s">
        <v>6212</v>
      </c>
      <c r="B854" t="s">
        <v>5990</v>
      </c>
      <c r="C854" t="s">
        <v>5268</v>
      </c>
      <c r="D854">
        <v>14</v>
      </c>
      <c r="E854" t="s">
        <v>5199</v>
      </c>
      <c r="F854" s="10" t="s">
        <v>6362</v>
      </c>
      <c r="G854" t="s">
        <v>6365</v>
      </c>
    </row>
    <row r="855" spans="1:7" x14ac:dyDescent="0.35">
      <c r="A855" t="s">
        <v>6213</v>
      </c>
      <c r="B855" t="s">
        <v>5455</v>
      </c>
      <c r="C855" t="s">
        <v>4707</v>
      </c>
      <c r="D855">
        <v>15.81</v>
      </c>
      <c r="E855" t="s">
        <v>5196</v>
      </c>
      <c r="F855" s="10" t="s">
        <v>6363</v>
      </c>
      <c r="G855" t="s">
        <v>71</v>
      </c>
    </row>
    <row r="856" spans="1:7" x14ac:dyDescent="0.35">
      <c r="A856" t="s">
        <v>6214</v>
      </c>
      <c r="B856" t="s">
        <v>5283</v>
      </c>
      <c r="C856" t="s">
        <v>5222</v>
      </c>
      <c r="D856">
        <v>12.11</v>
      </c>
      <c r="E856" t="s">
        <v>5199</v>
      </c>
      <c r="F856" s="10" t="s">
        <v>6362</v>
      </c>
      <c r="G856" t="s">
        <v>71</v>
      </c>
    </row>
    <row r="857" spans="1:7" x14ac:dyDescent="0.35">
      <c r="A857" t="s">
        <v>6215</v>
      </c>
      <c r="B857" t="s">
        <v>5210</v>
      </c>
      <c r="C857" t="s">
        <v>5245</v>
      </c>
      <c r="D857">
        <v>29.09</v>
      </c>
      <c r="E857" t="s">
        <v>5196</v>
      </c>
      <c r="F857" s="10" t="s">
        <v>6362</v>
      </c>
      <c r="G857" t="s">
        <v>74</v>
      </c>
    </row>
    <row r="858" spans="1:7" x14ac:dyDescent="0.35">
      <c r="A858" t="s">
        <v>6216</v>
      </c>
      <c r="B858" t="s">
        <v>5260</v>
      </c>
      <c r="C858" t="s">
        <v>5527</v>
      </c>
      <c r="D858">
        <v>25.11</v>
      </c>
      <c r="E858" t="s">
        <v>5196</v>
      </c>
      <c r="F858" s="10" t="s">
        <v>6363</v>
      </c>
      <c r="G858" t="s">
        <v>74</v>
      </c>
    </row>
    <row r="859" spans="1:7" x14ac:dyDescent="0.35">
      <c r="A859" t="s">
        <v>6217</v>
      </c>
      <c r="B859" t="s">
        <v>5302</v>
      </c>
      <c r="C859" t="s">
        <v>4707</v>
      </c>
      <c r="D859">
        <v>26.45</v>
      </c>
      <c r="E859" t="s">
        <v>5235</v>
      </c>
      <c r="F859" s="10" t="s">
        <v>6363</v>
      </c>
      <c r="G859" t="s">
        <v>74</v>
      </c>
    </row>
    <row r="860" spans="1:7" x14ac:dyDescent="0.35">
      <c r="A860" t="s">
        <v>6218</v>
      </c>
      <c r="B860" t="s">
        <v>5347</v>
      </c>
      <c r="C860" t="s">
        <v>4856</v>
      </c>
      <c r="D860">
        <v>38.85</v>
      </c>
      <c r="E860" t="s">
        <v>5199</v>
      </c>
      <c r="F860" s="10" t="s">
        <v>6363</v>
      </c>
      <c r="G860" t="s">
        <v>74</v>
      </c>
    </row>
    <row r="861" spans="1:7" x14ac:dyDescent="0.35">
      <c r="A861" t="s">
        <v>6219</v>
      </c>
      <c r="B861" t="s">
        <v>5258</v>
      </c>
      <c r="C861" t="s">
        <v>5173</v>
      </c>
      <c r="D861">
        <v>13.84</v>
      </c>
      <c r="E861" t="s">
        <v>5198</v>
      </c>
      <c r="F861" s="10" t="s">
        <v>6362</v>
      </c>
      <c r="G861" t="s">
        <v>6366</v>
      </c>
    </row>
    <row r="862" spans="1:7" x14ac:dyDescent="0.35">
      <c r="A862" t="s">
        <v>6220</v>
      </c>
      <c r="B862" t="s">
        <v>5413</v>
      </c>
      <c r="C862" t="s">
        <v>5353</v>
      </c>
      <c r="D862">
        <v>26.83</v>
      </c>
      <c r="E862" t="s">
        <v>5199</v>
      </c>
      <c r="F862" s="10" t="s">
        <v>6363</v>
      </c>
      <c r="G862" t="s">
        <v>6365</v>
      </c>
    </row>
    <row r="863" spans="1:7" x14ac:dyDescent="0.35">
      <c r="A863" t="s">
        <v>6221</v>
      </c>
      <c r="B863" t="s">
        <v>5459</v>
      </c>
      <c r="C863" t="s">
        <v>5758</v>
      </c>
      <c r="D863">
        <v>29.04</v>
      </c>
      <c r="E863" t="s">
        <v>5198</v>
      </c>
      <c r="F863" s="10" t="s">
        <v>6363</v>
      </c>
      <c r="G863" t="s">
        <v>6365</v>
      </c>
    </row>
    <row r="864" spans="1:7" x14ac:dyDescent="0.35">
      <c r="A864" t="s">
        <v>6222</v>
      </c>
      <c r="B864" t="s">
        <v>5504</v>
      </c>
      <c r="C864" t="s">
        <v>5286</v>
      </c>
      <c r="D864">
        <v>30.04</v>
      </c>
      <c r="E864" t="s">
        <v>5198</v>
      </c>
      <c r="F864" s="10" t="s">
        <v>6363</v>
      </c>
      <c r="G864" t="s">
        <v>6365</v>
      </c>
    </row>
    <row r="865" spans="1:7" x14ac:dyDescent="0.35">
      <c r="A865" t="s">
        <v>6223</v>
      </c>
      <c r="B865" t="s">
        <v>5364</v>
      </c>
      <c r="C865" t="s">
        <v>5516</v>
      </c>
      <c r="D865">
        <v>28.46</v>
      </c>
      <c r="E865" t="s">
        <v>5197</v>
      </c>
      <c r="F865" s="10" t="s">
        <v>6363</v>
      </c>
      <c r="G865" t="s">
        <v>6365</v>
      </c>
    </row>
    <row r="866" spans="1:7" x14ac:dyDescent="0.35">
      <c r="A866" t="s">
        <v>6224</v>
      </c>
      <c r="B866" t="s">
        <v>5298</v>
      </c>
      <c r="C866" t="s">
        <v>5353</v>
      </c>
      <c r="D866">
        <v>22.34</v>
      </c>
      <c r="E866" t="s">
        <v>5235</v>
      </c>
      <c r="F866" s="10" t="s">
        <v>6362</v>
      </c>
      <c r="G866" t="s">
        <v>6365</v>
      </c>
    </row>
    <row r="867" spans="1:7" x14ac:dyDescent="0.35">
      <c r="A867" t="s">
        <v>6225</v>
      </c>
      <c r="B867" t="s">
        <v>5217</v>
      </c>
      <c r="C867" t="s">
        <v>4773</v>
      </c>
      <c r="D867">
        <v>11.94</v>
      </c>
      <c r="E867" t="s">
        <v>5198</v>
      </c>
      <c r="F867" s="10" t="s">
        <v>6362</v>
      </c>
      <c r="G867" t="s">
        <v>6365</v>
      </c>
    </row>
    <row r="868" spans="1:7" x14ac:dyDescent="0.35">
      <c r="A868" t="s">
        <v>6226</v>
      </c>
      <c r="B868" t="s">
        <v>5285</v>
      </c>
      <c r="C868" t="s">
        <v>5466</v>
      </c>
      <c r="D868">
        <v>14.71</v>
      </c>
      <c r="E868" t="s">
        <v>5196</v>
      </c>
      <c r="F868" s="10" t="s">
        <v>6362</v>
      </c>
      <c r="G868" t="s">
        <v>74</v>
      </c>
    </row>
    <row r="869" spans="1:7" x14ac:dyDescent="0.35">
      <c r="A869" t="s">
        <v>6227</v>
      </c>
      <c r="B869" t="s">
        <v>5628</v>
      </c>
      <c r="C869" t="s">
        <v>5205</v>
      </c>
      <c r="D869">
        <v>25.19</v>
      </c>
      <c r="E869" t="s">
        <v>5199</v>
      </c>
      <c r="F869" s="10" t="s">
        <v>6362</v>
      </c>
      <c r="G869" t="s">
        <v>74</v>
      </c>
    </row>
    <row r="870" spans="1:7" x14ac:dyDescent="0.35">
      <c r="A870" t="s">
        <v>6228</v>
      </c>
      <c r="B870" t="s">
        <v>5333</v>
      </c>
      <c r="C870" t="s">
        <v>5254</v>
      </c>
      <c r="D870">
        <v>37.97</v>
      </c>
      <c r="E870" t="s">
        <v>5199</v>
      </c>
      <c r="F870" s="10" t="s">
        <v>6363</v>
      </c>
      <c r="G870" t="s">
        <v>6365</v>
      </c>
    </row>
    <row r="871" spans="1:7" x14ac:dyDescent="0.35">
      <c r="A871" t="s">
        <v>6229</v>
      </c>
      <c r="B871" t="s">
        <v>5253</v>
      </c>
      <c r="C871" t="s">
        <v>5215</v>
      </c>
      <c r="D871">
        <v>29.11</v>
      </c>
      <c r="E871" t="s">
        <v>5199</v>
      </c>
      <c r="F871" s="10" t="s">
        <v>6362</v>
      </c>
      <c r="G871" t="s">
        <v>74</v>
      </c>
    </row>
    <row r="872" spans="1:7" x14ac:dyDescent="0.35">
      <c r="A872" t="s">
        <v>6230</v>
      </c>
      <c r="B872" t="s">
        <v>5288</v>
      </c>
      <c r="C872" t="s">
        <v>4790</v>
      </c>
      <c r="D872">
        <v>25.67</v>
      </c>
      <c r="E872" t="s">
        <v>5197</v>
      </c>
      <c r="F872" s="10" t="s">
        <v>6362</v>
      </c>
      <c r="G872" t="s">
        <v>6365</v>
      </c>
    </row>
    <row r="873" spans="1:7" x14ac:dyDescent="0.35">
      <c r="A873" t="s">
        <v>6231</v>
      </c>
      <c r="B873" t="s">
        <v>5523</v>
      </c>
      <c r="C873" t="s">
        <v>5388</v>
      </c>
      <c r="D873">
        <v>21.69</v>
      </c>
      <c r="E873" t="s">
        <v>5235</v>
      </c>
      <c r="F873" s="10" t="s">
        <v>6363</v>
      </c>
      <c r="G873" t="s">
        <v>74</v>
      </c>
    </row>
    <row r="874" spans="1:7" x14ac:dyDescent="0.35">
      <c r="A874" t="s">
        <v>6232</v>
      </c>
      <c r="B874" t="s">
        <v>5323</v>
      </c>
      <c r="C874" t="s">
        <v>5527</v>
      </c>
      <c r="D874">
        <v>22.69</v>
      </c>
      <c r="E874" t="s">
        <v>5199</v>
      </c>
      <c r="F874" s="10" t="s">
        <v>6363</v>
      </c>
      <c r="G874" t="s">
        <v>6365</v>
      </c>
    </row>
    <row r="875" spans="1:7" x14ac:dyDescent="0.35">
      <c r="A875" t="s">
        <v>6233</v>
      </c>
      <c r="B875" t="s">
        <v>5385</v>
      </c>
      <c r="C875" t="s">
        <v>5273</v>
      </c>
      <c r="D875">
        <v>15.53</v>
      </c>
      <c r="E875" t="s">
        <v>5197</v>
      </c>
      <c r="F875" s="10" t="s">
        <v>6363</v>
      </c>
      <c r="G875" t="s">
        <v>6365</v>
      </c>
    </row>
    <row r="876" spans="1:7" x14ac:dyDescent="0.35">
      <c r="A876" t="s">
        <v>6234</v>
      </c>
      <c r="B876" t="s">
        <v>5455</v>
      </c>
      <c r="C876" t="s">
        <v>5375</v>
      </c>
      <c r="D876">
        <v>19.79</v>
      </c>
      <c r="E876" t="s">
        <v>5197</v>
      </c>
      <c r="F876" s="10" t="s">
        <v>6363</v>
      </c>
      <c r="G876" t="s">
        <v>6365</v>
      </c>
    </row>
    <row r="877" spans="1:7" x14ac:dyDescent="0.35">
      <c r="A877" t="s">
        <v>6235</v>
      </c>
      <c r="B877" t="s">
        <v>5990</v>
      </c>
      <c r="C877" t="s">
        <v>5165</v>
      </c>
      <c r="D877">
        <v>13.19</v>
      </c>
      <c r="E877" t="s">
        <v>5235</v>
      </c>
      <c r="F877" s="10" t="s">
        <v>6363</v>
      </c>
      <c r="G877" t="s">
        <v>71</v>
      </c>
    </row>
    <row r="878" spans="1:7" x14ac:dyDescent="0.35">
      <c r="A878" t="s">
        <v>6236</v>
      </c>
      <c r="B878" t="s">
        <v>5293</v>
      </c>
      <c r="C878" t="s">
        <v>5230</v>
      </c>
      <c r="D878">
        <v>39.840000000000003</v>
      </c>
      <c r="E878" t="s">
        <v>5196</v>
      </c>
      <c r="F878" s="10" t="s">
        <v>6362</v>
      </c>
      <c r="G878" t="s">
        <v>74</v>
      </c>
    </row>
    <row r="879" spans="1:7" x14ac:dyDescent="0.35">
      <c r="A879" t="s">
        <v>6237</v>
      </c>
      <c r="B879" t="s">
        <v>5427</v>
      </c>
      <c r="C879" t="s">
        <v>5305</v>
      </c>
      <c r="D879">
        <v>32.79</v>
      </c>
      <c r="E879" t="s">
        <v>5196</v>
      </c>
      <c r="F879" s="10" t="s">
        <v>6363</v>
      </c>
      <c r="G879" t="s">
        <v>6365</v>
      </c>
    </row>
    <row r="880" spans="1:7" x14ac:dyDescent="0.35">
      <c r="A880" t="s">
        <v>6238</v>
      </c>
      <c r="B880" t="s">
        <v>5552</v>
      </c>
      <c r="C880" t="s">
        <v>5254</v>
      </c>
      <c r="D880">
        <v>25.11</v>
      </c>
      <c r="E880" t="s">
        <v>5197</v>
      </c>
      <c r="F880" s="10" t="s">
        <v>6363</v>
      </c>
      <c r="G880" t="s">
        <v>6365</v>
      </c>
    </row>
    <row r="881" spans="1:7" x14ac:dyDescent="0.35">
      <c r="A881" t="s">
        <v>6239</v>
      </c>
      <c r="B881" t="s">
        <v>5488</v>
      </c>
      <c r="C881" t="s">
        <v>5254</v>
      </c>
      <c r="D881">
        <v>20.96</v>
      </c>
      <c r="E881" t="s">
        <v>5197</v>
      </c>
      <c r="F881" s="10" t="s">
        <v>6363</v>
      </c>
      <c r="G881" t="s">
        <v>6366</v>
      </c>
    </row>
    <row r="882" spans="1:7" x14ac:dyDescent="0.35">
      <c r="A882" t="s">
        <v>6240</v>
      </c>
      <c r="B882" t="s">
        <v>5219</v>
      </c>
      <c r="C882" t="s">
        <v>4790</v>
      </c>
      <c r="D882">
        <v>16.53</v>
      </c>
      <c r="E882" t="s">
        <v>5235</v>
      </c>
      <c r="F882" s="10" t="s">
        <v>6362</v>
      </c>
      <c r="G882" t="s">
        <v>6365</v>
      </c>
    </row>
    <row r="883" spans="1:7" x14ac:dyDescent="0.35">
      <c r="A883" t="s">
        <v>6241</v>
      </c>
      <c r="B883" t="s">
        <v>5318</v>
      </c>
      <c r="C883" t="s">
        <v>5365</v>
      </c>
      <c r="D883">
        <v>23.84</v>
      </c>
      <c r="E883" t="s">
        <v>5235</v>
      </c>
      <c r="F883" s="10" t="s">
        <v>6363</v>
      </c>
      <c r="G883" t="s">
        <v>6366</v>
      </c>
    </row>
    <row r="884" spans="1:7" x14ac:dyDescent="0.35">
      <c r="A884" t="s">
        <v>6242</v>
      </c>
      <c r="B884" t="s">
        <v>5474</v>
      </c>
      <c r="C884" t="s">
        <v>5747</v>
      </c>
      <c r="D884">
        <v>23.9</v>
      </c>
      <c r="E884" t="s">
        <v>5198</v>
      </c>
      <c r="F884" s="10" t="s">
        <v>6362</v>
      </c>
      <c r="G884" t="s">
        <v>71</v>
      </c>
    </row>
    <row r="885" spans="1:7" x14ac:dyDescent="0.35">
      <c r="A885" t="s">
        <v>6243</v>
      </c>
      <c r="B885" t="s">
        <v>5515</v>
      </c>
      <c r="C885" t="s">
        <v>5747</v>
      </c>
      <c r="D885">
        <v>36.29</v>
      </c>
      <c r="E885" t="s">
        <v>5198</v>
      </c>
      <c r="F885" s="10" t="s">
        <v>6362</v>
      </c>
      <c r="G885" t="s">
        <v>74</v>
      </c>
    </row>
    <row r="886" spans="1:7" x14ac:dyDescent="0.35">
      <c r="A886" t="s">
        <v>6244</v>
      </c>
      <c r="B886" t="s">
        <v>5336</v>
      </c>
      <c r="C886" t="s">
        <v>5324</v>
      </c>
      <c r="D886">
        <v>10.88</v>
      </c>
      <c r="E886" t="s">
        <v>5196</v>
      </c>
      <c r="F886" s="10" t="s">
        <v>6362</v>
      </c>
      <c r="G886" t="s">
        <v>6365</v>
      </c>
    </row>
    <row r="887" spans="1:7" x14ac:dyDescent="0.35">
      <c r="A887" t="s">
        <v>6245</v>
      </c>
      <c r="B887" t="s">
        <v>5217</v>
      </c>
      <c r="C887" t="s">
        <v>5516</v>
      </c>
      <c r="D887">
        <v>12.09</v>
      </c>
      <c r="E887" t="s">
        <v>5235</v>
      </c>
      <c r="F887" s="10" t="s">
        <v>6362</v>
      </c>
      <c r="G887" t="s">
        <v>74</v>
      </c>
    </row>
    <row r="888" spans="1:7" x14ac:dyDescent="0.35">
      <c r="A888" t="s">
        <v>6246</v>
      </c>
      <c r="B888" t="s">
        <v>5253</v>
      </c>
      <c r="C888" t="s">
        <v>5527</v>
      </c>
      <c r="D888">
        <v>36.99</v>
      </c>
      <c r="E888" t="s">
        <v>5199</v>
      </c>
      <c r="F888" s="10" t="s">
        <v>6363</v>
      </c>
      <c r="G888" t="s">
        <v>6365</v>
      </c>
    </row>
    <row r="889" spans="1:7" x14ac:dyDescent="0.35">
      <c r="A889" t="s">
        <v>6247</v>
      </c>
      <c r="B889" t="s">
        <v>5580</v>
      </c>
      <c r="C889" t="s">
        <v>4856</v>
      </c>
      <c r="D889">
        <v>39.86</v>
      </c>
      <c r="E889" t="s">
        <v>5197</v>
      </c>
      <c r="F889" s="10" t="s">
        <v>6362</v>
      </c>
      <c r="G889" t="s">
        <v>6365</v>
      </c>
    </row>
    <row r="890" spans="1:7" x14ac:dyDescent="0.35">
      <c r="A890" t="s">
        <v>6248</v>
      </c>
      <c r="B890" t="s">
        <v>5276</v>
      </c>
      <c r="C890" t="s">
        <v>4785</v>
      </c>
      <c r="D890">
        <v>14.57</v>
      </c>
      <c r="E890" t="s">
        <v>5196</v>
      </c>
      <c r="F890" s="10" t="s">
        <v>6362</v>
      </c>
      <c r="G890" t="s">
        <v>74</v>
      </c>
    </row>
    <row r="891" spans="1:7" x14ac:dyDescent="0.35">
      <c r="A891" t="s">
        <v>6249</v>
      </c>
      <c r="B891" t="s">
        <v>5488</v>
      </c>
      <c r="C891" t="s">
        <v>5516</v>
      </c>
      <c r="D891">
        <v>19.920000000000002</v>
      </c>
      <c r="E891" t="s">
        <v>5199</v>
      </c>
      <c r="F891" s="10" t="s">
        <v>6363</v>
      </c>
      <c r="G891" t="s">
        <v>74</v>
      </c>
    </row>
    <row r="892" spans="1:7" x14ac:dyDescent="0.35">
      <c r="A892" t="s">
        <v>6250</v>
      </c>
      <c r="B892" t="s">
        <v>5267</v>
      </c>
      <c r="C892" t="s">
        <v>4764</v>
      </c>
      <c r="D892">
        <v>12.67</v>
      </c>
      <c r="E892" t="s">
        <v>5199</v>
      </c>
      <c r="F892" s="10" t="s">
        <v>6363</v>
      </c>
      <c r="G892" t="s">
        <v>74</v>
      </c>
    </row>
    <row r="893" spans="1:7" x14ac:dyDescent="0.35">
      <c r="A893" t="s">
        <v>6251</v>
      </c>
      <c r="B893" t="s">
        <v>5201</v>
      </c>
      <c r="C893" t="s">
        <v>5584</v>
      </c>
      <c r="D893">
        <v>16.510000000000002</v>
      </c>
      <c r="E893" t="s">
        <v>5235</v>
      </c>
      <c r="F893" s="10" t="s">
        <v>6362</v>
      </c>
      <c r="G893" t="s">
        <v>74</v>
      </c>
    </row>
    <row r="894" spans="1:7" x14ac:dyDescent="0.35">
      <c r="A894" t="s">
        <v>6252</v>
      </c>
      <c r="B894" t="s">
        <v>5304</v>
      </c>
      <c r="C894" t="s">
        <v>5584</v>
      </c>
      <c r="D894">
        <v>23.16</v>
      </c>
      <c r="E894" t="s">
        <v>5196</v>
      </c>
      <c r="F894" s="10" t="s">
        <v>6363</v>
      </c>
      <c r="G894" t="s">
        <v>6365</v>
      </c>
    </row>
    <row r="895" spans="1:7" x14ac:dyDescent="0.35">
      <c r="A895" t="s">
        <v>6253</v>
      </c>
      <c r="B895" t="s">
        <v>5552</v>
      </c>
      <c r="C895" t="s">
        <v>5251</v>
      </c>
      <c r="D895">
        <v>34.22</v>
      </c>
      <c r="E895" t="s">
        <v>5196</v>
      </c>
      <c r="F895" s="10" t="s">
        <v>6362</v>
      </c>
      <c r="G895" t="s">
        <v>71</v>
      </c>
    </row>
    <row r="896" spans="1:7" x14ac:dyDescent="0.35">
      <c r="A896" t="s">
        <v>6254</v>
      </c>
      <c r="B896" t="s">
        <v>5358</v>
      </c>
      <c r="C896" t="s">
        <v>5188</v>
      </c>
      <c r="D896">
        <v>35.380000000000003</v>
      </c>
      <c r="E896" t="s">
        <v>5198</v>
      </c>
      <c r="F896" s="10" t="s">
        <v>6363</v>
      </c>
      <c r="G896" t="s">
        <v>6365</v>
      </c>
    </row>
    <row r="897" spans="1:7" x14ac:dyDescent="0.35">
      <c r="A897" t="s">
        <v>6255</v>
      </c>
      <c r="B897" t="s">
        <v>5427</v>
      </c>
      <c r="C897" t="s">
        <v>5472</v>
      </c>
      <c r="D897">
        <v>22.02</v>
      </c>
      <c r="E897" t="s">
        <v>5235</v>
      </c>
      <c r="F897" s="10" t="s">
        <v>6363</v>
      </c>
      <c r="G897" t="s">
        <v>6365</v>
      </c>
    </row>
    <row r="898" spans="1:7" x14ac:dyDescent="0.35">
      <c r="A898" t="s">
        <v>6256</v>
      </c>
      <c r="B898" t="s">
        <v>5250</v>
      </c>
      <c r="C898" t="s">
        <v>4697</v>
      </c>
      <c r="D898">
        <v>11.56</v>
      </c>
      <c r="E898" t="s">
        <v>5198</v>
      </c>
      <c r="F898" s="10" t="s">
        <v>6363</v>
      </c>
      <c r="G898" t="s">
        <v>6365</v>
      </c>
    </row>
    <row r="899" spans="1:7" x14ac:dyDescent="0.35">
      <c r="A899" t="s">
        <v>6257</v>
      </c>
      <c r="B899" t="s">
        <v>5583</v>
      </c>
      <c r="C899" t="s">
        <v>5331</v>
      </c>
      <c r="D899">
        <v>38.89</v>
      </c>
      <c r="E899" t="s">
        <v>5196</v>
      </c>
      <c r="F899" s="10" t="s">
        <v>6363</v>
      </c>
      <c r="G899" t="s">
        <v>71</v>
      </c>
    </row>
    <row r="900" spans="1:7" x14ac:dyDescent="0.35">
      <c r="A900" t="s">
        <v>6258</v>
      </c>
      <c r="B900" t="s">
        <v>5253</v>
      </c>
      <c r="C900" t="s">
        <v>5331</v>
      </c>
      <c r="D900">
        <v>24.46</v>
      </c>
      <c r="E900" t="s">
        <v>5199</v>
      </c>
      <c r="F900" s="10" t="s">
        <v>6362</v>
      </c>
      <c r="G900" t="s">
        <v>6365</v>
      </c>
    </row>
    <row r="901" spans="1:7" x14ac:dyDescent="0.35">
      <c r="A901" t="s">
        <v>6259</v>
      </c>
      <c r="B901" t="s">
        <v>5217</v>
      </c>
      <c r="C901" t="s">
        <v>4705</v>
      </c>
      <c r="D901">
        <v>20</v>
      </c>
      <c r="E901" t="s">
        <v>5197</v>
      </c>
      <c r="F901" s="10" t="s">
        <v>6363</v>
      </c>
      <c r="G901" t="s">
        <v>74</v>
      </c>
    </row>
    <row r="902" spans="1:7" x14ac:dyDescent="0.35">
      <c r="A902" t="s">
        <v>6260</v>
      </c>
      <c r="B902" t="s">
        <v>5390</v>
      </c>
      <c r="C902" t="s">
        <v>5375</v>
      </c>
      <c r="D902">
        <v>24.07</v>
      </c>
      <c r="E902" t="s">
        <v>5197</v>
      </c>
      <c r="F902" s="10" t="s">
        <v>6362</v>
      </c>
      <c r="G902" t="s">
        <v>6366</v>
      </c>
    </row>
    <row r="903" spans="1:7" x14ac:dyDescent="0.35">
      <c r="A903" t="s">
        <v>6261</v>
      </c>
      <c r="B903" t="s">
        <v>5390</v>
      </c>
      <c r="C903" t="s">
        <v>4705</v>
      </c>
      <c r="D903">
        <v>39.520000000000003</v>
      </c>
      <c r="E903" t="s">
        <v>5196</v>
      </c>
      <c r="F903" s="10" t="s">
        <v>6363</v>
      </c>
      <c r="G903" t="s">
        <v>6365</v>
      </c>
    </row>
    <row r="904" spans="1:7" x14ac:dyDescent="0.35">
      <c r="A904" t="s">
        <v>6262</v>
      </c>
      <c r="B904" t="s">
        <v>5364</v>
      </c>
      <c r="C904" t="s">
        <v>4714</v>
      </c>
      <c r="D904">
        <v>32.659999999999997</v>
      </c>
      <c r="E904" t="s">
        <v>5235</v>
      </c>
      <c r="F904" s="10" t="s">
        <v>6363</v>
      </c>
      <c r="G904" t="s">
        <v>6365</v>
      </c>
    </row>
    <row r="905" spans="1:7" x14ac:dyDescent="0.35">
      <c r="A905" t="s">
        <v>6263</v>
      </c>
      <c r="B905" t="s">
        <v>5474</v>
      </c>
      <c r="C905" t="s">
        <v>4764</v>
      </c>
      <c r="D905">
        <v>10.46</v>
      </c>
      <c r="E905" t="s">
        <v>5197</v>
      </c>
      <c r="F905" s="10" t="s">
        <v>6363</v>
      </c>
      <c r="G905" t="s">
        <v>74</v>
      </c>
    </row>
    <row r="906" spans="1:7" x14ac:dyDescent="0.35">
      <c r="A906" t="s">
        <v>6264</v>
      </c>
      <c r="B906" t="s">
        <v>5283</v>
      </c>
      <c r="C906" t="s">
        <v>5414</v>
      </c>
      <c r="D906">
        <v>29.72</v>
      </c>
      <c r="E906" t="s">
        <v>5235</v>
      </c>
      <c r="F906" s="10" t="s">
        <v>6363</v>
      </c>
      <c r="G906" t="s">
        <v>6365</v>
      </c>
    </row>
    <row r="907" spans="1:7" x14ac:dyDescent="0.35">
      <c r="A907" t="s">
        <v>6265</v>
      </c>
      <c r="B907" t="s">
        <v>5302</v>
      </c>
      <c r="C907" t="s">
        <v>5312</v>
      </c>
      <c r="D907">
        <v>35.97</v>
      </c>
      <c r="E907" t="s">
        <v>5196</v>
      </c>
      <c r="F907" s="10" t="s">
        <v>6362</v>
      </c>
      <c r="G907" t="s">
        <v>71</v>
      </c>
    </row>
    <row r="908" spans="1:7" x14ac:dyDescent="0.35">
      <c r="A908" t="s">
        <v>6266</v>
      </c>
      <c r="B908" t="s">
        <v>5302</v>
      </c>
      <c r="C908" t="s">
        <v>4697</v>
      </c>
      <c r="D908">
        <v>10.89</v>
      </c>
      <c r="E908" t="s">
        <v>5197</v>
      </c>
      <c r="F908" s="10" t="s">
        <v>6363</v>
      </c>
      <c r="G908" t="s">
        <v>6365</v>
      </c>
    </row>
    <row r="909" spans="1:7" x14ac:dyDescent="0.35">
      <c r="A909" t="s">
        <v>6267</v>
      </c>
      <c r="B909" t="s">
        <v>5300</v>
      </c>
      <c r="C909" t="s">
        <v>5202</v>
      </c>
      <c r="D909">
        <v>35</v>
      </c>
      <c r="E909" t="s">
        <v>5235</v>
      </c>
      <c r="F909" s="10" t="s">
        <v>6363</v>
      </c>
      <c r="G909" t="s">
        <v>6365</v>
      </c>
    </row>
    <row r="910" spans="1:7" x14ac:dyDescent="0.35">
      <c r="A910" t="s">
        <v>6268</v>
      </c>
      <c r="B910" t="s">
        <v>5258</v>
      </c>
      <c r="C910" t="s">
        <v>4785</v>
      </c>
      <c r="D910">
        <v>34.770000000000003</v>
      </c>
      <c r="E910" t="s">
        <v>5197</v>
      </c>
      <c r="F910" s="10" t="s">
        <v>6362</v>
      </c>
      <c r="G910" t="s">
        <v>6365</v>
      </c>
    </row>
    <row r="911" spans="1:7" x14ac:dyDescent="0.35">
      <c r="A911" t="s">
        <v>6269</v>
      </c>
      <c r="B911" t="s">
        <v>5440</v>
      </c>
      <c r="C911" t="s">
        <v>4915</v>
      </c>
      <c r="D911">
        <v>12.85</v>
      </c>
      <c r="E911" t="s">
        <v>5196</v>
      </c>
      <c r="F911" s="10" t="s">
        <v>6363</v>
      </c>
      <c r="G911" t="s">
        <v>74</v>
      </c>
    </row>
    <row r="912" spans="1:7" x14ac:dyDescent="0.35">
      <c r="A912" t="s">
        <v>6270</v>
      </c>
      <c r="B912" t="s">
        <v>5488</v>
      </c>
      <c r="C912" t="s">
        <v>4705</v>
      </c>
      <c r="D912">
        <v>36.83</v>
      </c>
      <c r="E912" t="s">
        <v>5199</v>
      </c>
      <c r="F912" s="10" t="s">
        <v>6363</v>
      </c>
      <c r="G912" t="s">
        <v>71</v>
      </c>
    </row>
    <row r="913" spans="1:7" x14ac:dyDescent="0.35">
      <c r="A913" t="s">
        <v>6271</v>
      </c>
      <c r="B913" t="s">
        <v>5434</v>
      </c>
      <c r="C913" t="s">
        <v>5312</v>
      </c>
      <c r="D913">
        <v>11.82</v>
      </c>
      <c r="E913" t="s">
        <v>5235</v>
      </c>
      <c r="F913" s="10" t="s">
        <v>6362</v>
      </c>
      <c r="G913" t="s">
        <v>6365</v>
      </c>
    </row>
    <row r="914" spans="1:7" x14ac:dyDescent="0.35">
      <c r="A914" t="s">
        <v>6272</v>
      </c>
      <c r="B914" t="s">
        <v>5537</v>
      </c>
      <c r="C914" t="s">
        <v>5240</v>
      </c>
      <c r="D914">
        <v>38.58</v>
      </c>
      <c r="E914" t="s">
        <v>5235</v>
      </c>
      <c r="F914" s="10" t="s">
        <v>6362</v>
      </c>
      <c r="G914" t="s">
        <v>6365</v>
      </c>
    </row>
    <row r="915" spans="1:7" x14ac:dyDescent="0.35">
      <c r="A915" t="s">
        <v>6273</v>
      </c>
      <c r="B915" t="s">
        <v>5260</v>
      </c>
      <c r="C915" t="s">
        <v>5466</v>
      </c>
      <c r="D915">
        <v>19.09</v>
      </c>
      <c r="E915" t="s">
        <v>5197</v>
      </c>
      <c r="F915" s="10" t="s">
        <v>6362</v>
      </c>
      <c r="G915" t="s">
        <v>74</v>
      </c>
    </row>
    <row r="916" spans="1:7" x14ac:dyDescent="0.35">
      <c r="A916" t="s">
        <v>6274</v>
      </c>
      <c r="B916" t="s">
        <v>5224</v>
      </c>
      <c r="C916" t="s">
        <v>4697</v>
      </c>
      <c r="D916">
        <v>30.98</v>
      </c>
      <c r="E916" t="s">
        <v>5199</v>
      </c>
      <c r="F916" s="10" t="s">
        <v>6363</v>
      </c>
      <c r="G916" t="s">
        <v>6365</v>
      </c>
    </row>
    <row r="917" spans="1:7" x14ac:dyDescent="0.35">
      <c r="A917" t="s">
        <v>6275</v>
      </c>
      <c r="B917" t="s">
        <v>5358</v>
      </c>
      <c r="C917" t="s">
        <v>5359</v>
      </c>
      <c r="D917">
        <v>14.85</v>
      </c>
      <c r="E917" t="s">
        <v>5197</v>
      </c>
      <c r="F917" s="10" t="s">
        <v>6363</v>
      </c>
      <c r="G917" t="s">
        <v>71</v>
      </c>
    </row>
    <row r="918" spans="1:7" x14ac:dyDescent="0.35">
      <c r="A918" t="s">
        <v>6276</v>
      </c>
      <c r="B918" t="s">
        <v>5523</v>
      </c>
      <c r="C918" t="s">
        <v>5202</v>
      </c>
      <c r="D918">
        <v>18.850000000000001</v>
      </c>
      <c r="E918" t="s">
        <v>5199</v>
      </c>
      <c r="F918" s="10" t="s">
        <v>6363</v>
      </c>
      <c r="G918" t="s">
        <v>74</v>
      </c>
    </row>
    <row r="919" spans="1:7" x14ac:dyDescent="0.35">
      <c r="A919" t="s">
        <v>6277</v>
      </c>
      <c r="B919" t="s">
        <v>5288</v>
      </c>
      <c r="C919" t="s">
        <v>4697</v>
      </c>
      <c r="D919">
        <v>30.35</v>
      </c>
      <c r="E919" t="s">
        <v>5235</v>
      </c>
      <c r="F919" s="10" t="s">
        <v>6363</v>
      </c>
      <c r="G919" t="s">
        <v>74</v>
      </c>
    </row>
    <row r="920" spans="1:7" x14ac:dyDescent="0.35">
      <c r="A920" t="s">
        <v>6278</v>
      </c>
      <c r="B920" t="s">
        <v>5258</v>
      </c>
      <c r="C920" t="s">
        <v>5448</v>
      </c>
      <c r="D920">
        <v>22.62</v>
      </c>
      <c r="E920" t="s">
        <v>5198</v>
      </c>
      <c r="F920" s="10" t="s">
        <v>6363</v>
      </c>
      <c r="G920" t="s">
        <v>6365</v>
      </c>
    </row>
    <row r="921" spans="1:7" x14ac:dyDescent="0.35">
      <c r="A921" t="s">
        <v>6279</v>
      </c>
      <c r="B921" t="s">
        <v>5398</v>
      </c>
      <c r="C921" t="s">
        <v>5466</v>
      </c>
      <c r="D921">
        <v>14.02</v>
      </c>
      <c r="E921" t="s">
        <v>5197</v>
      </c>
      <c r="F921" s="10" t="s">
        <v>6362</v>
      </c>
      <c r="G921" t="s">
        <v>74</v>
      </c>
    </row>
    <row r="922" spans="1:7" x14ac:dyDescent="0.35">
      <c r="A922" t="s">
        <v>6280</v>
      </c>
      <c r="B922" t="s">
        <v>5227</v>
      </c>
      <c r="C922" t="s">
        <v>4920</v>
      </c>
      <c r="D922">
        <v>35.49</v>
      </c>
      <c r="E922" t="s">
        <v>5235</v>
      </c>
      <c r="F922" s="10" t="s">
        <v>6362</v>
      </c>
      <c r="G922" t="s">
        <v>71</v>
      </c>
    </row>
    <row r="923" spans="1:7" x14ac:dyDescent="0.35">
      <c r="A923" t="s">
        <v>6281</v>
      </c>
      <c r="B923" t="s">
        <v>5459</v>
      </c>
      <c r="C923" t="s">
        <v>4897</v>
      </c>
      <c r="D923">
        <v>19.48</v>
      </c>
      <c r="E923" t="s">
        <v>5235</v>
      </c>
      <c r="F923" s="10" t="s">
        <v>6363</v>
      </c>
      <c r="G923" t="s">
        <v>74</v>
      </c>
    </row>
    <row r="924" spans="1:7" x14ac:dyDescent="0.35">
      <c r="A924" t="s">
        <v>6282</v>
      </c>
      <c r="B924" t="s">
        <v>5434</v>
      </c>
      <c r="C924" t="s">
        <v>5305</v>
      </c>
      <c r="D924">
        <v>39.590000000000003</v>
      </c>
      <c r="E924" t="s">
        <v>5198</v>
      </c>
      <c r="F924" s="10" t="s">
        <v>6362</v>
      </c>
      <c r="G924" t="s">
        <v>74</v>
      </c>
    </row>
    <row r="925" spans="1:7" x14ac:dyDescent="0.35">
      <c r="A925" t="s">
        <v>6283</v>
      </c>
      <c r="B925" t="s">
        <v>5302</v>
      </c>
      <c r="C925" t="s">
        <v>5319</v>
      </c>
      <c r="D925">
        <v>33.83</v>
      </c>
      <c r="E925" t="s">
        <v>5235</v>
      </c>
      <c r="F925" s="10" t="s">
        <v>6362</v>
      </c>
      <c r="G925" t="s">
        <v>6365</v>
      </c>
    </row>
    <row r="926" spans="1:7" x14ac:dyDescent="0.35">
      <c r="A926" t="s">
        <v>6284</v>
      </c>
      <c r="B926" t="s">
        <v>5253</v>
      </c>
      <c r="C926" t="s">
        <v>5115</v>
      </c>
      <c r="D926">
        <v>30.91</v>
      </c>
      <c r="E926" t="s">
        <v>5198</v>
      </c>
      <c r="F926" s="10" t="s">
        <v>6363</v>
      </c>
      <c r="G926" t="s">
        <v>71</v>
      </c>
    </row>
    <row r="927" spans="1:7" x14ac:dyDescent="0.35">
      <c r="A927" t="s">
        <v>6285</v>
      </c>
      <c r="B927" t="s">
        <v>5264</v>
      </c>
      <c r="C927" t="s">
        <v>5353</v>
      </c>
      <c r="D927">
        <v>30.66</v>
      </c>
      <c r="E927" t="s">
        <v>5198</v>
      </c>
      <c r="F927" s="10" t="s">
        <v>6363</v>
      </c>
      <c r="G927" t="s">
        <v>6365</v>
      </c>
    </row>
    <row r="928" spans="1:7" x14ac:dyDescent="0.35">
      <c r="A928" t="s">
        <v>6286</v>
      </c>
      <c r="B928" t="s">
        <v>5281</v>
      </c>
      <c r="C928" t="s">
        <v>5011</v>
      </c>
      <c r="D928">
        <v>20.43</v>
      </c>
      <c r="E928" t="s">
        <v>5235</v>
      </c>
      <c r="F928" s="10" t="s">
        <v>6363</v>
      </c>
      <c r="G928" t="s">
        <v>6365</v>
      </c>
    </row>
    <row r="929" spans="1:7" x14ac:dyDescent="0.35">
      <c r="A929" t="s">
        <v>6287</v>
      </c>
      <c r="B929" t="s">
        <v>5285</v>
      </c>
      <c r="C929" t="s">
        <v>5208</v>
      </c>
      <c r="D929">
        <v>27.72</v>
      </c>
      <c r="E929" t="s">
        <v>5196</v>
      </c>
      <c r="F929" s="10" t="s">
        <v>6362</v>
      </c>
      <c r="G929" t="s">
        <v>6365</v>
      </c>
    </row>
    <row r="930" spans="1:7" x14ac:dyDescent="0.35">
      <c r="A930" t="s">
        <v>6288</v>
      </c>
      <c r="B930" t="s">
        <v>5221</v>
      </c>
      <c r="C930" t="s">
        <v>5054</v>
      </c>
      <c r="D930">
        <v>35.520000000000003</v>
      </c>
      <c r="E930" t="s">
        <v>5199</v>
      </c>
      <c r="F930" s="10" t="s">
        <v>6363</v>
      </c>
      <c r="G930" t="s">
        <v>71</v>
      </c>
    </row>
    <row r="931" spans="1:7" x14ac:dyDescent="0.35">
      <c r="A931" t="s">
        <v>6289</v>
      </c>
      <c r="B931" t="s">
        <v>5583</v>
      </c>
      <c r="C931" t="s">
        <v>4693</v>
      </c>
      <c r="D931">
        <v>21.47</v>
      </c>
      <c r="E931" t="s">
        <v>5196</v>
      </c>
      <c r="F931" s="10" t="s">
        <v>6363</v>
      </c>
      <c r="G931" t="s">
        <v>74</v>
      </c>
    </row>
    <row r="932" spans="1:7" x14ac:dyDescent="0.35">
      <c r="A932" t="s">
        <v>6290</v>
      </c>
      <c r="B932" t="s">
        <v>5583</v>
      </c>
      <c r="C932" t="s">
        <v>4720</v>
      </c>
      <c r="D932">
        <v>38.229999999999997</v>
      </c>
      <c r="E932" t="s">
        <v>5197</v>
      </c>
      <c r="F932" s="10" t="s">
        <v>6362</v>
      </c>
      <c r="G932" t="s">
        <v>71</v>
      </c>
    </row>
    <row r="933" spans="1:7" x14ac:dyDescent="0.35">
      <c r="A933" t="s">
        <v>6291</v>
      </c>
      <c r="B933" t="s">
        <v>5288</v>
      </c>
      <c r="C933" t="s">
        <v>4915</v>
      </c>
      <c r="D933">
        <v>14.45</v>
      </c>
      <c r="E933" t="s">
        <v>5197</v>
      </c>
      <c r="F933" s="10" t="s">
        <v>6362</v>
      </c>
      <c r="G933" t="s">
        <v>6365</v>
      </c>
    </row>
    <row r="934" spans="1:7" x14ac:dyDescent="0.35">
      <c r="A934" t="s">
        <v>6292</v>
      </c>
      <c r="B934" t="s">
        <v>5333</v>
      </c>
      <c r="C934" t="s">
        <v>5240</v>
      </c>
      <c r="D934">
        <v>35.79</v>
      </c>
      <c r="E934" t="s">
        <v>5198</v>
      </c>
      <c r="F934" s="10" t="s">
        <v>6362</v>
      </c>
      <c r="G934" t="s">
        <v>71</v>
      </c>
    </row>
    <row r="935" spans="1:7" x14ac:dyDescent="0.35">
      <c r="A935" t="s">
        <v>6293</v>
      </c>
      <c r="B935" t="s">
        <v>5298</v>
      </c>
      <c r="C935" t="s">
        <v>5188</v>
      </c>
      <c r="D935">
        <v>13.38</v>
      </c>
      <c r="E935" t="s">
        <v>5235</v>
      </c>
      <c r="F935" s="10" t="s">
        <v>6362</v>
      </c>
      <c r="G935" t="s">
        <v>6365</v>
      </c>
    </row>
    <row r="936" spans="1:7" x14ac:dyDescent="0.35">
      <c r="A936" t="s">
        <v>6294</v>
      </c>
      <c r="B936" t="s">
        <v>5477</v>
      </c>
      <c r="C936" t="s">
        <v>5324</v>
      </c>
      <c r="D936">
        <v>10.63</v>
      </c>
      <c r="E936" t="s">
        <v>5196</v>
      </c>
      <c r="F936" s="10" t="s">
        <v>6363</v>
      </c>
      <c r="G936" t="s">
        <v>71</v>
      </c>
    </row>
    <row r="937" spans="1:7" x14ac:dyDescent="0.35">
      <c r="A937" t="s">
        <v>6295</v>
      </c>
      <c r="B937" t="s">
        <v>5523</v>
      </c>
      <c r="C937" t="s">
        <v>5261</v>
      </c>
      <c r="D937">
        <v>36.450000000000003</v>
      </c>
      <c r="E937" t="s">
        <v>5235</v>
      </c>
      <c r="F937" s="10" t="s">
        <v>6363</v>
      </c>
      <c r="G937" t="s">
        <v>74</v>
      </c>
    </row>
    <row r="938" spans="1:7" x14ac:dyDescent="0.35">
      <c r="A938" t="s">
        <v>6296</v>
      </c>
      <c r="B938" t="s">
        <v>5210</v>
      </c>
      <c r="C938" t="s">
        <v>5245</v>
      </c>
      <c r="D938">
        <v>30.55</v>
      </c>
      <c r="E938" t="s">
        <v>5235</v>
      </c>
      <c r="F938" s="10" t="s">
        <v>6363</v>
      </c>
      <c r="G938" t="s">
        <v>6365</v>
      </c>
    </row>
    <row r="939" spans="1:7" x14ac:dyDescent="0.35">
      <c r="A939" t="s">
        <v>6297</v>
      </c>
      <c r="B939" t="s">
        <v>5589</v>
      </c>
      <c r="C939" t="s">
        <v>4671</v>
      </c>
      <c r="D939">
        <v>20.74</v>
      </c>
      <c r="E939" t="s">
        <v>5235</v>
      </c>
      <c r="F939" s="10" t="s">
        <v>6362</v>
      </c>
      <c r="G939" t="s">
        <v>6365</v>
      </c>
    </row>
    <row r="940" spans="1:7" x14ac:dyDescent="0.35">
      <c r="A940" t="s">
        <v>6298</v>
      </c>
      <c r="B940" t="s">
        <v>5383</v>
      </c>
      <c r="C940" t="s">
        <v>4915</v>
      </c>
      <c r="D940">
        <v>33.409999999999997</v>
      </c>
      <c r="E940" t="s">
        <v>5197</v>
      </c>
      <c r="F940" s="10" t="s">
        <v>6362</v>
      </c>
      <c r="G940" t="s">
        <v>6365</v>
      </c>
    </row>
    <row r="941" spans="1:7" x14ac:dyDescent="0.35">
      <c r="A941" t="s">
        <v>6299</v>
      </c>
      <c r="B941" t="s">
        <v>5427</v>
      </c>
      <c r="C941" t="s">
        <v>5353</v>
      </c>
      <c r="D941">
        <v>38.75</v>
      </c>
      <c r="E941" t="s">
        <v>5199</v>
      </c>
      <c r="F941" s="10" t="s">
        <v>6363</v>
      </c>
      <c r="G941" t="s">
        <v>74</v>
      </c>
    </row>
    <row r="942" spans="1:7" x14ac:dyDescent="0.35">
      <c r="A942" t="s">
        <v>6300</v>
      </c>
      <c r="B942" t="s">
        <v>5338</v>
      </c>
      <c r="C942" t="s">
        <v>5555</v>
      </c>
      <c r="D942">
        <v>12.89</v>
      </c>
      <c r="E942" t="s">
        <v>5197</v>
      </c>
      <c r="F942" s="10" t="s">
        <v>6362</v>
      </c>
      <c r="G942" t="s">
        <v>71</v>
      </c>
    </row>
    <row r="943" spans="1:7" x14ac:dyDescent="0.35">
      <c r="A943" t="s">
        <v>6301</v>
      </c>
      <c r="B943" t="s">
        <v>5315</v>
      </c>
      <c r="C943" t="s">
        <v>4697</v>
      </c>
      <c r="D943">
        <v>39.86</v>
      </c>
      <c r="E943" t="s">
        <v>5235</v>
      </c>
      <c r="F943" s="10" t="s">
        <v>6363</v>
      </c>
      <c r="G943" t="s">
        <v>6365</v>
      </c>
    </row>
    <row r="944" spans="1:7" x14ac:dyDescent="0.35">
      <c r="A944" t="s">
        <v>6302</v>
      </c>
      <c r="B944" t="s">
        <v>5494</v>
      </c>
      <c r="C944" t="s">
        <v>5735</v>
      </c>
      <c r="D944">
        <v>33.86</v>
      </c>
      <c r="E944" t="s">
        <v>5199</v>
      </c>
      <c r="F944" s="10" t="s">
        <v>6362</v>
      </c>
      <c r="G944" t="s">
        <v>6365</v>
      </c>
    </row>
    <row r="945" spans="1:7" x14ac:dyDescent="0.35">
      <c r="A945" t="s">
        <v>6303</v>
      </c>
      <c r="B945" t="s">
        <v>5698</v>
      </c>
      <c r="C945" t="s">
        <v>5466</v>
      </c>
      <c r="D945">
        <v>21.44</v>
      </c>
      <c r="E945" t="s">
        <v>5196</v>
      </c>
      <c r="F945" s="10" t="s">
        <v>6363</v>
      </c>
      <c r="G945" t="s">
        <v>6365</v>
      </c>
    </row>
    <row r="946" spans="1:7" x14ac:dyDescent="0.35">
      <c r="A946" t="s">
        <v>6304</v>
      </c>
      <c r="B946" t="s">
        <v>5227</v>
      </c>
      <c r="C946" t="s">
        <v>5365</v>
      </c>
      <c r="D946">
        <v>11.52</v>
      </c>
      <c r="E946" t="s">
        <v>5198</v>
      </c>
      <c r="F946" s="10" t="s">
        <v>6362</v>
      </c>
      <c r="G946" t="s">
        <v>74</v>
      </c>
    </row>
    <row r="947" spans="1:7" x14ac:dyDescent="0.35">
      <c r="A947" t="s">
        <v>6305</v>
      </c>
      <c r="B947" t="s">
        <v>5398</v>
      </c>
      <c r="C947" t="s">
        <v>4671</v>
      </c>
      <c r="D947">
        <v>23.85</v>
      </c>
      <c r="E947" t="s">
        <v>5196</v>
      </c>
      <c r="F947" s="10" t="s">
        <v>6363</v>
      </c>
      <c r="G947" t="s">
        <v>74</v>
      </c>
    </row>
    <row r="948" spans="1:7" x14ac:dyDescent="0.35">
      <c r="A948" t="s">
        <v>6306</v>
      </c>
      <c r="B948" t="s">
        <v>5398</v>
      </c>
      <c r="C948" t="s">
        <v>5499</v>
      </c>
      <c r="D948">
        <v>14.83</v>
      </c>
      <c r="E948" t="s">
        <v>5199</v>
      </c>
      <c r="F948" s="10" t="s">
        <v>6362</v>
      </c>
      <c r="G948" t="s">
        <v>6365</v>
      </c>
    </row>
    <row r="949" spans="1:7" x14ac:dyDescent="0.35">
      <c r="A949" t="s">
        <v>6307</v>
      </c>
      <c r="B949" t="s">
        <v>5247</v>
      </c>
      <c r="C949" t="s">
        <v>4700</v>
      </c>
      <c r="D949">
        <v>17.559999999999999</v>
      </c>
      <c r="E949" t="s">
        <v>5199</v>
      </c>
      <c r="F949" s="10" t="s">
        <v>6363</v>
      </c>
      <c r="G949" t="s">
        <v>71</v>
      </c>
    </row>
    <row r="950" spans="1:7" x14ac:dyDescent="0.35">
      <c r="A950" t="s">
        <v>6308</v>
      </c>
      <c r="B950" t="s">
        <v>5345</v>
      </c>
      <c r="C950" t="s">
        <v>5230</v>
      </c>
      <c r="D950">
        <v>22.3</v>
      </c>
      <c r="E950" t="s">
        <v>5196</v>
      </c>
      <c r="F950" s="10" t="s">
        <v>6363</v>
      </c>
      <c r="G950" t="s">
        <v>71</v>
      </c>
    </row>
    <row r="951" spans="1:7" x14ac:dyDescent="0.35">
      <c r="A951" t="s">
        <v>6309</v>
      </c>
      <c r="B951" t="s">
        <v>5589</v>
      </c>
      <c r="C951" t="s">
        <v>5478</v>
      </c>
      <c r="D951">
        <v>12.09</v>
      </c>
      <c r="E951" t="s">
        <v>5196</v>
      </c>
      <c r="F951" s="10" t="s">
        <v>6362</v>
      </c>
      <c r="G951" t="s">
        <v>74</v>
      </c>
    </row>
    <row r="952" spans="1:7" x14ac:dyDescent="0.35">
      <c r="A952" t="s">
        <v>6310</v>
      </c>
      <c r="B952" t="s">
        <v>5285</v>
      </c>
      <c r="C952" t="s">
        <v>5286</v>
      </c>
      <c r="D952">
        <v>29.13</v>
      </c>
      <c r="E952" t="s">
        <v>5197</v>
      </c>
      <c r="F952" s="10" t="s">
        <v>6363</v>
      </c>
      <c r="G952" t="s">
        <v>74</v>
      </c>
    </row>
    <row r="953" spans="1:7" x14ac:dyDescent="0.35">
      <c r="A953" t="s">
        <v>6311</v>
      </c>
      <c r="B953" t="s">
        <v>5219</v>
      </c>
      <c r="C953" t="s">
        <v>4707</v>
      </c>
      <c r="D953">
        <v>34.31</v>
      </c>
      <c r="E953" t="s">
        <v>5199</v>
      </c>
      <c r="F953" s="10" t="s">
        <v>6363</v>
      </c>
      <c r="G953" t="s">
        <v>6365</v>
      </c>
    </row>
    <row r="954" spans="1:7" x14ac:dyDescent="0.35">
      <c r="A954" t="s">
        <v>6312</v>
      </c>
      <c r="B954" t="s">
        <v>5444</v>
      </c>
      <c r="C954" t="s">
        <v>5406</v>
      </c>
      <c r="D954">
        <v>19.88</v>
      </c>
      <c r="E954" t="s">
        <v>5198</v>
      </c>
      <c r="F954" s="10" t="s">
        <v>6363</v>
      </c>
      <c r="G954" t="s">
        <v>6365</v>
      </c>
    </row>
    <row r="955" spans="1:7" x14ac:dyDescent="0.35">
      <c r="A955" t="s">
        <v>6313</v>
      </c>
      <c r="B955" t="s">
        <v>5589</v>
      </c>
      <c r="C955" t="s">
        <v>5375</v>
      </c>
      <c r="D955">
        <v>15.5</v>
      </c>
      <c r="E955" t="s">
        <v>5198</v>
      </c>
      <c r="F955" s="10" t="s">
        <v>6362</v>
      </c>
      <c r="G955" t="s">
        <v>6365</v>
      </c>
    </row>
    <row r="956" spans="1:7" x14ac:dyDescent="0.35">
      <c r="A956" t="s">
        <v>6314</v>
      </c>
      <c r="B956" t="s">
        <v>5474</v>
      </c>
      <c r="C956" t="s">
        <v>5254</v>
      </c>
      <c r="D956">
        <v>30.99</v>
      </c>
      <c r="E956" t="s">
        <v>5197</v>
      </c>
      <c r="F956" s="10" t="s">
        <v>6363</v>
      </c>
      <c r="G956" t="s">
        <v>6365</v>
      </c>
    </row>
    <row r="957" spans="1:7" x14ac:dyDescent="0.35">
      <c r="A957" t="s">
        <v>6315</v>
      </c>
      <c r="B957" t="s">
        <v>5401</v>
      </c>
      <c r="C957" t="s">
        <v>5296</v>
      </c>
      <c r="D957">
        <v>12.81</v>
      </c>
      <c r="E957" t="s">
        <v>5196</v>
      </c>
      <c r="F957" s="10" t="s">
        <v>6363</v>
      </c>
      <c r="G957" t="s">
        <v>6365</v>
      </c>
    </row>
    <row r="958" spans="1:7" x14ac:dyDescent="0.35">
      <c r="A958" t="s">
        <v>6316</v>
      </c>
      <c r="B958" t="s">
        <v>5401</v>
      </c>
      <c r="C958" t="s">
        <v>5268</v>
      </c>
      <c r="D958">
        <v>33.75</v>
      </c>
      <c r="E958" t="s">
        <v>5198</v>
      </c>
      <c r="F958" s="10" t="s">
        <v>6362</v>
      </c>
      <c r="G958" t="s">
        <v>74</v>
      </c>
    </row>
    <row r="959" spans="1:7" x14ac:dyDescent="0.35">
      <c r="A959" t="s">
        <v>6317</v>
      </c>
      <c r="B959" t="s">
        <v>5264</v>
      </c>
      <c r="C959" t="s">
        <v>5165</v>
      </c>
      <c r="D959">
        <v>26.2</v>
      </c>
      <c r="E959" t="s">
        <v>5235</v>
      </c>
      <c r="F959" s="10" t="s">
        <v>6363</v>
      </c>
      <c r="G959" t="s">
        <v>74</v>
      </c>
    </row>
    <row r="960" spans="1:7" x14ac:dyDescent="0.35">
      <c r="A960" t="s">
        <v>6318</v>
      </c>
      <c r="B960" t="s">
        <v>5293</v>
      </c>
      <c r="C960" t="s">
        <v>4720</v>
      </c>
      <c r="D960">
        <v>39.409999999999997</v>
      </c>
      <c r="E960" t="s">
        <v>5196</v>
      </c>
      <c r="F960" s="10" t="s">
        <v>6363</v>
      </c>
      <c r="G960" t="s">
        <v>6365</v>
      </c>
    </row>
    <row r="961" spans="1:7" x14ac:dyDescent="0.35">
      <c r="A961" t="s">
        <v>6319</v>
      </c>
      <c r="B961" t="s">
        <v>5204</v>
      </c>
      <c r="C961" t="s">
        <v>5359</v>
      </c>
      <c r="D961">
        <v>17.2</v>
      </c>
      <c r="E961" t="s">
        <v>5196</v>
      </c>
      <c r="F961" s="10" t="s">
        <v>6362</v>
      </c>
      <c r="G961" t="s">
        <v>71</v>
      </c>
    </row>
    <row r="962" spans="1:7" x14ac:dyDescent="0.35">
      <c r="A962" t="s">
        <v>6320</v>
      </c>
      <c r="B962" t="s">
        <v>5234</v>
      </c>
      <c r="C962" t="s">
        <v>5380</v>
      </c>
      <c r="D962">
        <v>29.61</v>
      </c>
      <c r="E962" t="s">
        <v>5235</v>
      </c>
      <c r="F962" s="10" t="s">
        <v>6363</v>
      </c>
      <c r="G962" t="s">
        <v>74</v>
      </c>
    </row>
    <row r="963" spans="1:7" x14ac:dyDescent="0.35">
      <c r="A963" t="s">
        <v>6321</v>
      </c>
      <c r="B963" t="s">
        <v>5244</v>
      </c>
      <c r="C963" t="s">
        <v>4821</v>
      </c>
      <c r="D963">
        <v>20.5</v>
      </c>
      <c r="E963" t="s">
        <v>5235</v>
      </c>
      <c r="F963" s="10" t="s">
        <v>6363</v>
      </c>
      <c r="G963" t="s">
        <v>6366</v>
      </c>
    </row>
    <row r="964" spans="1:7" x14ac:dyDescent="0.35">
      <c r="A964" t="s">
        <v>6322</v>
      </c>
      <c r="B964" t="s">
        <v>5285</v>
      </c>
      <c r="C964" t="s">
        <v>5375</v>
      </c>
      <c r="D964">
        <v>23.73</v>
      </c>
      <c r="E964" t="s">
        <v>5199</v>
      </c>
      <c r="F964" s="10" t="s">
        <v>6362</v>
      </c>
      <c r="G964" t="s">
        <v>71</v>
      </c>
    </row>
    <row r="965" spans="1:7" x14ac:dyDescent="0.35">
      <c r="A965" t="s">
        <v>6323</v>
      </c>
      <c r="B965" t="s">
        <v>5258</v>
      </c>
      <c r="C965" t="s">
        <v>5305</v>
      </c>
      <c r="D965">
        <v>29.37</v>
      </c>
      <c r="E965" t="s">
        <v>5199</v>
      </c>
      <c r="F965" s="10" t="s">
        <v>6362</v>
      </c>
      <c r="G965" t="s">
        <v>6365</v>
      </c>
    </row>
    <row r="966" spans="1:7" x14ac:dyDescent="0.35">
      <c r="A966" t="s">
        <v>6324</v>
      </c>
      <c r="B966" t="s">
        <v>5480</v>
      </c>
      <c r="C966" t="s">
        <v>5634</v>
      </c>
      <c r="D966">
        <v>26.38</v>
      </c>
      <c r="E966" t="s">
        <v>5196</v>
      </c>
      <c r="F966" s="10" t="s">
        <v>6362</v>
      </c>
      <c r="G966" t="s">
        <v>6365</v>
      </c>
    </row>
    <row r="967" spans="1:7" x14ac:dyDescent="0.35">
      <c r="A967" t="s">
        <v>6325</v>
      </c>
      <c r="B967" t="s">
        <v>5318</v>
      </c>
      <c r="C967" t="s">
        <v>5208</v>
      </c>
      <c r="D967">
        <v>23.71</v>
      </c>
      <c r="E967" t="s">
        <v>5196</v>
      </c>
      <c r="F967" s="10" t="s">
        <v>6363</v>
      </c>
      <c r="G967" t="s">
        <v>74</v>
      </c>
    </row>
    <row r="968" spans="1:7" x14ac:dyDescent="0.35">
      <c r="A968" t="s">
        <v>6326</v>
      </c>
      <c r="B968" t="s">
        <v>5609</v>
      </c>
      <c r="C968" t="s">
        <v>4700</v>
      </c>
      <c r="D968">
        <v>13.35</v>
      </c>
      <c r="E968" t="s">
        <v>5235</v>
      </c>
      <c r="F968" s="10" t="s">
        <v>6363</v>
      </c>
      <c r="G968" t="s">
        <v>74</v>
      </c>
    </row>
    <row r="969" spans="1:7" x14ac:dyDescent="0.35">
      <c r="A969" t="s">
        <v>6327</v>
      </c>
      <c r="B969" t="s">
        <v>5318</v>
      </c>
      <c r="C969" t="s">
        <v>4821</v>
      </c>
      <c r="D969">
        <v>17.489999999999998</v>
      </c>
      <c r="E969" t="s">
        <v>5235</v>
      </c>
      <c r="F969" s="10" t="s">
        <v>6362</v>
      </c>
      <c r="G969" t="s">
        <v>6365</v>
      </c>
    </row>
    <row r="970" spans="1:7" x14ac:dyDescent="0.35">
      <c r="A970" t="s">
        <v>6328</v>
      </c>
      <c r="B970" t="s">
        <v>5345</v>
      </c>
      <c r="C970" t="s">
        <v>5245</v>
      </c>
      <c r="D970">
        <v>34.479999999999997</v>
      </c>
      <c r="E970" t="s">
        <v>5235</v>
      </c>
      <c r="F970" s="10" t="s">
        <v>6363</v>
      </c>
      <c r="G970" t="s">
        <v>6365</v>
      </c>
    </row>
    <row r="971" spans="1:7" x14ac:dyDescent="0.35">
      <c r="A971" t="s">
        <v>6329</v>
      </c>
      <c r="B971" t="s">
        <v>5212</v>
      </c>
      <c r="C971" t="s">
        <v>5273</v>
      </c>
      <c r="D971">
        <v>33.69</v>
      </c>
      <c r="E971" t="s">
        <v>5199</v>
      </c>
      <c r="F971" s="10" t="s">
        <v>6363</v>
      </c>
      <c r="G971" t="s">
        <v>71</v>
      </c>
    </row>
    <row r="972" spans="1:7" x14ac:dyDescent="0.35">
      <c r="A972" t="s">
        <v>6330</v>
      </c>
      <c r="B972" t="s">
        <v>5258</v>
      </c>
      <c r="C972" t="s">
        <v>4790</v>
      </c>
      <c r="D972">
        <v>38</v>
      </c>
      <c r="E972" t="s">
        <v>5196</v>
      </c>
      <c r="F972" s="10" t="s">
        <v>6362</v>
      </c>
      <c r="G972" t="s">
        <v>6365</v>
      </c>
    </row>
    <row r="973" spans="1:7" x14ac:dyDescent="0.35">
      <c r="A973" t="s">
        <v>6331</v>
      </c>
      <c r="B973" t="s">
        <v>5210</v>
      </c>
      <c r="C973" t="s">
        <v>5248</v>
      </c>
      <c r="D973">
        <v>13.23</v>
      </c>
      <c r="E973" t="s">
        <v>5198</v>
      </c>
      <c r="F973" s="10" t="s">
        <v>6363</v>
      </c>
      <c r="G973" t="s">
        <v>74</v>
      </c>
    </row>
    <row r="974" spans="1:7" x14ac:dyDescent="0.35">
      <c r="A974" t="s">
        <v>6332</v>
      </c>
      <c r="B974" t="s">
        <v>5298</v>
      </c>
      <c r="C974" t="s">
        <v>5359</v>
      </c>
      <c r="D974">
        <v>11.53</v>
      </c>
      <c r="E974" t="s">
        <v>5199</v>
      </c>
      <c r="F974" s="10" t="s">
        <v>6363</v>
      </c>
      <c r="G974" t="s">
        <v>6365</v>
      </c>
    </row>
    <row r="975" spans="1:7" x14ac:dyDescent="0.35">
      <c r="A975" t="s">
        <v>6333</v>
      </c>
      <c r="B975" t="s">
        <v>5698</v>
      </c>
      <c r="C975" t="s">
        <v>5478</v>
      </c>
      <c r="D975">
        <v>38.479999999999997</v>
      </c>
      <c r="E975" t="s">
        <v>5196</v>
      </c>
      <c r="F975" s="10" t="s">
        <v>6362</v>
      </c>
      <c r="G975" t="s">
        <v>6365</v>
      </c>
    </row>
    <row r="976" spans="1:7" x14ac:dyDescent="0.35">
      <c r="A976" t="s">
        <v>6334</v>
      </c>
      <c r="B976" t="s">
        <v>5267</v>
      </c>
      <c r="C976" t="s">
        <v>4697</v>
      </c>
      <c r="D976">
        <v>37.659999999999997</v>
      </c>
      <c r="E976" t="s">
        <v>5235</v>
      </c>
      <c r="F976" s="10" t="s">
        <v>6362</v>
      </c>
      <c r="G976" t="s">
        <v>71</v>
      </c>
    </row>
    <row r="977" spans="1:7" x14ac:dyDescent="0.35">
      <c r="A977" t="s">
        <v>6335</v>
      </c>
      <c r="B977" t="s">
        <v>5264</v>
      </c>
      <c r="C977" t="s">
        <v>5240</v>
      </c>
      <c r="D977">
        <v>38.19</v>
      </c>
      <c r="E977" t="s">
        <v>5199</v>
      </c>
      <c r="F977" s="10" t="s">
        <v>6362</v>
      </c>
      <c r="G977" t="s">
        <v>6365</v>
      </c>
    </row>
    <row r="978" spans="1:7" x14ac:dyDescent="0.35">
      <c r="A978" t="s">
        <v>6336</v>
      </c>
      <c r="B978" t="s">
        <v>5396</v>
      </c>
      <c r="C978" t="s">
        <v>5460</v>
      </c>
      <c r="D978">
        <v>31.86</v>
      </c>
      <c r="E978" t="s">
        <v>5196</v>
      </c>
      <c r="F978" s="10" t="s">
        <v>6363</v>
      </c>
      <c r="G978" t="s">
        <v>6366</v>
      </c>
    </row>
    <row r="979" spans="1:7" x14ac:dyDescent="0.35">
      <c r="A979" t="s">
        <v>6337</v>
      </c>
      <c r="B979" t="s">
        <v>5401</v>
      </c>
      <c r="C979" t="s">
        <v>5228</v>
      </c>
      <c r="D979">
        <v>23.79</v>
      </c>
      <c r="E979" t="s">
        <v>5198</v>
      </c>
      <c r="F979" s="10" t="s">
        <v>6362</v>
      </c>
      <c r="G979" t="s">
        <v>6365</v>
      </c>
    </row>
    <row r="980" spans="1:7" x14ac:dyDescent="0.35">
      <c r="A980" t="s">
        <v>6338</v>
      </c>
      <c r="B980" t="s">
        <v>5592</v>
      </c>
      <c r="C980" t="s">
        <v>5499</v>
      </c>
      <c r="D980">
        <v>20</v>
      </c>
      <c r="E980" t="s">
        <v>5197</v>
      </c>
      <c r="F980" s="10" t="s">
        <v>6363</v>
      </c>
      <c r="G980" t="s">
        <v>71</v>
      </c>
    </row>
    <row r="981" spans="1:7" x14ac:dyDescent="0.35">
      <c r="A981" t="s">
        <v>6339</v>
      </c>
      <c r="B981" t="s">
        <v>5488</v>
      </c>
      <c r="C981" t="s">
        <v>5555</v>
      </c>
      <c r="D981">
        <v>15.95</v>
      </c>
      <c r="E981" t="s">
        <v>5235</v>
      </c>
      <c r="F981" s="10" t="s">
        <v>6362</v>
      </c>
      <c r="G981" t="s">
        <v>71</v>
      </c>
    </row>
    <row r="982" spans="1:7" x14ac:dyDescent="0.35">
      <c r="A982" t="s">
        <v>6340</v>
      </c>
      <c r="B982" t="s">
        <v>5239</v>
      </c>
      <c r="C982" t="s">
        <v>4804</v>
      </c>
      <c r="D982">
        <v>38.450000000000003</v>
      </c>
      <c r="E982" t="s">
        <v>5235</v>
      </c>
      <c r="F982" s="10" t="s">
        <v>6362</v>
      </c>
      <c r="G982" t="s">
        <v>74</v>
      </c>
    </row>
    <row r="983" spans="1:7" x14ac:dyDescent="0.35">
      <c r="A983" t="s">
        <v>6341</v>
      </c>
      <c r="B983" t="s">
        <v>5212</v>
      </c>
      <c r="C983" t="s">
        <v>5586</v>
      </c>
      <c r="D983">
        <v>39.61</v>
      </c>
      <c r="E983" t="s">
        <v>5196</v>
      </c>
      <c r="F983" s="10" t="s">
        <v>6363</v>
      </c>
      <c r="G983" t="s">
        <v>71</v>
      </c>
    </row>
    <row r="984" spans="1:7" x14ac:dyDescent="0.35">
      <c r="A984" t="s">
        <v>6342</v>
      </c>
      <c r="B984" t="s">
        <v>5333</v>
      </c>
      <c r="C984" t="s">
        <v>5510</v>
      </c>
      <c r="D984">
        <v>34.06</v>
      </c>
      <c r="E984" t="s">
        <v>5199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E9B37-8303-48BD-8D8B-E3CA94CAC928}">
  <dimension ref="A2:G30"/>
  <sheetViews>
    <sheetView topLeftCell="C2" zoomScale="87" zoomScaleNormal="87" workbookViewId="0">
      <selection activeCell="A5" sqref="A5:S5"/>
    </sheetView>
  </sheetViews>
  <sheetFormatPr defaultRowHeight="14.5" x14ac:dyDescent="0.35"/>
  <cols>
    <col min="1" max="1" width="14.36328125" bestFit="1" customWidth="1"/>
    <col min="2" max="2" width="15.453125" bestFit="1" customWidth="1"/>
    <col min="3" max="3" width="7.6328125" bestFit="1" customWidth="1"/>
    <col min="4" max="4" width="8.1796875" bestFit="1" customWidth="1"/>
    <col min="5" max="5" width="7.7265625" bestFit="1" customWidth="1"/>
    <col min="6" max="6" width="7.6328125" bestFit="1" customWidth="1"/>
    <col min="7" max="7" width="10.7265625" bestFit="1" customWidth="1"/>
    <col min="8" max="8" width="14.36328125" bestFit="1" customWidth="1"/>
    <col min="9" max="9" width="25.54296875" bestFit="1" customWidth="1"/>
    <col min="10" max="10" width="26.453125" bestFit="1" customWidth="1"/>
    <col min="11" max="11" width="14.36328125" bestFit="1" customWidth="1"/>
    <col min="12" max="12" width="25.54296875" bestFit="1" customWidth="1"/>
    <col min="13" max="13" width="26.453125" bestFit="1" customWidth="1"/>
    <col min="14" max="14" width="14.36328125" bestFit="1" customWidth="1"/>
    <col min="15" max="15" width="25.54296875" bestFit="1" customWidth="1"/>
    <col min="16" max="16" width="26.453125" bestFit="1" customWidth="1"/>
    <col min="17" max="17" width="19.1796875" bestFit="1" customWidth="1"/>
    <col min="18" max="18" width="30.36328125" bestFit="1" customWidth="1"/>
    <col min="19" max="19" width="31.26953125" bestFit="1" customWidth="1"/>
    <col min="20" max="20" width="26.453125" bestFit="1" customWidth="1"/>
    <col min="21" max="21" width="19.1796875" bestFit="1" customWidth="1"/>
    <col min="22" max="22" width="21.90625" bestFit="1" customWidth="1"/>
    <col min="23" max="23" width="30.36328125" bestFit="1" customWidth="1"/>
    <col min="24" max="25" width="31.26953125" bestFit="1" customWidth="1"/>
  </cols>
  <sheetData>
    <row r="2" spans="1:7" x14ac:dyDescent="0.35">
      <c r="A2" s="8" t="s">
        <v>6343</v>
      </c>
      <c r="B2" s="8" t="s">
        <v>6346</v>
      </c>
    </row>
    <row r="3" spans="1:7" x14ac:dyDescent="0.35">
      <c r="A3" s="8" t="s">
        <v>6344</v>
      </c>
      <c r="B3" t="s">
        <v>5199</v>
      </c>
      <c r="C3" t="s">
        <v>5196</v>
      </c>
      <c r="D3" t="s">
        <v>5235</v>
      </c>
      <c r="E3" t="s">
        <v>5198</v>
      </c>
      <c r="F3" t="s">
        <v>5197</v>
      </c>
      <c r="G3" t="s">
        <v>6345</v>
      </c>
    </row>
    <row r="4" spans="1:7" x14ac:dyDescent="0.35">
      <c r="A4" s="9" t="s">
        <v>6347</v>
      </c>
      <c r="B4" s="12"/>
      <c r="C4" s="12"/>
      <c r="D4" s="12"/>
      <c r="E4" s="12"/>
      <c r="F4" s="12"/>
      <c r="G4" s="12"/>
    </row>
    <row r="5" spans="1:7" x14ac:dyDescent="0.35">
      <c r="A5" s="11" t="s">
        <v>6349</v>
      </c>
      <c r="B5" s="12">
        <v>592.18000000000006</v>
      </c>
      <c r="C5" s="12">
        <v>290.97000000000003</v>
      </c>
      <c r="D5" s="12">
        <v>440.53000000000003</v>
      </c>
      <c r="E5" s="12">
        <v>350.78</v>
      </c>
      <c r="F5" s="12">
        <v>581.84</v>
      </c>
      <c r="G5" s="12">
        <v>2256.3000000000002</v>
      </c>
    </row>
    <row r="6" spans="1:7" x14ac:dyDescent="0.35">
      <c r="A6" s="11" t="s">
        <v>6350</v>
      </c>
      <c r="B6" s="12">
        <v>492.21999999999991</v>
      </c>
      <c r="C6" s="12">
        <v>364.62</v>
      </c>
      <c r="D6" s="12">
        <v>488.54999999999995</v>
      </c>
      <c r="E6" s="12">
        <v>706.38</v>
      </c>
      <c r="F6" s="12">
        <v>182.44</v>
      </c>
      <c r="G6" s="12">
        <v>2234.21</v>
      </c>
    </row>
    <row r="7" spans="1:7" x14ac:dyDescent="0.35">
      <c r="A7" s="11" t="s">
        <v>6351</v>
      </c>
      <c r="B7" s="12">
        <v>461.27000000000004</v>
      </c>
      <c r="C7" s="12">
        <v>373.34000000000003</v>
      </c>
      <c r="D7" s="12">
        <v>395.75</v>
      </c>
      <c r="E7" s="12">
        <v>397.21000000000004</v>
      </c>
      <c r="F7" s="12">
        <v>703.37000000000012</v>
      </c>
      <c r="G7" s="12">
        <v>2330.9400000000005</v>
      </c>
    </row>
    <row r="8" spans="1:7" x14ac:dyDescent="0.35">
      <c r="A8" s="11" t="s">
        <v>6352</v>
      </c>
      <c r="B8" s="12">
        <v>634.23000000000013</v>
      </c>
      <c r="C8" s="12">
        <v>292.76</v>
      </c>
      <c r="D8" s="12">
        <v>291.96999999999997</v>
      </c>
      <c r="E8" s="12">
        <v>385.28</v>
      </c>
      <c r="F8" s="12">
        <v>697.67000000000007</v>
      </c>
      <c r="G8" s="12">
        <v>2301.91</v>
      </c>
    </row>
    <row r="9" spans="1:7" x14ac:dyDescent="0.35">
      <c r="A9" s="11" t="s">
        <v>6353</v>
      </c>
      <c r="B9" s="12">
        <v>584.28</v>
      </c>
      <c r="C9" s="12">
        <v>440.3</v>
      </c>
      <c r="D9" s="12">
        <v>122.44</v>
      </c>
      <c r="E9" s="12">
        <v>829.80000000000018</v>
      </c>
      <c r="F9" s="12">
        <v>665.68999999999994</v>
      </c>
      <c r="G9" s="12">
        <v>2642.51</v>
      </c>
    </row>
    <row r="10" spans="1:7" x14ac:dyDescent="0.35">
      <c r="A10" s="11" t="s">
        <v>6354</v>
      </c>
      <c r="B10" s="12">
        <v>397.50000000000006</v>
      </c>
      <c r="C10" s="12">
        <v>260.08</v>
      </c>
      <c r="D10" s="12">
        <v>662.28000000000009</v>
      </c>
      <c r="E10" s="12">
        <v>403.90000000000003</v>
      </c>
      <c r="F10" s="12">
        <v>367.96000000000004</v>
      </c>
      <c r="G10" s="12">
        <v>2091.7200000000003</v>
      </c>
    </row>
    <row r="11" spans="1:7" x14ac:dyDescent="0.35">
      <c r="A11" s="11" t="s">
        <v>6355</v>
      </c>
      <c r="B11" s="12">
        <v>358.02</v>
      </c>
      <c r="C11" s="12">
        <v>526.8599999999999</v>
      </c>
      <c r="D11" s="12">
        <v>445.52000000000004</v>
      </c>
      <c r="E11" s="12">
        <v>389.10999999999996</v>
      </c>
      <c r="F11" s="12">
        <v>331.3</v>
      </c>
      <c r="G11" s="12">
        <v>2050.81</v>
      </c>
    </row>
    <row r="12" spans="1:7" x14ac:dyDescent="0.35">
      <c r="A12" s="11" t="s">
        <v>6356</v>
      </c>
      <c r="B12" s="12">
        <v>406.42999999999995</v>
      </c>
      <c r="C12" s="12">
        <v>610.87999999999988</v>
      </c>
      <c r="D12" s="12">
        <v>527.96</v>
      </c>
      <c r="E12" s="12">
        <v>368.56</v>
      </c>
      <c r="F12" s="12">
        <v>757.24999999999989</v>
      </c>
      <c r="G12" s="12">
        <v>2671.08</v>
      </c>
    </row>
    <row r="13" spans="1:7" x14ac:dyDescent="0.35">
      <c r="A13" s="11" t="s">
        <v>6357</v>
      </c>
      <c r="B13" s="12">
        <v>127.52000000000001</v>
      </c>
      <c r="C13" s="12">
        <v>507.03</v>
      </c>
      <c r="D13" s="12">
        <v>804.07999999999993</v>
      </c>
      <c r="E13" s="12">
        <v>455.61</v>
      </c>
      <c r="F13" s="12">
        <v>519.01</v>
      </c>
      <c r="G13" s="12">
        <v>2413.25</v>
      </c>
    </row>
    <row r="14" spans="1:7" x14ac:dyDescent="0.35">
      <c r="A14" s="11" t="s">
        <v>6358</v>
      </c>
      <c r="B14" s="12">
        <v>671.96999999999991</v>
      </c>
      <c r="C14" s="12">
        <v>633.69000000000005</v>
      </c>
      <c r="D14" s="12">
        <v>358.88</v>
      </c>
      <c r="E14" s="12">
        <v>336.01</v>
      </c>
      <c r="F14" s="12">
        <v>307.15999999999997</v>
      </c>
      <c r="G14" s="12">
        <v>2307.71</v>
      </c>
    </row>
    <row r="15" spans="1:7" x14ac:dyDescent="0.35">
      <c r="A15" s="11" t="s">
        <v>6359</v>
      </c>
      <c r="B15" s="12">
        <v>484.61999999999989</v>
      </c>
      <c r="C15" s="12">
        <v>155.76999999999998</v>
      </c>
      <c r="D15" s="12">
        <v>352.18999999999994</v>
      </c>
      <c r="E15" s="12">
        <v>543.1</v>
      </c>
      <c r="F15" s="12">
        <v>748.58</v>
      </c>
      <c r="G15" s="12">
        <v>2284.2599999999998</v>
      </c>
    </row>
    <row r="16" spans="1:7" x14ac:dyDescent="0.35">
      <c r="A16" s="11" t="s">
        <v>6360</v>
      </c>
      <c r="B16" s="12">
        <v>341.54999999999995</v>
      </c>
      <c r="C16" s="12">
        <v>523.91000000000008</v>
      </c>
      <c r="D16" s="12">
        <v>638.47</v>
      </c>
      <c r="E16" s="12">
        <v>532.46999999999991</v>
      </c>
      <c r="F16" s="12">
        <v>278.28999999999996</v>
      </c>
      <c r="G16" s="12">
        <v>2314.69</v>
      </c>
    </row>
    <row r="17" spans="1:7" x14ac:dyDescent="0.35">
      <c r="A17" s="9" t="s">
        <v>6348</v>
      </c>
      <c r="B17" s="12"/>
      <c r="C17" s="12"/>
      <c r="D17" s="12"/>
      <c r="E17" s="12"/>
      <c r="F17" s="12"/>
      <c r="G17" s="12"/>
    </row>
    <row r="18" spans="1:7" x14ac:dyDescent="0.35">
      <c r="A18" s="11" t="s">
        <v>6349</v>
      </c>
      <c r="B18" s="12">
        <v>692.61</v>
      </c>
      <c r="C18" s="12">
        <v>417.62</v>
      </c>
      <c r="D18" s="12">
        <v>248.17000000000002</v>
      </c>
      <c r="E18" s="12">
        <v>436.72999999999996</v>
      </c>
      <c r="F18" s="12">
        <v>482.57</v>
      </c>
      <c r="G18" s="12">
        <v>2277.7000000000003</v>
      </c>
    </row>
    <row r="19" spans="1:7" x14ac:dyDescent="0.35">
      <c r="A19" s="11" t="s">
        <v>6350</v>
      </c>
      <c r="B19" s="12">
        <v>395.71000000000004</v>
      </c>
      <c r="C19" s="12">
        <v>446.28999999999996</v>
      </c>
      <c r="D19" s="12">
        <v>529.32999999999993</v>
      </c>
      <c r="E19" s="12">
        <v>599.49000000000012</v>
      </c>
      <c r="F19" s="12">
        <v>268.77999999999997</v>
      </c>
      <c r="G19" s="12">
        <v>2239.6000000000004</v>
      </c>
    </row>
    <row r="20" spans="1:7" x14ac:dyDescent="0.35">
      <c r="A20" s="11" t="s">
        <v>6351</v>
      </c>
      <c r="B20" s="12">
        <v>581.08000000000004</v>
      </c>
      <c r="C20" s="12">
        <v>743.16000000000008</v>
      </c>
      <c r="D20" s="12">
        <v>359.81000000000006</v>
      </c>
      <c r="E20" s="12">
        <v>349.78</v>
      </c>
      <c r="F20" s="12">
        <v>299.02</v>
      </c>
      <c r="G20" s="12">
        <v>2332.8500000000004</v>
      </c>
    </row>
    <row r="21" spans="1:7" x14ac:dyDescent="0.35">
      <c r="A21" s="11" t="s">
        <v>6352</v>
      </c>
      <c r="B21" s="12">
        <v>394.1</v>
      </c>
      <c r="C21" s="12">
        <v>682.06</v>
      </c>
      <c r="D21" s="12">
        <v>519.69999999999993</v>
      </c>
      <c r="E21" s="12">
        <v>437.83</v>
      </c>
      <c r="F21" s="12">
        <v>189.38</v>
      </c>
      <c r="G21" s="12">
        <v>2223.0699999999997</v>
      </c>
    </row>
    <row r="22" spans="1:7" x14ac:dyDescent="0.35">
      <c r="A22" s="11" t="s">
        <v>6353</v>
      </c>
      <c r="B22" s="12">
        <v>504.41999999999996</v>
      </c>
      <c r="C22" s="12">
        <v>386.76</v>
      </c>
      <c r="D22" s="12">
        <v>422.59999999999997</v>
      </c>
      <c r="E22" s="12">
        <v>681.89</v>
      </c>
      <c r="F22" s="12">
        <v>325.31</v>
      </c>
      <c r="G22" s="12">
        <v>2320.98</v>
      </c>
    </row>
    <row r="23" spans="1:7" x14ac:dyDescent="0.35">
      <c r="A23" s="11" t="s">
        <v>6354</v>
      </c>
      <c r="B23" s="12">
        <v>207.66</v>
      </c>
      <c r="C23" s="12">
        <v>683.85</v>
      </c>
      <c r="D23" s="12">
        <v>663.72000000000014</v>
      </c>
      <c r="E23" s="12">
        <v>266.17</v>
      </c>
      <c r="F23" s="12">
        <v>353.75000000000006</v>
      </c>
      <c r="G23" s="12">
        <v>2175.15</v>
      </c>
    </row>
    <row r="24" spans="1:7" x14ac:dyDescent="0.35">
      <c r="A24" s="11" t="s">
        <v>6355</v>
      </c>
      <c r="B24" s="12">
        <v>338.56</v>
      </c>
      <c r="C24" s="12">
        <v>487.44999999999993</v>
      </c>
      <c r="D24" s="12">
        <v>311.28999999999996</v>
      </c>
      <c r="E24" s="12">
        <v>539.8599999999999</v>
      </c>
      <c r="F24" s="12">
        <v>549.4</v>
      </c>
      <c r="G24" s="12">
        <v>2226.56</v>
      </c>
    </row>
    <row r="25" spans="1:7" x14ac:dyDescent="0.35">
      <c r="A25" s="11" t="s">
        <v>6356</v>
      </c>
      <c r="B25" s="12">
        <v>400.64</v>
      </c>
      <c r="C25" s="12">
        <v>560.84</v>
      </c>
      <c r="D25" s="12">
        <v>334.84000000000003</v>
      </c>
      <c r="E25" s="12">
        <v>653.78</v>
      </c>
      <c r="F25" s="12">
        <v>247.42999999999998</v>
      </c>
      <c r="G25" s="12">
        <v>2197.5300000000002</v>
      </c>
    </row>
    <row r="26" spans="1:7" x14ac:dyDescent="0.35">
      <c r="A26" s="11" t="s">
        <v>6357</v>
      </c>
      <c r="B26" s="12">
        <v>373.59000000000003</v>
      </c>
      <c r="C26" s="12">
        <v>445.15999999999997</v>
      </c>
      <c r="D26" s="12">
        <v>454.11000000000007</v>
      </c>
      <c r="E26" s="12">
        <v>675.27</v>
      </c>
      <c r="F26" s="12">
        <v>90.32</v>
      </c>
      <c r="G26" s="12">
        <v>2038.45</v>
      </c>
    </row>
    <row r="27" spans="1:7" x14ac:dyDescent="0.35">
      <c r="A27" s="11" t="s">
        <v>6358</v>
      </c>
      <c r="B27" s="12">
        <v>151.07999999999998</v>
      </c>
      <c r="C27" s="12">
        <v>393.47999999999996</v>
      </c>
      <c r="D27" s="12">
        <v>702.9</v>
      </c>
      <c r="E27" s="12">
        <v>479.92999999999995</v>
      </c>
      <c r="F27" s="12">
        <v>605.82000000000005</v>
      </c>
      <c r="G27" s="12">
        <v>2333.21</v>
      </c>
    </row>
    <row r="28" spans="1:7" x14ac:dyDescent="0.35">
      <c r="A28" s="11" t="s">
        <v>6359</v>
      </c>
      <c r="B28" s="12">
        <v>462.95</v>
      </c>
      <c r="C28" s="12">
        <v>487.65999999999997</v>
      </c>
      <c r="D28" s="12">
        <v>489.59999999999991</v>
      </c>
      <c r="E28" s="12">
        <v>517.88</v>
      </c>
      <c r="F28" s="12">
        <v>296.35000000000002</v>
      </c>
      <c r="G28" s="12">
        <v>2254.4399999999996</v>
      </c>
    </row>
    <row r="29" spans="1:7" x14ac:dyDescent="0.35">
      <c r="A29" s="11" t="s">
        <v>6360</v>
      </c>
      <c r="B29" s="12">
        <v>298.55</v>
      </c>
      <c r="C29" s="12">
        <v>525.70000000000005</v>
      </c>
      <c r="D29" s="12">
        <v>542.68999999999994</v>
      </c>
      <c r="E29" s="12">
        <v>524.87</v>
      </c>
      <c r="F29" s="12">
        <v>417.65999999999997</v>
      </c>
      <c r="G29" s="12">
        <v>2309.4699999999998</v>
      </c>
    </row>
    <row r="30" spans="1:7" x14ac:dyDescent="0.35">
      <c r="A30" s="9" t="s">
        <v>6345</v>
      </c>
      <c r="B30" s="12">
        <v>10352.74</v>
      </c>
      <c r="C30" s="12">
        <v>11240.24</v>
      </c>
      <c r="D30" s="12">
        <v>11107.380000000003</v>
      </c>
      <c r="E30" s="12">
        <v>11861.690000000002</v>
      </c>
      <c r="F30" s="12">
        <v>10266.35</v>
      </c>
      <c r="G30" s="12">
        <v>54828.399999999994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3B90F-2DFE-4FCE-9722-117A1DC534D3}">
  <dimension ref="A1:B54"/>
  <sheetViews>
    <sheetView workbookViewId="0">
      <selection activeCell="B1" sqref="B1"/>
    </sheetView>
  </sheetViews>
  <sheetFormatPr defaultRowHeight="14.5" x14ac:dyDescent="0.35"/>
  <cols>
    <col min="1" max="1" width="13.26953125" bestFit="1" customWidth="1"/>
    <col min="2" max="2" width="14.36328125" bestFit="1" customWidth="1"/>
  </cols>
  <sheetData>
    <row r="1" spans="1:2" x14ac:dyDescent="0.35">
      <c r="A1" s="8" t="s">
        <v>6344</v>
      </c>
      <c r="B1" t="s">
        <v>6343</v>
      </c>
    </row>
    <row r="2" spans="1:2" x14ac:dyDescent="0.35">
      <c r="A2" s="9"/>
      <c r="B2" s="7">
        <v>175.76999999999998</v>
      </c>
    </row>
    <row r="3" spans="1:2" x14ac:dyDescent="0.35">
      <c r="A3" s="9" t="s">
        <v>1215</v>
      </c>
      <c r="B3" s="7">
        <v>25.21</v>
      </c>
    </row>
    <row r="4" spans="1:2" x14ac:dyDescent="0.35">
      <c r="A4" s="9" t="s">
        <v>1187</v>
      </c>
      <c r="B4" s="7">
        <v>122.21000000000001</v>
      </c>
    </row>
    <row r="5" spans="1:2" x14ac:dyDescent="0.35">
      <c r="A5" s="9" t="s">
        <v>92</v>
      </c>
      <c r="B5" s="7">
        <v>79.88</v>
      </c>
    </row>
    <row r="6" spans="1:2" x14ac:dyDescent="0.35">
      <c r="A6" s="9" t="s">
        <v>109</v>
      </c>
      <c r="B6" s="7">
        <v>188.86</v>
      </c>
    </row>
    <row r="7" spans="1:2" x14ac:dyDescent="0.35">
      <c r="A7" s="9" t="s">
        <v>1117</v>
      </c>
      <c r="B7" s="7">
        <v>29.66</v>
      </c>
    </row>
    <row r="8" spans="1:2" x14ac:dyDescent="0.35">
      <c r="A8" s="9" t="s">
        <v>89</v>
      </c>
      <c r="B8" s="7">
        <v>269.21000000000004</v>
      </c>
    </row>
    <row r="9" spans="1:2" x14ac:dyDescent="0.35">
      <c r="A9" s="9" t="s">
        <v>1176</v>
      </c>
      <c r="B9" s="7">
        <v>97.899999999999991</v>
      </c>
    </row>
    <row r="10" spans="1:2" x14ac:dyDescent="0.35">
      <c r="A10" s="9" t="s">
        <v>1580</v>
      </c>
      <c r="B10" s="7">
        <v>66.97</v>
      </c>
    </row>
    <row r="11" spans="1:2" x14ac:dyDescent="0.35">
      <c r="A11" s="9" t="s">
        <v>1468</v>
      </c>
      <c r="B11" s="7">
        <v>145.48000000000002</v>
      </c>
    </row>
    <row r="12" spans="1:2" x14ac:dyDescent="0.35">
      <c r="A12" s="9" t="s">
        <v>1181</v>
      </c>
      <c r="B12" s="7">
        <v>134.51</v>
      </c>
    </row>
    <row r="13" spans="1:2" x14ac:dyDescent="0.35">
      <c r="A13" s="9" t="s">
        <v>1150</v>
      </c>
      <c r="B13" s="7">
        <v>230.76999999999998</v>
      </c>
    </row>
    <row r="14" spans="1:2" x14ac:dyDescent="0.35">
      <c r="A14" s="9" t="s">
        <v>1677</v>
      </c>
      <c r="B14" s="7">
        <v>31.32</v>
      </c>
    </row>
    <row r="15" spans="1:2" x14ac:dyDescent="0.35">
      <c r="A15" s="9" t="s">
        <v>1076</v>
      </c>
      <c r="B15" s="7">
        <v>5831.74</v>
      </c>
    </row>
    <row r="16" spans="1:2" x14ac:dyDescent="0.35">
      <c r="A16" s="9" t="s">
        <v>1611</v>
      </c>
      <c r="B16" s="7">
        <v>70.819999999999993</v>
      </c>
    </row>
    <row r="17" spans="1:2" x14ac:dyDescent="0.35">
      <c r="A17" s="9" t="s">
        <v>85</v>
      </c>
      <c r="B17" s="7">
        <v>192.34999999999997</v>
      </c>
    </row>
    <row r="18" spans="1:2" x14ac:dyDescent="0.35">
      <c r="A18" s="9" t="s">
        <v>91</v>
      </c>
      <c r="B18" s="7">
        <v>5641.7199999999975</v>
      </c>
    </row>
    <row r="19" spans="1:2" x14ac:dyDescent="0.35">
      <c r="A19" s="9" t="s">
        <v>1592</v>
      </c>
      <c r="B19" s="7">
        <v>29.06</v>
      </c>
    </row>
    <row r="20" spans="1:2" x14ac:dyDescent="0.35">
      <c r="A20" s="9" t="s">
        <v>87</v>
      </c>
      <c r="B20" s="7">
        <v>595.91</v>
      </c>
    </row>
    <row r="21" spans="1:2" x14ac:dyDescent="0.35">
      <c r="A21" s="9" t="s">
        <v>1247</v>
      </c>
      <c r="B21" s="7">
        <v>48.72</v>
      </c>
    </row>
    <row r="22" spans="1:2" x14ac:dyDescent="0.35">
      <c r="A22" s="9" t="s">
        <v>1621</v>
      </c>
      <c r="B22" s="7">
        <v>42</v>
      </c>
    </row>
    <row r="23" spans="1:2" x14ac:dyDescent="0.35">
      <c r="A23" s="9" t="s">
        <v>82</v>
      </c>
      <c r="B23" s="7">
        <v>308.38</v>
      </c>
    </row>
    <row r="24" spans="1:2" x14ac:dyDescent="0.35">
      <c r="A24" s="9" t="s">
        <v>76</v>
      </c>
      <c r="B24" s="7">
        <v>12008.949999999993</v>
      </c>
    </row>
    <row r="25" spans="1:2" x14ac:dyDescent="0.35">
      <c r="A25" s="9" t="s">
        <v>1155</v>
      </c>
      <c r="B25" s="7">
        <v>28.36</v>
      </c>
    </row>
    <row r="26" spans="1:2" x14ac:dyDescent="0.35">
      <c r="A26" s="9" t="s">
        <v>99</v>
      </c>
      <c r="B26" s="7">
        <v>145.1</v>
      </c>
    </row>
    <row r="27" spans="1:2" x14ac:dyDescent="0.35">
      <c r="A27" s="9" t="s">
        <v>1316</v>
      </c>
      <c r="B27" s="7">
        <v>42.88</v>
      </c>
    </row>
    <row r="28" spans="1:2" x14ac:dyDescent="0.35">
      <c r="A28" s="9" t="s">
        <v>1259</v>
      </c>
      <c r="B28" s="7">
        <v>29.1</v>
      </c>
    </row>
    <row r="29" spans="1:2" x14ac:dyDescent="0.35">
      <c r="A29" s="9" t="s">
        <v>1574</v>
      </c>
      <c r="B29" s="7">
        <v>137.4</v>
      </c>
    </row>
    <row r="30" spans="1:2" x14ac:dyDescent="0.35">
      <c r="A30" s="9" t="s">
        <v>1569</v>
      </c>
      <c r="B30" s="7">
        <v>63.92</v>
      </c>
    </row>
    <row r="31" spans="1:2" x14ac:dyDescent="0.35">
      <c r="A31" s="9" t="s">
        <v>1090</v>
      </c>
      <c r="B31" s="7">
        <v>3465.48</v>
      </c>
    </row>
    <row r="32" spans="1:2" x14ac:dyDescent="0.35">
      <c r="A32" s="9" t="s">
        <v>1715</v>
      </c>
      <c r="B32" s="7">
        <v>74.14</v>
      </c>
    </row>
    <row r="33" spans="1:2" x14ac:dyDescent="0.35">
      <c r="A33" s="9" t="s">
        <v>1782</v>
      </c>
      <c r="B33" s="7">
        <v>56.24</v>
      </c>
    </row>
    <row r="34" spans="1:2" x14ac:dyDescent="0.35">
      <c r="A34" s="9" t="s">
        <v>1111</v>
      </c>
      <c r="B34" s="7">
        <v>292.39</v>
      </c>
    </row>
    <row r="35" spans="1:2" x14ac:dyDescent="0.35">
      <c r="A35" s="9" t="s">
        <v>115</v>
      </c>
      <c r="B35" s="7">
        <v>891.6099999999999</v>
      </c>
    </row>
    <row r="36" spans="1:2" x14ac:dyDescent="0.35">
      <c r="A36" s="9" t="s">
        <v>1095</v>
      </c>
      <c r="B36" s="7">
        <v>81.449999999999989</v>
      </c>
    </row>
    <row r="37" spans="1:2" x14ac:dyDescent="0.35">
      <c r="A37" s="9" t="s">
        <v>104</v>
      </c>
      <c r="B37" s="7">
        <v>154.48000000000002</v>
      </c>
    </row>
    <row r="38" spans="1:2" x14ac:dyDescent="0.35">
      <c r="A38" s="9" t="s">
        <v>125</v>
      </c>
      <c r="B38" s="7">
        <v>127.06</v>
      </c>
    </row>
    <row r="39" spans="1:2" x14ac:dyDescent="0.35">
      <c r="A39" s="9" t="s">
        <v>1065</v>
      </c>
      <c r="B39" s="7">
        <v>34.11</v>
      </c>
    </row>
    <row r="40" spans="1:2" x14ac:dyDescent="0.35">
      <c r="A40" s="9" t="s">
        <v>1524</v>
      </c>
      <c r="B40" s="7">
        <v>92.61</v>
      </c>
    </row>
    <row r="41" spans="1:2" x14ac:dyDescent="0.35">
      <c r="A41" s="9" t="s">
        <v>1145</v>
      </c>
      <c r="B41" s="7">
        <v>274.74</v>
      </c>
    </row>
    <row r="42" spans="1:2" x14ac:dyDescent="0.35">
      <c r="A42" s="9" t="s">
        <v>1671</v>
      </c>
      <c r="B42" s="7">
        <v>78.84</v>
      </c>
    </row>
    <row r="43" spans="1:2" x14ac:dyDescent="0.35">
      <c r="A43" s="9" t="s">
        <v>1416</v>
      </c>
      <c r="B43" s="7">
        <v>175.68</v>
      </c>
    </row>
    <row r="44" spans="1:2" x14ac:dyDescent="0.35">
      <c r="A44" s="9" t="s">
        <v>93</v>
      </c>
      <c r="B44" s="7">
        <v>127.02</v>
      </c>
    </row>
    <row r="45" spans="1:2" x14ac:dyDescent="0.35">
      <c r="A45" s="9" t="s">
        <v>73</v>
      </c>
      <c r="B45" s="7">
        <v>9883.6399999999976</v>
      </c>
    </row>
    <row r="46" spans="1:2" x14ac:dyDescent="0.35">
      <c r="A46" s="9" t="s">
        <v>1703</v>
      </c>
      <c r="B46" s="7">
        <v>21.1</v>
      </c>
    </row>
    <row r="47" spans="1:2" x14ac:dyDescent="0.35">
      <c r="A47" s="9" t="s">
        <v>1070</v>
      </c>
      <c r="B47" s="7">
        <v>5342.4799999999977</v>
      </c>
    </row>
    <row r="48" spans="1:2" x14ac:dyDescent="0.35">
      <c r="A48" s="9" t="s">
        <v>130</v>
      </c>
      <c r="B48" s="7">
        <v>58.08</v>
      </c>
    </row>
    <row r="49" spans="1:2" x14ac:dyDescent="0.35">
      <c r="A49" s="9" t="s">
        <v>1295</v>
      </c>
      <c r="B49" s="7">
        <v>15.41</v>
      </c>
    </row>
    <row r="50" spans="1:2" x14ac:dyDescent="0.35">
      <c r="A50" s="9" t="s">
        <v>1142</v>
      </c>
      <c r="B50" s="7">
        <v>35.520000000000003</v>
      </c>
    </row>
    <row r="51" spans="1:2" x14ac:dyDescent="0.35">
      <c r="A51" s="9" t="s">
        <v>79</v>
      </c>
      <c r="B51" s="7">
        <v>1703.5900000000001</v>
      </c>
    </row>
    <row r="52" spans="1:2" x14ac:dyDescent="0.35">
      <c r="A52" s="9" t="s">
        <v>70</v>
      </c>
      <c r="B52" s="7">
        <v>4813.9299999999994</v>
      </c>
    </row>
    <row r="53" spans="1:2" x14ac:dyDescent="0.35">
      <c r="A53" s="9" t="s">
        <v>1635</v>
      </c>
      <c r="B53" s="7">
        <v>214.64000000000001</v>
      </c>
    </row>
    <row r="54" spans="1:2" x14ac:dyDescent="0.35">
      <c r="A54" s="9" t="s">
        <v>6345</v>
      </c>
      <c r="B54" s="7">
        <v>54828.399999999987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559C8-C9E3-4B12-89EB-17E54D63700A}">
  <dimension ref="A1:B7"/>
  <sheetViews>
    <sheetView topLeftCell="B1" workbookViewId="0">
      <selection activeCell="B1" sqref="B1"/>
    </sheetView>
  </sheetViews>
  <sheetFormatPr defaultRowHeight="14.5" x14ac:dyDescent="0.35"/>
  <cols>
    <col min="1" max="1" width="13.1796875" bestFit="1" customWidth="1"/>
    <col min="2" max="2" width="14.36328125" bestFit="1" customWidth="1"/>
  </cols>
  <sheetData>
    <row r="1" spans="1:2" x14ac:dyDescent="0.35">
      <c r="A1" s="8" t="s">
        <v>6344</v>
      </c>
      <c r="B1" t="s">
        <v>6343</v>
      </c>
    </row>
    <row r="2" spans="1:2" x14ac:dyDescent="0.35">
      <c r="A2" s="9" t="s">
        <v>5345</v>
      </c>
      <c r="B2" s="7">
        <v>985.61000000000013</v>
      </c>
    </row>
    <row r="3" spans="1:2" x14ac:dyDescent="0.35">
      <c r="A3" s="9" t="s">
        <v>5401</v>
      </c>
      <c r="B3" s="7">
        <v>1026.1699999999998</v>
      </c>
    </row>
    <row r="4" spans="1:2" x14ac:dyDescent="0.35">
      <c r="A4" s="9" t="s">
        <v>5385</v>
      </c>
      <c r="B4" s="7">
        <v>975.95</v>
      </c>
    </row>
    <row r="5" spans="1:2" x14ac:dyDescent="0.35">
      <c r="A5" s="9" t="s">
        <v>5239</v>
      </c>
      <c r="B5" s="7">
        <v>1059.0300000000002</v>
      </c>
    </row>
    <row r="6" spans="1:2" x14ac:dyDescent="0.35">
      <c r="A6" s="9" t="s">
        <v>5212</v>
      </c>
      <c r="B6" s="7">
        <v>1056.28</v>
      </c>
    </row>
    <row r="7" spans="1:2" x14ac:dyDescent="0.35">
      <c r="A7" s="9" t="s">
        <v>6345</v>
      </c>
      <c r="B7" s="7">
        <v>5103.04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53F7B-ACEF-42A5-AF6C-1ACCD8D8F8CA}">
  <dimension ref="A1"/>
  <sheetViews>
    <sheetView showGridLines="0" tabSelected="1" zoomScale="40" zoomScaleNormal="40" workbookViewId="0">
      <selection activeCell="AB13" sqref="AB1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vt:lpstr>
      <vt:lpstr>customers</vt:lpstr>
      <vt:lpstr>product</vt:lpstr>
      <vt:lpstr>Pivot table 1</vt:lpstr>
      <vt:lpstr>Pivot table 2</vt:lpstr>
      <vt:lpstr>Pivot table 3</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Anis IKHLEF</dc:creator>
  <cp:lastModifiedBy>Anis IKHLEF</cp:lastModifiedBy>
  <dcterms:created xsi:type="dcterms:W3CDTF">2015-06-05T18:17:20Z</dcterms:created>
  <dcterms:modified xsi:type="dcterms:W3CDTF">2026-01-10T22:40:00Z</dcterms:modified>
</cp:coreProperties>
</file>